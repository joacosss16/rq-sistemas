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mar\Downloads\"/>
    </mc:Choice>
  </mc:AlternateContent>
  <xr:revisionPtr revIDLastSave="0" documentId="8_{673ADD59-6C8B-4024-953E-288E2CB675F0}" xr6:coauthVersionLast="47" xr6:coauthVersionMax="47" xr10:uidLastSave="{00000000-0000-0000-0000-000000000000}"/>
  <bookViews>
    <workbookView xWindow="-98" yWindow="-98" windowWidth="22276" windowHeight="13276" firstSheet="2" activeTab="2" xr2:uid="{00000000-000D-0000-FFFF-FFFF00000000}"/>
  </bookViews>
  <sheets>
    <sheet name="MATERIAL" sheetId="1" state="hidden" r:id="rId1"/>
    <sheet name="diccionario_iupc_completo" sheetId="3" state="hidden" r:id="rId2"/>
    <sheet name="Materiales 3.0" sheetId="7" r:id="rId3"/>
  </sheets>
  <definedNames>
    <definedName name="_xlnm._FilterDatabase" localSheetId="0" hidden="1">MATERIAL!$A$1:$P$783</definedName>
    <definedName name="_xlnm._FilterDatabase" localSheetId="2" hidden="1">'Materiales 3.0'!$G$9:$H$1946</definedName>
    <definedName name="DatosExternos_1" localSheetId="1" hidden="1">diccionario_iupc_completo!$A$1:$C$1929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946" i="7" l="1"/>
  <c r="G1946" i="7" s="1"/>
  <c r="F1943" i="7"/>
  <c r="G1943" i="7" s="1"/>
  <c r="F1942" i="7"/>
  <c r="G1942" i="7" s="1"/>
  <c r="F1939" i="7"/>
  <c r="G1939" i="7" s="1"/>
  <c r="F1938" i="7"/>
  <c r="G1938" i="7" s="1"/>
  <c r="F1937" i="7"/>
  <c r="G1937" i="7" s="1"/>
  <c r="F1936" i="7"/>
  <c r="G1936" i="7" s="1"/>
  <c r="F1935" i="7"/>
  <c r="G1935" i="7" s="1"/>
  <c r="F1934" i="7"/>
  <c r="G1934" i="7" s="1"/>
  <c r="F1931" i="7"/>
  <c r="G1931" i="7" s="1"/>
  <c r="F1930" i="7"/>
  <c r="G1930" i="7" s="1"/>
  <c r="F1929" i="7"/>
  <c r="G1929" i="7" s="1"/>
  <c r="F1928" i="7"/>
  <c r="G1928" i="7" s="1"/>
  <c r="F1925" i="7"/>
  <c r="G1925" i="7" s="1"/>
  <c r="F1924" i="7"/>
  <c r="G1924" i="7" s="1"/>
  <c r="F1923" i="7"/>
  <c r="G1923" i="7" s="1"/>
  <c r="F1922" i="7"/>
  <c r="G1922" i="7" s="1"/>
  <c r="F1921" i="7"/>
  <c r="G1921" i="7" s="1"/>
  <c r="F1920" i="7"/>
  <c r="G1920" i="7" s="1"/>
  <c r="F1919" i="7"/>
  <c r="G1919" i="7" s="1"/>
  <c r="F1918" i="7"/>
  <c r="G1918" i="7" s="1"/>
  <c r="F1917" i="7"/>
  <c r="G1917" i="7" s="1"/>
  <c r="F1916" i="7"/>
  <c r="G1916" i="7" s="1"/>
  <c r="F1915" i="7"/>
  <c r="G1915" i="7" s="1"/>
  <c r="F1914" i="7"/>
  <c r="G1914" i="7" s="1"/>
  <c r="F1913" i="7"/>
  <c r="G1913" i="7" s="1"/>
  <c r="F1912" i="7"/>
  <c r="G1912" i="7" s="1"/>
  <c r="F1911" i="7"/>
  <c r="G1911" i="7" s="1"/>
  <c r="F1910" i="7"/>
  <c r="G1910" i="7" s="1"/>
  <c r="F1909" i="7"/>
  <c r="G1909" i="7" s="1"/>
  <c r="F1908" i="7"/>
  <c r="G1908" i="7" s="1"/>
  <c r="F1907" i="7"/>
  <c r="G1907" i="7" s="1"/>
  <c r="F1906" i="7"/>
  <c r="G1906" i="7" s="1"/>
  <c r="F1905" i="7"/>
  <c r="G1905" i="7" s="1"/>
  <c r="F1904" i="7"/>
  <c r="G1904" i="7" s="1"/>
  <c r="F1903" i="7"/>
  <c r="G1903" i="7" s="1"/>
  <c r="F1902" i="7"/>
  <c r="G1902" i="7" s="1"/>
  <c r="F1901" i="7"/>
  <c r="G1901" i="7" s="1"/>
  <c r="F1900" i="7"/>
  <c r="G1900" i="7" s="1"/>
  <c r="F1899" i="7"/>
  <c r="G1899" i="7" s="1"/>
  <c r="F1898" i="7"/>
  <c r="G1898" i="7" s="1"/>
  <c r="F1897" i="7"/>
  <c r="G1897" i="7" s="1"/>
  <c r="F1896" i="7"/>
  <c r="G1896" i="7" s="1"/>
  <c r="F1895" i="7"/>
  <c r="G1895" i="7" s="1"/>
  <c r="F1894" i="7"/>
  <c r="G1894" i="7" s="1"/>
  <c r="F1893" i="7"/>
  <c r="G1893" i="7" s="1"/>
  <c r="F1892" i="7"/>
  <c r="G1892" i="7" s="1"/>
  <c r="F1891" i="7"/>
  <c r="G1891" i="7" s="1"/>
  <c r="F1890" i="7"/>
  <c r="G1890" i="7" s="1"/>
  <c r="F1889" i="7"/>
  <c r="G1889" i="7" s="1"/>
  <c r="F1888" i="7"/>
  <c r="G1888" i="7" s="1"/>
  <c r="F1887" i="7"/>
  <c r="G1887" i="7" s="1"/>
  <c r="F1886" i="7"/>
  <c r="G1886" i="7" s="1"/>
  <c r="F1885" i="7"/>
  <c r="G1885" i="7" s="1"/>
  <c r="F1884" i="7"/>
  <c r="G1884" i="7" s="1"/>
  <c r="F1883" i="7"/>
  <c r="G1883" i="7" s="1"/>
  <c r="F1882" i="7"/>
  <c r="G1882" i="7" s="1"/>
  <c r="F1880" i="7"/>
  <c r="G1880" i="7" s="1"/>
  <c r="F1879" i="7"/>
  <c r="G1879" i="7" s="1"/>
  <c r="F1878" i="7"/>
  <c r="G1878" i="7" s="1"/>
  <c r="F1877" i="7"/>
  <c r="G1877" i="7" s="1"/>
  <c r="F1876" i="7"/>
  <c r="G1876" i="7" s="1"/>
  <c r="F1875" i="7"/>
  <c r="G1875" i="7" s="1"/>
  <c r="F1874" i="7"/>
  <c r="G1874" i="7" s="1"/>
  <c r="F1873" i="7"/>
  <c r="G1873" i="7" s="1"/>
  <c r="F1872" i="7"/>
  <c r="G1872" i="7" s="1"/>
  <c r="F1870" i="7"/>
  <c r="G1870" i="7" s="1"/>
  <c r="F1869" i="7"/>
  <c r="G1869" i="7" s="1"/>
  <c r="F1868" i="7"/>
  <c r="G1868" i="7" s="1"/>
  <c r="F1867" i="7"/>
  <c r="G1867" i="7" s="1"/>
  <c r="F1866" i="7"/>
  <c r="G1866" i="7" s="1"/>
  <c r="F1865" i="7"/>
  <c r="G1865" i="7" s="1"/>
  <c r="F1864" i="7"/>
  <c r="G1864" i="7" s="1"/>
  <c r="F1863" i="7"/>
  <c r="G1863" i="7" s="1"/>
  <c r="F1862" i="7"/>
  <c r="G1862" i="7" s="1"/>
  <c r="F1861" i="7"/>
  <c r="G1861" i="7" s="1"/>
  <c r="F1860" i="7"/>
  <c r="G1860" i="7" s="1"/>
  <c r="F1859" i="7"/>
  <c r="G1859" i="7" s="1"/>
  <c r="F1857" i="7"/>
  <c r="G1857" i="7" s="1"/>
  <c r="F1856" i="7"/>
  <c r="G1856" i="7" s="1"/>
  <c r="F1855" i="7"/>
  <c r="G1855" i="7" s="1"/>
  <c r="F1854" i="7"/>
  <c r="G1854" i="7" s="1"/>
  <c r="F1853" i="7"/>
  <c r="G1853" i="7" s="1"/>
  <c r="F1852" i="7"/>
  <c r="G1852" i="7" s="1"/>
  <c r="F1851" i="7"/>
  <c r="G1851" i="7" s="1"/>
  <c r="F1850" i="7"/>
  <c r="G1850" i="7" s="1"/>
  <c r="F1849" i="7"/>
  <c r="G1849" i="7" s="1"/>
  <c r="F1848" i="7"/>
  <c r="G1848" i="7" s="1"/>
  <c r="F1847" i="7"/>
  <c r="G1847" i="7" s="1"/>
  <c r="F1846" i="7"/>
  <c r="G1846" i="7" s="1"/>
  <c r="F1845" i="7"/>
  <c r="G1845" i="7" s="1"/>
  <c r="F1844" i="7"/>
  <c r="G1844" i="7" s="1"/>
  <c r="F1843" i="7"/>
  <c r="G1843" i="7" s="1"/>
  <c r="F1840" i="7"/>
  <c r="G1840" i="7" s="1"/>
  <c r="F1837" i="7"/>
  <c r="G1837" i="7" s="1"/>
  <c r="F1836" i="7"/>
  <c r="G1836" i="7" s="1"/>
  <c r="F1834" i="7"/>
  <c r="G1834" i="7" s="1"/>
  <c r="F1833" i="7"/>
  <c r="G1833" i="7" s="1"/>
  <c r="F1831" i="7"/>
  <c r="G1831" i="7" s="1"/>
  <c r="F1830" i="7"/>
  <c r="G1830" i="7" s="1"/>
  <c r="F1828" i="7"/>
  <c r="G1828" i="7" s="1"/>
  <c r="F1827" i="7"/>
  <c r="G1827" i="7" s="1"/>
  <c r="F1826" i="7"/>
  <c r="G1826" i="7" s="1"/>
  <c r="F1825" i="7"/>
  <c r="G1825" i="7" s="1"/>
  <c r="F1824" i="7"/>
  <c r="G1824" i="7" s="1"/>
  <c r="F1823" i="7"/>
  <c r="G1823" i="7" s="1"/>
  <c r="F1822" i="7"/>
  <c r="G1822" i="7" s="1"/>
  <c r="F1821" i="7"/>
  <c r="G1821" i="7" s="1"/>
  <c r="F1820" i="7"/>
  <c r="G1820" i="7" s="1"/>
  <c r="F1819" i="7"/>
  <c r="G1819" i="7" s="1"/>
  <c r="F1818" i="7"/>
  <c r="G1818" i="7" s="1"/>
  <c r="F1817" i="7"/>
  <c r="G1817" i="7" s="1"/>
  <c r="F1816" i="7"/>
  <c r="G1816" i="7" s="1"/>
  <c r="F1815" i="7"/>
  <c r="G1815" i="7" s="1"/>
  <c r="F1814" i="7"/>
  <c r="G1814" i="7" s="1"/>
  <c r="F1813" i="7"/>
  <c r="G1813" i="7" s="1"/>
  <c r="F1812" i="7"/>
  <c r="G1812" i="7" s="1"/>
  <c r="F1811" i="7"/>
  <c r="G1811" i="7" s="1"/>
  <c r="F1810" i="7"/>
  <c r="G1810" i="7" s="1"/>
  <c r="F1809" i="7"/>
  <c r="G1809" i="7" s="1"/>
  <c r="F1808" i="7"/>
  <c r="G1808" i="7" s="1"/>
  <c r="F1806" i="7"/>
  <c r="G1806" i="7" s="1"/>
  <c r="F1805" i="7"/>
  <c r="G1805" i="7" s="1"/>
  <c r="F1804" i="7"/>
  <c r="G1804" i="7" s="1"/>
  <c r="F1803" i="7"/>
  <c r="G1803" i="7" s="1"/>
  <c r="F1802" i="7"/>
  <c r="G1802" i="7" s="1"/>
  <c r="F1801" i="7"/>
  <c r="G1801" i="7" s="1"/>
  <c r="F1800" i="7"/>
  <c r="G1800" i="7" s="1"/>
  <c r="F1797" i="7"/>
  <c r="G1797" i="7" s="1"/>
  <c r="F1796" i="7"/>
  <c r="G1796" i="7" s="1"/>
  <c r="F1795" i="7"/>
  <c r="G1795" i="7" s="1"/>
  <c r="F1794" i="7"/>
  <c r="G1794" i="7" s="1"/>
  <c r="F1793" i="7"/>
  <c r="G1793" i="7" s="1"/>
  <c r="F1792" i="7"/>
  <c r="G1792" i="7" s="1"/>
  <c r="F1791" i="7"/>
  <c r="G1791" i="7" s="1"/>
  <c r="F1790" i="7"/>
  <c r="G1790" i="7" s="1"/>
  <c r="F1789" i="7"/>
  <c r="G1789" i="7" s="1"/>
  <c r="F1788" i="7"/>
  <c r="G1788" i="7" s="1"/>
  <c r="F1787" i="7"/>
  <c r="G1787" i="7" s="1"/>
  <c r="F1786" i="7"/>
  <c r="G1786" i="7" s="1"/>
  <c r="F1785" i="7"/>
  <c r="G1785" i="7" s="1"/>
  <c r="F1784" i="7"/>
  <c r="G1784" i="7" s="1"/>
  <c r="F1783" i="7"/>
  <c r="G1783" i="7" s="1"/>
  <c r="F1782" i="7"/>
  <c r="G1782" i="7" s="1"/>
  <c r="F1781" i="7"/>
  <c r="G1781" i="7" s="1"/>
  <c r="F1780" i="7"/>
  <c r="G1780" i="7" s="1"/>
  <c r="F1779" i="7"/>
  <c r="G1779" i="7" s="1"/>
  <c r="F1778" i="7"/>
  <c r="G1778" i="7" s="1"/>
  <c r="F1777" i="7"/>
  <c r="G1777" i="7" s="1"/>
  <c r="F1776" i="7"/>
  <c r="G1776" i="7" s="1"/>
  <c r="F1775" i="7"/>
  <c r="G1775" i="7" s="1"/>
  <c r="F1774" i="7"/>
  <c r="G1774" i="7" s="1"/>
  <c r="F1773" i="7"/>
  <c r="G1773" i="7" s="1"/>
  <c r="F1772" i="7"/>
  <c r="G1772" i="7" s="1"/>
  <c r="F1771" i="7"/>
  <c r="G1771" i="7" s="1"/>
  <c r="F1770" i="7"/>
  <c r="G1770" i="7" s="1"/>
  <c r="F1769" i="7"/>
  <c r="G1769" i="7" s="1"/>
  <c r="F1768" i="7"/>
  <c r="G1768" i="7" s="1"/>
  <c r="F1767" i="7"/>
  <c r="G1767" i="7" s="1"/>
  <c r="F1766" i="7"/>
  <c r="G1766" i="7" s="1"/>
  <c r="F1765" i="7"/>
  <c r="G1765" i="7" s="1"/>
  <c r="F1764" i="7"/>
  <c r="G1764" i="7" s="1"/>
  <c r="F1763" i="7"/>
  <c r="G1763" i="7" s="1"/>
  <c r="F1762" i="7"/>
  <c r="G1762" i="7" s="1"/>
  <c r="F1761" i="7"/>
  <c r="G1761" i="7" s="1"/>
  <c r="F1760" i="7"/>
  <c r="G1760" i="7" s="1"/>
  <c r="F1759" i="7"/>
  <c r="G1759" i="7" s="1"/>
  <c r="F1758" i="7"/>
  <c r="G1758" i="7" s="1"/>
  <c r="F1757" i="7"/>
  <c r="G1757" i="7" s="1"/>
  <c r="F1755" i="7"/>
  <c r="G1755" i="7" s="1"/>
  <c r="F1754" i="7"/>
  <c r="G1754" i="7" s="1"/>
  <c r="F1753" i="7"/>
  <c r="G1753" i="7" s="1"/>
  <c r="F1752" i="7"/>
  <c r="G1752" i="7" s="1"/>
  <c r="F1751" i="7"/>
  <c r="G1751" i="7" s="1"/>
  <c r="F1750" i="7"/>
  <c r="G1750" i="7" s="1"/>
  <c r="F1749" i="7"/>
  <c r="G1749" i="7" s="1"/>
  <c r="F1748" i="7"/>
  <c r="G1748" i="7" s="1"/>
  <c r="F1747" i="7"/>
  <c r="G1747" i="7" s="1"/>
  <c r="F1746" i="7"/>
  <c r="G1746" i="7" s="1"/>
  <c r="F1745" i="7"/>
  <c r="G1745" i="7" s="1"/>
  <c r="F1744" i="7"/>
  <c r="G1744" i="7" s="1"/>
  <c r="F1743" i="7"/>
  <c r="G1743" i="7" s="1"/>
  <c r="F1742" i="7"/>
  <c r="G1742" i="7" s="1"/>
  <c r="F1741" i="7"/>
  <c r="G1741" i="7" s="1"/>
  <c r="F1740" i="7"/>
  <c r="G1740" i="7" s="1"/>
  <c r="F1739" i="7"/>
  <c r="G1739" i="7" s="1"/>
  <c r="F1738" i="7"/>
  <c r="G1738" i="7" s="1"/>
  <c r="F1737" i="7"/>
  <c r="G1737" i="7" s="1"/>
  <c r="F1736" i="7"/>
  <c r="G1736" i="7" s="1"/>
  <c r="F1735" i="7"/>
  <c r="G1735" i="7" s="1"/>
  <c r="F1734" i="7"/>
  <c r="G1734" i="7" s="1"/>
  <c r="F1733" i="7"/>
  <c r="G1733" i="7" s="1"/>
  <c r="F1732" i="7"/>
  <c r="G1732" i="7" s="1"/>
  <c r="F1731" i="7"/>
  <c r="G1731" i="7" s="1"/>
  <c r="F1730" i="7"/>
  <c r="G1730" i="7" s="1"/>
  <c r="F1729" i="7"/>
  <c r="G1729" i="7" s="1"/>
  <c r="F1728" i="7"/>
  <c r="G1728" i="7" s="1"/>
  <c r="F1727" i="7"/>
  <c r="G1727" i="7" s="1"/>
  <c r="F1726" i="7"/>
  <c r="G1726" i="7" s="1"/>
  <c r="F1725" i="7"/>
  <c r="G1725" i="7" s="1"/>
  <c r="F1724" i="7"/>
  <c r="G1724" i="7" s="1"/>
  <c r="F1723" i="7"/>
  <c r="G1723" i="7" s="1"/>
  <c r="F1722" i="7"/>
  <c r="G1722" i="7" s="1"/>
  <c r="F1721" i="7"/>
  <c r="G1721" i="7" s="1"/>
  <c r="F1720" i="7"/>
  <c r="G1720" i="7" s="1"/>
  <c r="F1719" i="7"/>
  <c r="G1719" i="7" s="1"/>
  <c r="F1718" i="7"/>
  <c r="G1718" i="7" s="1"/>
  <c r="F1717" i="7"/>
  <c r="G1717" i="7" s="1"/>
  <c r="F1716" i="7"/>
  <c r="G1716" i="7" s="1"/>
  <c r="F1715" i="7"/>
  <c r="G1715" i="7" s="1"/>
  <c r="F1714" i="7"/>
  <c r="G1714" i="7" s="1"/>
  <c r="F1713" i="7"/>
  <c r="G1713" i="7" s="1"/>
  <c r="F1712" i="7"/>
  <c r="G1712" i="7" s="1"/>
  <c r="F1709" i="7"/>
  <c r="G1709" i="7" s="1"/>
  <c r="F1708" i="7"/>
  <c r="G1708" i="7" s="1"/>
  <c r="F1705" i="7"/>
  <c r="G1705" i="7" s="1"/>
  <c r="F1704" i="7"/>
  <c r="G1704" i="7" s="1"/>
  <c r="F1703" i="7"/>
  <c r="G1703" i="7" s="1"/>
  <c r="F1702" i="7"/>
  <c r="G1702" i="7" s="1"/>
  <c r="F1701" i="7"/>
  <c r="G1701" i="7" s="1"/>
  <c r="F1700" i="7"/>
  <c r="G1700" i="7" s="1"/>
  <c r="F1699" i="7"/>
  <c r="G1699" i="7" s="1"/>
  <c r="F1698" i="7"/>
  <c r="G1698" i="7" s="1"/>
  <c r="F1697" i="7"/>
  <c r="G1697" i="7" s="1"/>
  <c r="F1696" i="7"/>
  <c r="G1696" i="7" s="1"/>
  <c r="F1695" i="7"/>
  <c r="G1695" i="7" s="1"/>
  <c r="F1694" i="7"/>
  <c r="G1694" i="7" s="1"/>
  <c r="F1693" i="7"/>
  <c r="G1693" i="7" s="1"/>
  <c r="F1692" i="7"/>
  <c r="G1692" i="7" s="1"/>
  <c r="F1691" i="7"/>
  <c r="G1691" i="7" s="1"/>
  <c r="F1690" i="7"/>
  <c r="G1690" i="7" s="1"/>
  <c r="F1689" i="7"/>
  <c r="G1689" i="7" s="1"/>
  <c r="F1688" i="7"/>
  <c r="G1688" i="7" s="1"/>
  <c r="F1685" i="7"/>
  <c r="G1685" i="7" s="1"/>
  <c r="F1684" i="7"/>
  <c r="G1684" i="7" s="1"/>
  <c r="F1683" i="7"/>
  <c r="G1683" i="7" s="1"/>
  <c r="F1682" i="7"/>
  <c r="G1682" i="7" s="1"/>
  <c r="F1681" i="7"/>
  <c r="G1681" i="7" s="1"/>
  <c r="F1680" i="7"/>
  <c r="G1680" i="7" s="1"/>
  <c r="F1679" i="7"/>
  <c r="G1679" i="7" s="1"/>
  <c r="F1678" i="7"/>
  <c r="G1678" i="7" s="1"/>
  <c r="F1677" i="7"/>
  <c r="G1677" i="7" s="1"/>
  <c r="F1676" i="7"/>
  <c r="G1676" i="7" s="1"/>
  <c r="F1675" i="7"/>
  <c r="G1675" i="7" s="1"/>
  <c r="F1673" i="7"/>
  <c r="G1673" i="7" s="1"/>
  <c r="F1672" i="7"/>
  <c r="G1672" i="7" s="1"/>
  <c r="F1671" i="7"/>
  <c r="G1671" i="7" s="1"/>
  <c r="F1670" i="7"/>
  <c r="G1670" i="7" s="1"/>
  <c r="F1668" i="7"/>
  <c r="G1668" i="7" s="1"/>
  <c r="F1667" i="7"/>
  <c r="G1667" i="7" s="1"/>
  <c r="F1666" i="7"/>
  <c r="G1666" i="7" s="1"/>
  <c r="F1665" i="7"/>
  <c r="G1665" i="7" s="1"/>
  <c r="F1664" i="7"/>
  <c r="G1664" i="7" s="1"/>
  <c r="F1663" i="7"/>
  <c r="G1663" i="7" s="1"/>
  <c r="F1662" i="7"/>
  <c r="G1662" i="7" s="1"/>
  <c r="F1661" i="7"/>
  <c r="G1661" i="7" s="1"/>
  <c r="F1660" i="7"/>
  <c r="G1660" i="7" s="1"/>
  <c r="F1659" i="7"/>
  <c r="G1659" i="7" s="1"/>
  <c r="F1658" i="7"/>
  <c r="G1658" i="7" s="1"/>
  <c r="F1657" i="7"/>
  <c r="G1657" i="7" s="1"/>
  <c r="F1656" i="7"/>
  <c r="G1656" i="7" s="1"/>
  <c r="F1655" i="7"/>
  <c r="G1655" i="7" s="1"/>
  <c r="F1654" i="7"/>
  <c r="G1654" i="7" s="1"/>
  <c r="F1653" i="7"/>
  <c r="G1653" i="7" s="1"/>
  <c r="F1652" i="7"/>
  <c r="G1652" i="7" s="1"/>
  <c r="F1651" i="7"/>
  <c r="G1651" i="7" s="1"/>
  <c r="F1650" i="7"/>
  <c r="G1650" i="7" s="1"/>
  <c r="F1649" i="7"/>
  <c r="G1649" i="7" s="1"/>
  <c r="F1648" i="7"/>
  <c r="G1648" i="7" s="1"/>
  <c r="F1647" i="7"/>
  <c r="G1647" i="7" s="1"/>
  <c r="F1645" i="7"/>
  <c r="G1645" i="7" s="1"/>
  <c r="F1644" i="7"/>
  <c r="G1644" i="7" s="1"/>
  <c r="F1643" i="7"/>
  <c r="G1643" i="7" s="1"/>
  <c r="F1642" i="7"/>
  <c r="G1642" i="7" s="1"/>
  <c r="F1641" i="7"/>
  <c r="G1641" i="7" s="1"/>
  <c r="F1638" i="7"/>
  <c r="G1638" i="7" s="1"/>
  <c r="F1637" i="7"/>
  <c r="G1637" i="7" s="1"/>
  <c r="F1635" i="7"/>
  <c r="G1635" i="7" s="1"/>
  <c r="F1634" i="7"/>
  <c r="G1634" i="7" s="1"/>
  <c r="F1633" i="7"/>
  <c r="G1633" i="7" s="1"/>
  <c r="F1632" i="7"/>
  <c r="G1632" i="7" s="1"/>
  <c r="F1631" i="7"/>
  <c r="G1631" i="7" s="1"/>
  <c r="F1628" i="7"/>
  <c r="G1628" i="7" s="1"/>
  <c r="F1627" i="7"/>
  <c r="G1627" i="7" s="1"/>
  <c r="F1626" i="7"/>
  <c r="G1626" i="7" s="1"/>
  <c r="F1625" i="7"/>
  <c r="G1625" i="7" s="1"/>
  <c r="F1624" i="7"/>
  <c r="G1624" i="7" s="1"/>
  <c r="F1623" i="7"/>
  <c r="G1623" i="7" s="1"/>
  <c r="F1621" i="7"/>
  <c r="G1621" i="7" s="1"/>
  <c r="F1620" i="7"/>
  <c r="G1620" i="7" s="1"/>
  <c r="F1619" i="7"/>
  <c r="G1619" i="7" s="1"/>
  <c r="F1618" i="7"/>
  <c r="G1618" i="7" s="1"/>
  <c r="F1617" i="7"/>
  <c r="G1617" i="7" s="1"/>
  <c r="F1616" i="7"/>
  <c r="G1616" i="7" s="1"/>
  <c r="F1615" i="7"/>
  <c r="G1615" i="7" s="1"/>
  <c r="F1614" i="7"/>
  <c r="G1614" i="7" s="1"/>
  <c r="F1613" i="7"/>
  <c r="G1613" i="7" s="1"/>
  <c r="F1612" i="7"/>
  <c r="G1612" i="7" s="1"/>
  <c r="F1610" i="7"/>
  <c r="G1610" i="7" s="1"/>
  <c r="F1607" i="7"/>
  <c r="G1607" i="7" s="1"/>
  <c r="F1606" i="7"/>
  <c r="G1606" i="7" s="1"/>
  <c r="F1605" i="7"/>
  <c r="G1605" i="7" s="1"/>
  <c r="F1604" i="7"/>
  <c r="G1604" i="7" s="1"/>
  <c r="F1603" i="7"/>
  <c r="G1603" i="7" s="1"/>
  <c r="F1602" i="7"/>
  <c r="G1602" i="7" s="1"/>
  <c r="F1601" i="7"/>
  <c r="G1601" i="7" s="1"/>
  <c r="F1600" i="7"/>
  <c r="G1600" i="7" s="1"/>
  <c r="F1599" i="7"/>
  <c r="G1599" i="7" s="1"/>
  <c r="F1598" i="7"/>
  <c r="G1598" i="7" s="1"/>
  <c r="F1597" i="7"/>
  <c r="G1597" i="7" s="1"/>
  <c r="F1596" i="7"/>
  <c r="G1596" i="7" s="1"/>
  <c r="F1595" i="7"/>
  <c r="G1595" i="7" s="1"/>
  <c r="F1594" i="7"/>
  <c r="G1594" i="7" s="1"/>
  <c r="F1593" i="7"/>
  <c r="G1593" i="7" s="1"/>
  <c r="F1592" i="7"/>
  <c r="G1592" i="7" s="1"/>
  <c r="F1591" i="7"/>
  <c r="G1591" i="7" s="1"/>
  <c r="F1590" i="7"/>
  <c r="G1590" i="7" s="1"/>
  <c r="F1588" i="7"/>
  <c r="G1588" i="7" s="1"/>
  <c r="F1587" i="7"/>
  <c r="G1587" i="7" s="1"/>
  <c r="F1586" i="7"/>
  <c r="G1586" i="7" s="1"/>
  <c r="F1585" i="7"/>
  <c r="G1585" i="7" s="1"/>
  <c r="F1584" i="7"/>
  <c r="G1584" i="7" s="1"/>
  <c r="F1583" i="7"/>
  <c r="G1583" i="7" s="1"/>
  <c r="F1582" i="7"/>
  <c r="G1582" i="7" s="1"/>
  <c r="F1581" i="7"/>
  <c r="G1581" i="7" s="1"/>
  <c r="F1580" i="7"/>
  <c r="G1580" i="7" s="1"/>
  <c r="F1579" i="7"/>
  <c r="G1579" i="7" s="1"/>
  <c r="F1578" i="7"/>
  <c r="G1578" i="7" s="1"/>
  <c r="F1577" i="7"/>
  <c r="G1577" i="7" s="1"/>
  <c r="F1576" i="7"/>
  <c r="G1576" i="7" s="1"/>
  <c r="F1575" i="7"/>
  <c r="G1575" i="7" s="1"/>
  <c r="F1574" i="7"/>
  <c r="G1574" i="7" s="1"/>
  <c r="F1573" i="7"/>
  <c r="G1573" i="7" s="1"/>
  <c r="F1572" i="7"/>
  <c r="G1572" i="7" s="1"/>
  <c r="F1571" i="7"/>
  <c r="G1571" i="7" s="1"/>
  <c r="F1570" i="7"/>
  <c r="G1570" i="7" s="1"/>
  <c r="F1569" i="7"/>
  <c r="G1569" i="7" s="1"/>
  <c r="F1568" i="7"/>
  <c r="G1568" i="7" s="1"/>
  <c r="F1567" i="7"/>
  <c r="G1567" i="7" s="1"/>
  <c r="F1566" i="7"/>
  <c r="G1566" i="7" s="1"/>
  <c r="F1565" i="7"/>
  <c r="G1565" i="7" s="1"/>
  <c r="F1564" i="7"/>
  <c r="G1564" i="7" s="1"/>
  <c r="F1563" i="7"/>
  <c r="G1563" i="7" s="1"/>
  <c r="F1562" i="7"/>
  <c r="G1562" i="7" s="1"/>
  <c r="F1561" i="7"/>
  <c r="G1561" i="7" s="1"/>
  <c r="F1560" i="7"/>
  <c r="G1560" i="7" s="1"/>
  <c r="F1559" i="7"/>
  <c r="G1559" i="7" s="1"/>
  <c r="F1558" i="7"/>
  <c r="G1558" i="7" s="1"/>
  <c r="F1557" i="7"/>
  <c r="G1557" i="7" s="1"/>
  <c r="F1556" i="7"/>
  <c r="G1556" i="7" s="1"/>
  <c r="F1555" i="7"/>
  <c r="G1555" i="7" s="1"/>
  <c r="F1554" i="7"/>
  <c r="G1554" i="7" s="1"/>
  <c r="F1553" i="7"/>
  <c r="G1553" i="7" s="1"/>
  <c r="F1552" i="7"/>
  <c r="G1552" i="7" s="1"/>
  <c r="F1551" i="7"/>
  <c r="G1551" i="7" s="1"/>
  <c r="F1549" i="7"/>
  <c r="G1549" i="7" s="1"/>
  <c r="F1548" i="7"/>
  <c r="G1548" i="7" s="1"/>
  <c r="F1547" i="7"/>
  <c r="G1547" i="7" s="1"/>
  <c r="F1546" i="7"/>
  <c r="G1546" i="7" s="1"/>
  <c r="F1545" i="7"/>
  <c r="G1545" i="7" s="1"/>
  <c r="F1544" i="7"/>
  <c r="G1544" i="7" s="1"/>
  <c r="F1543" i="7"/>
  <c r="G1543" i="7" s="1"/>
  <c r="F1542" i="7"/>
  <c r="G1542" i="7" s="1"/>
  <c r="F1541" i="7"/>
  <c r="G1541" i="7" s="1"/>
  <c r="F1540" i="7"/>
  <c r="G1540" i="7" s="1"/>
  <c r="F1539" i="7"/>
  <c r="G1539" i="7" s="1"/>
  <c r="F1538" i="7"/>
  <c r="G1538" i="7" s="1"/>
  <c r="F1537" i="7"/>
  <c r="G1537" i="7" s="1"/>
  <c r="F1536" i="7"/>
  <c r="G1536" i="7" s="1"/>
  <c r="F1535" i="7"/>
  <c r="G1535" i="7" s="1"/>
  <c r="F1534" i="7"/>
  <c r="G1534" i="7" s="1"/>
  <c r="F1533" i="7"/>
  <c r="G1533" i="7" s="1"/>
  <c r="F1532" i="7"/>
  <c r="G1532" i="7" s="1"/>
  <c r="F1531" i="7"/>
  <c r="G1531" i="7" s="1"/>
  <c r="F1530" i="7"/>
  <c r="G1530" i="7" s="1"/>
  <c r="F1529" i="7"/>
  <c r="G1529" i="7" s="1"/>
  <c r="F1528" i="7"/>
  <c r="G1528" i="7" s="1"/>
  <c r="F1527" i="7"/>
  <c r="G1527" i="7" s="1"/>
  <c r="F1526" i="7"/>
  <c r="G1526" i="7" s="1"/>
  <c r="F1523" i="7"/>
  <c r="G1523" i="7" s="1"/>
  <c r="F1522" i="7"/>
  <c r="G1522" i="7" s="1"/>
  <c r="F1521" i="7"/>
  <c r="G1521" i="7" s="1"/>
  <c r="F1520" i="7"/>
  <c r="G1520" i="7" s="1"/>
  <c r="F1519" i="7"/>
  <c r="G1519" i="7" s="1"/>
  <c r="F1518" i="7"/>
  <c r="G1518" i="7" s="1"/>
  <c r="F1517" i="7"/>
  <c r="G1517" i="7" s="1"/>
  <c r="F1516" i="7"/>
  <c r="G1516" i="7" s="1"/>
  <c r="F1515" i="7"/>
  <c r="G1515" i="7" s="1"/>
  <c r="F1514" i="7"/>
  <c r="G1514" i="7" s="1"/>
  <c r="F1513" i="7"/>
  <c r="G1513" i="7" s="1"/>
  <c r="F1512" i="7"/>
  <c r="G1512" i="7" s="1"/>
  <c r="F1511" i="7"/>
  <c r="G1511" i="7" s="1"/>
  <c r="F1510" i="7"/>
  <c r="G1510" i="7" s="1"/>
  <c r="F1509" i="7"/>
  <c r="G1509" i="7" s="1"/>
  <c r="F1508" i="7"/>
  <c r="G1508" i="7" s="1"/>
  <c r="F1507" i="7"/>
  <c r="G1507" i="7" s="1"/>
  <c r="F1506" i="7"/>
  <c r="G1506" i="7" s="1"/>
  <c r="F1505" i="7"/>
  <c r="G1505" i="7" s="1"/>
  <c r="F1504" i="7"/>
  <c r="G1504" i="7" s="1"/>
  <c r="F1503" i="7"/>
  <c r="G1503" i="7" s="1"/>
  <c r="F1502" i="7"/>
  <c r="G1502" i="7" s="1"/>
  <c r="F1501" i="7"/>
  <c r="G1501" i="7" s="1"/>
  <c r="F1500" i="7"/>
  <c r="G1500" i="7" s="1"/>
  <c r="F1499" i="7"/>
  <c r="G1499" i="7" s="1"/>
  <c r="F1498" i="7"/>
  <c r="G1498" i="7" s="1"/>
  <c r="F1497" i="7"/>
  <c r="G1497" i="7" s="1"/>
  <c r="F1496" i="7"/>
  <c r="G1496" i="7" s="1"/>
  <c r="F1495" i="7"/>
  <c r="G1495" i="7" s="1"/>
  <c r="F1494" i="7"/>
  <c r="G1494" i="7" s="1"/>
  <c r="F1493" i="7"/>
  <c r="G1493" i="7" s="1"/>
  <c r="F1492" i="7"/>
  <c r="G1492" i="7" s="1"/>
  <c r="F1490" i="7"/>
  <c r="G1490" i="7" s="1"/>
  <c r="F1489" i="7"/>
  <c r="G1489" i="7" s="1"/>
  <c r="F1488" i="7"/>
  <c r="G1488" i="7" s="1"/>
  <c r="F1487" i="7"/>
  <c r="G1487" i="7" s="1"/>
  <c r="F1486" i="7"/>
  <c r="G1486" i="7" s="1"/>
  <c r="F1485" i="7"/>
  <c r="G1485" i="7" s="1"/>
  <c r="F1484" i="7"/>
  <c r="G1484" i="7" s="1"/>
  <c r="F1483" i="7"/>
  <c r="G1483" i="7" s="1"/>
  <c r="F1482" i="7"/>
  <c r="G1482" i="7" s="1"/>
  <c r="F1481" i="7"/>
  <c r="G1481" i="7" s="1"/>
  <c r="F1480" i="7"/>
  <c r="G1480" i="7" s="1"/>
  <c r="F1478" i="7"/>
  <c r="G1478" i="7" s="1"/>
  <c r="F1477" i="7"/>
  <c r="G1477" i="7" s="1"/>
  <c r="F1476" i="7"/>
  <c r="G1476" i="7" s="1"/>
  <c r="F1475" i="7"/>
  <c r="G1475" i="7" s="1"/>
  <c r="F1474" i="7"/>
  <c r="G1474" i="7" s="1"/>
  <c r="F1473" i="7"/>
  <c r="G1473" i="7" s="1"/>
  <c r="F1472" i="7"/>
  <c r="G1472" i="7" s="1"/>
  <c r="F1471" i="7"/>
  <c r="G1471" i="7" s="1"/>
  <c r="F1469" i="7"/>
  <c r="G1469" i="7" s="1"/>
  <c r="F1468" i="7"/>
  <c r="G1468" i="7" s="1"/>
  <c r="F1467" i="7"/>
  <c r="G1467" i="7" s="1"/>
  <c r="F1466" i="7"/>
  <c r="G1466" i="7" s="1"/>
  <c r="F1465" i="7"/>
  <c r="G1465" i="7" s="1"/>
  <c r="F1464" i="7"/>
  <c r="G1464" i="7" s="1"/>
  <c r="F1463" i="7"/>
  <c r="G1463" i="7" s="1"/>
  <c r="F1462" i="7"/>
  <c r="G1462" i="7" s="1"/>
  <c r="F1461" i="7"/>
  <c r="G1461" i="7" s="1"/>
  <c r="F1459" i="7"/>
  <c r="G1459" i="7" s="1"/>
  <c r="F1458" i="7"/>
  <c r="G1458" i="7" s="1"/>
  <c r="F1456" i="7"/>
  <c r="G1456" i="7" s="1"/>
  <c r="F1455" i="7"/>
  <c r="G1455" i="7" s="1"/>
  <c r="F1454" i="7"/>
  <c r="G1454" i="7" s="1"/>
  <c r="F1452" i="7"/>
  <c r="G1452" i="7" s="1"/>
  <c r="F1451" i="7"/>
  <c r="G1451" i="7" s="1"/>
  <c r="F1450" i="7"/>
  <c r="G1450" i="7" s="1"/>
  <c r="F1449" i="7"/>
  <c r="G1449" i="7" s="1"/>
  <c r="F1448" i="7"/>
  <c r="G1448" i="7" s="1"/>
  <c r="F1447" i="7"/>
  <c r="G1447" i="7" s="1"/>
  <c r="F1446" i="7"/>
  <c r="G1446" i="7" s="1"/>
  <c r="F1444" i="7"/>
  <c r="G1444" i="7" s="1"/>
  <c r="F1443" i="7"/>
  <c r="G1443" i="7" s="1"/>
  <c r="F1442" i="7"/>
  <c r="G1442" i="7" s="1"/>
  <c r="F1441" i="7"/>
  <c r="G1441" i="7" s="1"/>
  <c r="F1440" i="7"/>
  <c r="G1440" i="7" s="1"/>
  <c r="F1439" i="7"/>
  <c r="G1439" i="7" s="1"/>
  <c r="F1438" i="7"/>
  <c r="G1438" i="7" s="1"/>
  <c r="F1437" i="7"/>
  <c r="G1437" i="7" s="1"/>
  <c r="F1434" i="7"/>
  <c r="G1434" i="7" s="1"/>
  <c r="F1432" i="7"/>
  <c r="G1432" i="7" s="1"/>
  <c r="F1431" i="7"/>
  <c r="G1431" i="7" s="1"/>
  <c r="F1430" i="7"/>
  <c r="G1430" i="7" s="1"/>
  <c r="F1429" i="7"/>
  <c r="G1429" i="7" s="1"/>
  <c r="F1427" i="7"/>
  <c r="G1427" i="7" s="1"/>
  <c r="F1425" i="7"/>
  <c r="G1425" i="7" s="1"/>
  <c r="F1424" i="7"/>
  <c r="G1424" i="7" s="1"/>
  <c r="F1423" i="7"/>
  <c r="G1423" i="7" s="1"/>
  <c r="F1422" i="7"/>
  <c r="G1422" i="7" s="1"/>
  <c r="F1419" i="7"/>
  <c r="G1419" i="7" s="1"/>
  <c r="F1418" i="7"/>
  <c r="G1418" i="7" s="1"/>
  <c r="F1417" i="7"/>
  <c r="G1417" i="7" s="1"/>
  <c r="F1416" i="7"/>
  <c r="G1416" i="7" s="1"/>
  <c r="F1415" i="7"/>
  <c r="G1415" i="7" s="1"/>
  <c r="F1412" i="7"/>
  <c r="G1412" i="7" s="1"/>
  <c r="F1411" i="7"/>
  <c r="G1411" i="7" s="1"/>
  <c r="F1410" i="7"/>
  <c r="G1410" i="7" s="1"/>
  <c r="F1409" i="7"/>
  <c r="G1409" i="7" s="1"/>
  <c r="F1408" i="7"/>
  <c r="G1408" i="7" s="1"/>
  <c r="F1407" i="7"/>
  <c r="G1407" i="7" s="1"/>
  <c r="F1406" i="7"/>
  <c r="G1406" i="7" s="1"/>
  <c r="F1405" i="7"/>
  <c r="G1405" i="7" s="1"/>
  <c r="F1404" i="7"/>
  <c r="G1404" i="7" s="1"/>
  <c r="F1403" i="7"/>
  <c r="G1403" i="7" s="1"/>
  <c r="F1402" i="7"/>
  <c r="G1402" i="7" s="1"/>
  <c r="F1401" i="7"/>
  <c r="G1401" i="7" s="1"/>
  <c r="F1400" i="7"/>
  <c r="G1400" i="7" s="1"/>
  <c r="F1399" i="7"/>
  <c r="G1399" i="7" s="1"/>
  <c r="F1398" i="7"/>
  <c r="G1398" i="7" s="1"/>
  <c r="F1397" i="7"/>
  <c r="G1397" i="7" s="1"/>
  <c r="F1396" i="7"/>
  <c r="G1396" i="7" s="1"/>
  <c r="F1395" i="7"/>
  <c r="G1395" i="7" s="1"/>
  <c r="F1394" i="7"/>
  <c r="G1394" i="7" s="1"/>
  <c r="F1392" i="7"/>
  <c r="G1392" i="7" s="1"/>
  <c r="F1391" i="7"/>
  <c r="G1391" i="7" s="1"/>
  <c r="F1390" i="7"/>
  <c r="G1390" i="7" s="1"/>
  <c r="F1389" i="7"/>
  <c r="G1389" i="7" s="1"/>
  <c r="F1388" i="7"/>
  <c r="G1388" i="7" s="1"/>
  <c r="F1387" i="7"/>
  <c r="G1387" i="7" s="1"/>
  <c r="F1386" i="7"/>
  <c r="G1386" i="7" s="1"/>
  <c r="F1384" i="7"/>
  <c r="G1384" i="7" s="1"/>
  <c r="F1383" i="7"/>
  <c r="G1383" i="7" s="1"/>
  <c r="F1382" i="7"/>
  <c r="G1382" i="7" s="1"/>
  <c r="F1381" i="7"/>
  <c r="G1381" i="7" s="1"/>
  <c r="F1380" i="7"/>
  <c r="G1380" i="7" s="1"/>
  <c r="F1379" i="7"/>
  <c r="G1379" i="7" s="1"/>
  <c r="F1378" i="7"/>
  <c r="G1378" i="7" s="1"/>
  <c r="F1377" i="7"/>
  <c r="G1377" i="7" s="1"/>
  <c r="F1376" i="7"/>
  <c r="G1376" i="7" s="1"/>
  <c r="F1375" i="7"/>
  <c r="G1375" i="7" s="1"/>
  <c r="F1374" i="7"/>
  <c r="G1374" i="7" s="1"/>
  <c r="F1373" i="7"/>
  <c r="G1373" i="7" s="1"/>
  <c r="F1371" i="7"/>
  <c r="G1371" i="7" s="1"/>
  <c r="F1370" i="7"/>
  <c r="G1370" i="7" s="1"/>
  <c r="F1369" i="7"/>
  <c r="G1369" i="7" s="1"/>
  <c r="F1368" i="7"/>
  <c r="G1368" i="7" s="1"/>
  <c r="F1367" i="7"/>
  <c r="G1367" i="7" s="1"/>
  <c r="F1366" i="7"/>
  <c r="G1366" i="7" s="1"/>
  <c r="F1365" i="7"/>
  <c r="G1365" i="7" s="1"/>
  <c r="F1364" i="7"/>
  <c r="G1364" i="7" s="1"/>
  <c r="F1363" i="7"/>
  <c r="G1363" i="7" s="1"/>
  <c r="F1362" i="7"/>
  <c r="G1362" i="7" s="1"/>
  <c r="F1361" i="7"/>
  <c r="G1361" i="7" s="1"/>
  <c r="F1360" i="7"/>
  <c r="G1360" i="7" s="1"/>
  <c r="F1359" i="7"/>
  <c r="G1359" i="7" s="1"/>
  <c r="F1358" i="7"/>
  <c r="G1358" i="7" s="1"/>
  <c r="F1357" i="7"/>
  <c r="G1357" i="7" s="1"/>
  <c r="F1356" i="7"/>
  <c r="G1356" i="7" s="1"/>
  <c r="F1355" i="7"/>
  <c r="G1355" i="7" s="1"/>
  <c r="F1354" i="7"/>
  <c r="G1354" i="7" s="1"/>
  <c r="F1353" i="7"/>
  <c r="G1353" i="7" s="1"/>
  <c r="F1352" i="7"/>
  <c r="G1352" i="7" s="1"/>
  <c r="F1350" i="7"/>
  <c r="G1350" i="7" s="1"/>
  <c r="F1349" i="7"/>
  <c r="G1349" i="7" s="1"/>
  <c r="F1348" i="7"/>
  <c r="G1348" i="7" s="1"/>
  <c r="F1347" i="7"/>
  <c r="G1347" i="7" s="1"/>
  <c r="F1346" i="7"/>
  <c r="G1346" i="7" s="1"/>
  <c r="F1345" i="7"/>
  <c r="G1345" i="7" s="1"/>
  <c r="F1344" i="7"/>
  <c r="G1344" i="7" s="1"/>
  <c r="F1343" i="7"/>
  <c r="G1343" i="7" s="1"/>
  <c r="F1342" i="7"/>
  <c r="G1342" i="7" s="1"/>
  <c r="F1341" i="7"/>
  <c r="G1341" i="7" s="1"/>
  <c r="F1340" i="7"/>
  <c r="G1340" i="7" s="1"/>
  <c r="F1339" i="7"/>
  <c r="G1339" i="7" s="1"/>
  <c r="F1338" i="7"/>
  <c r="G1338" i="7" s="1"/>
  <c r="F1337" i="7"/>
  <c r="G1337" i="7" s="1"/>
  <c r="F1336" i="7"/>
  <c r="G1336" i="7" s="1"/>
  <c r="F1335" i="7"/>
  <c r="G1335" i="7" s="1"/>
  <c r="F1334" i="7"/>
  <c r="G1334" i="7" s="1"/>
  <c r="F1333" i="7"/>
  <c r="G1333" i="7" s="1"/>
  <c r="F1332" i="7"/>
  <c r="G1332" i="7" s="1"/>
  <c r="F1331" i="7"/>
  <c r="G1331" i="7" s="1"/>
  <c r="F1330" i="7"/>
  <c r="G1330" i="7" s="1"/>
  <c r="F1329" i="7"/>
  <c r="G1329" i="7" s="1"/>
  <c r="F1328" i="7"/>
  <c r="G1328" i="7" s="1"/>
  <c r="F1327" i="7"/>
  <c r="G1327" i="7" s="1"/>
  <c r="F1326" i="7"/>
  <c r="G1326" i="7" s="1"/>
  <c r="F1325" i="7"/>
  <c r="G1325" i="7" s="1"/>
  <c r="F1324" i="7"/>
  <c r="G1324" i="7" s="1"/>
  <c r="F1323" i="7"/>
  <c r="G1323" i="7" s="1"/>
  <c r="F1322" i="7"/>
  <c r="G1322" i="7" s="1"/>
  <c r="F1321" i="7"/>
  <c r="G1321" i="7" s="1"/>
  <c r="F1320" i="7"/>
  <c r="G1320" i="7" s="1"/>
  <c r="F1319" i="7"/>
  <c r="G1319" i="7" s="1"/>
  <c r="F1318" i="7"/>
  <c r="G1318" i="7" s="1"/>
  <c r="F1317" i="7"/>
  <c r="G1317" i="7" s="1"/>
  <c r="F1316" i="7"/>
  <c r="G1316" i="7" s="1"/>
  <c r="F1315" i="7"/>
  <c r="G1315" i="7" s="1"/>
  <c r="F1314" i="7"/>
  <c r="G1314" i="7" s="1"/>
  <c r="F1313" i="7"/>
  <c r="G1313" i="7" s="1"/>
  <c r="F1312" i="7"/>
  <c r="G1312" i="7" s="1"/>
  <c r="F1311" i="7"/>
  <c r="G1311" i="7" s="1"/>
  <c r="F1310" i="7"/>
  <c r="G1310" i="7" s="1"/>
  <c r="F1309" i="7"/>
  <c r="G1309" i="7" s="1"/>
  <c r="F1308" i="7"/>
  <c r="G1308" i="7" s="1"/>
  <c r="F1307" i="7"/>
  <c r="G1307" i="7" s="1"/>
  <c r="F1306" i="7"/>
  <c r="G1306" i="7" s="1"/>
  <c r="F1305" i="7"/>
  <c r="G1305" i="7" s="1"/>
  <c r="F1304" i="7"/>
  <c r="G1304" i="7" s="1"/>
  <c r="F1303" i="7"/>
  <c r="G1303" i="7" s="1"/>
  <c r="F1302" i="7"/>
  <c r="G1302" i="7" s="1"/>
  <c r="F1301" i="7"/>
  <c r="G1301" i="7" s="1"/>
  <c r="F1300" i="7"/>
  <c r="G1300" i="7" s="1"/>
  <c r="F1299" i="7"/>
  <c r="G1299" i="7" s="1"/>
  <c r="F1298" i="7"/>
  <c r="G1298" i="7" s="1"/>
  <c r="F1297" i="7"/>
  <c r="G1297" i="7" s="1"/>
  <c r="F1296" i="7"/>
  <c r="G1296" i="7" s="1"/>
  <c r="F1295" i="7"/>
  <c r="G1295" i="7" s="1"/>
  <c r="F1294" i="7"/>
  <c r="G1294" i="7" s="1"/>
  <c r="F1293" i="7"/>
  <c r="G1293" i="7" s="1"/>
  <c r="F1292" i="7"/>
  <c r="G1292" i="7" s="1"/>
  <c r="F1291" i="7"/>
  <c r="G1291" i="7" s="1"/>
  <c r="F1290" i="7"/>
  <c r="G1290" i="7" s="1"/>
  <c r="F1289" i="7"/>
  <c r="G1289" i="7" s="1"/>
  <c r="F1288" i="7"/>
  <c r="G1288" i="7" s="1"/>
  <c r="F1287" i="7"/>
  <c r="G1287" i="7" s="1"/>
  <c r="F1286" i="7"/>
  <c r="G1286" i="7" s="1"/>
  <c r="F1283" i="7"/>
  <c r="G1283" i="7" s="1"/>
  <c r="F1280" i="7"/>
  <c r="G1280" i="7" s="1"/>
  <c r="F1278" i="7"/>
  <c r="G1278" i="7" s="1"/>
  <c r="F1277" i="7"/>
  <c r="G1277" i="7" s="1"/>
  <c r="F1275" i="7"/>
  <c r="G1275" i="7" s="1"/>
  <c r="F1274" i="7"/>
  <c r="G1274" i="7" s="1"/>
  <c r="F1273" i="7"/>
  <c r="G1273" i="7" s="1"/>
  <c r="F1272" i="7"/>
  <c r="G1272" i="7" s="1"/>
  <c r="F1269" i="7"/>
  <c r="G1269" i="7" s="1"/>
  <c r="F1268" i="7"/>
  <c r="G1268" i="7" s="1"/>
  <c r="F1267" i="7"/>
  <c r="G1267" i="7" s="1"/>
  <c r="F1266" i="7"/>
  <c r="G1266" i="7" s="1"/>
  <c r="F1265" i="7"/>
  <c r="G1265" i="7" s="1"/>
  <c r="F1264" i="7"/>
  <c r="G1264" i="7" s="1"/>
  <c r="F1263" i="7"/>
  <c r="G1263" i="7" s="1"/>
  <c r="F1262" i="7"/>
  <c r="G1262" i="7" s="1"/>
  <c r="F1261" i="7"/>
  <c r="G1261" i="7" s="1"/>
  <c r="F1260" i="7"/>
  <c r="G1260" i="7" s="1"/>
  <c r="F1259" i="7"/>
  <c r="G1259" i="7" s="1"/>
  <c r="F1258" i="7"/>
  <c r="G1258" i="7" s="1"/>
  <c r="F1257" i="7"/>
  <c r="G1257" i="7" s="1"/>
  <c r="F1256" i="7"/>
  <c r="G1256" i="7" s="1"/>
  <c r="F1255" i="7"/>
  <c r="G1255" i="7" s="1"/>
  <c r="F1254" i="7"/>
  <c r="G1254" i="7" s="1"/>
  <c r="F1253" i="7"/>
  <c r="G1253" i="7" s="1"/>
  <c r="F1251" i="7"/>
  <c r="G1251" i="7" s="1"/>
  <c r="F1250" i="7"/>
  <c r="G1250" i="7" s="1"/>
  <c r="F1249" i="7"/>
  <c r="G1249" i="7" s="1"/>
  <c r="F1248" i="7"/>
  <c r="G1248" i="7" s="1"/>
  <c r="F1247" i="7"/>
  <c r="G1247" i="7" s="1"/>
  <c r="F1246" i="7"/>
  <c r="G1246" i="7" s="1"/>
  <c r="F1245" i="7"/>
  <c r="G1245" i="7" s="1"/>
  <c r="F1244" i="7"/>
  <c r="G1244" i="7" s="1"/>
  <c r="F1243" i="7"/>
  <c r="G1243" i="7" s="1"/>
  <c r="F1242" i="7"/>
  <c r="G1242" i="7" s="1"/>
  <c r="F1241" i="7"/>
  <c r="G1241" i="7" s="1"/>
  <c r="F1238" i="7"/>
  <c r="G1238" i="7" s="1"/>
  <c r="F1237" i="7"/>
  <c r="G1237" i="7" s="1"/>
  <c r="F1236" i="7"/>
  <c r="G1236" i="7" s="1"/>
  <c r="F1234" i="7"/>
  <c r="G1234" i="7" s="1"/>
  <c r="F1233" i="7"/>
  <c r="G1233" i="7" s="1"/>
  <c r="F1232" i="7"/>
  <c r="G1232" i="7" s="1"/>
  <c r="F1231" i="7"/>
  <c r="G1231" i="7" s="1"/>
  <c r="F1230" i="7"/>
  <c r="G1230" i="7" s="1"/>
  <c r="F1229" i="7"/>
  <c r="G1229" i="7" s="1"/>
  <c r="F1228" i="7"/>
  <c r="G1228" i="7" s="1"/>
  <c r="F1227" i="7"/>
  <c r="G1227" i="7" s="1"/>
  <c r="F1226" i="7"/>
  <c r="G1226" i="7" s="1"/>
  <c r="F1225" i="7"/>
  <c r="G1225" i="7" s="1"/>
  <c r="F1224" i="7"/>
  <c r="G1224" i="7" s="1"/>
  <c r="F1223" i="7"/>
  <c r="G1223" i="7" s="1"/>
  <c r="F1222" i="7"/>
  <c r="G1222" i="7" s="1"/>
  <c r="F1221" i="7"/>
  <c r="G1221" i="7" s="1"/>
  <c r="F1219" i="7"/>
  <c r="G1219" i="7" s="1"/>
  <c r="F1218" i="7"/>
  <c r="G1218" i="7" s="1"/>
  <c r="F1217" i="7"/>
  <c r="G1217" i="7" s="1"/>
  <c r="F1216" i="7"/>
  <c r="G1216" i="7" s="1"/>
  <c r="F1214" i="7"/>
  <c r="G1214" i="7" s="1"/>
  <c r="F1213" i="7"/>
  <c r="G1213" i="7" s="1"/>
  <c r="F1212" i="7"/>
  <c r="G1212" i="7" s="1"/>
  <c r="F1211" i="7"/>
  <c r="G1211" i="7" s="1"/>
  <c r="F1210" i="7"/>
  <c r="G1210" i="7" s="1"/>
  <c r="F1209" i="7"/>
  <c r="G1209" i="7" s="1"/>
  <c r="F1208" i="7"/>
  <c r="G1208" i="7" s="1"/>
  <c r="F1207" i="7"/>
  <c r="G1207" i="7" s="1"/>
  <c r="F1204" i="7"/>
  <c r="G1204" i="7" s="1"/>
  <c r="F1203" i="7"/>
  <c r="G1203" i="7" s="1"/>
  <c r="F1202" i="7"/>
  <c r="G1202" i="7" s="1"/>
  <c r="F1201" i="7"/>
  <c r="G1201" i="7" s="1"/>
  <c r="F1199" i="7"/>
  <c r="G1199" i="7" s="1"/>
  <c r="F1198" i="7"/>
  <c r="G1198" i="7" s="1"/>
  <c r="F1197" i="7"/>
  <c r="G1197" i="7" s="1"/>
  <c r="F1196" i="7"/>
  <c r="G1196" i="7" s="1"/>
  <c r="F1195" i="7"/>
  <c r="G1195" i="7" s="1"/>
  <c r="F1194" i="7"/>
  <c r="G1194" i="7" s="1"/>
  <c r="F1192" i="7"/>
  <c r="G1192" i="7" s="1"/>
  <c r="F1191" i="7"/>
  <c r="G1191" i="7" s="1"/>
  <c r="F1190" i="7"/>
  <c r="G1190" i="7" s="1"/>
  <c r="F1189" i="7"/>
  <c r="G1189" i="7" s="1"/>
  <c r="F1188" i="7"/>
  <c r="G1188" i="7" s="1"/>
  <c r="F1187" i="7"/>
  <c r="G1187" i="7" s="1"/>
  <c r="F1186" i="7"/>
  <c r="G1186" i="7" s="1"/>
  <c r="F1185" i="7"/>
  <c r="G1185" i="7" s="1"/>
  <c r="F1184" i="7"/>
  <c r="G1184" i="7" s="1"/>
  <c r="F1181" i="7"/>
  <c r="G1181" i="7" s="1"/>
  <c r="F1179" i="7"/>
  <c r="G1179" i="7" s="1"/>
  <c r="F1178" i="7"/>
  <c r="G1178" i="7" s="1"/>
  <c r="F1177" i="7"/>
  <c r="G1177" i="7" s="1"/>
  <c r="F1176" i="7"/>
  <c r="G1176" i="7" s="1"/>
  <c r="F1175" i="7"/>
  <c r="G1175" i="7" s="1"/>
  <c r="F1174" i="7"/>
  <c r="G1174" i="7" s="1"/>
  <c r="F1172" i="7"/>
  <c r="G1172" i="7" s="1"/>
  <c r="F1171" i="7"/>
  <c r="G1171" i="7" s="1"/>
  <c r="F1170" i="7"/>
  <c r="G1170" i="7" s="1"/>
  <c r="F1169" i="7"/>
  <c r="G1169" i="7" s="1"/>
  <c r="F1168" i="7"/>
  <c r="G1168" i="7" s="1"/>
  <c r="F1167" i="7"/>
  <c r="G1167" i="7" s="1"/>
  <c r="F1166" i="7"/>
  <c r="G1166" i="7" s="1"/>
  <c r="F1165" i="7"/>
  <c r="G1165" i="7" s="1"/>
  <c r="F1163" i="7"/>
  <c r="G1163" i="7" s="1"/>
  <c r="F1162" i="7"/>
  <c r="G1162" i="7" s="1"/>
  <c r="F1161" i="7"/>
  <c r="G1161" i="7" s="1"/>
  <c r="F1160" i="7"/>
  <c r="G1160" i="7" s="1"/>
  <c r="F1159" i="7"/>
  <c r="G1159" i="7" s="1"/>
  <c r="F1158" i="7"/>
  <c r="G1158" i="7" s="1"/>
  <c r="F1156" i="7"/>
  <c r="G1156" i="7" s="1"/>
  <c r="F1153" i="7"/>
  <c r="G1153" i="7" s="1"/>
  <c r="F1150" i="7"/>
  <c r="G1150" i="7" s="1"/>
  <c r="F1149" i="7"/>
  <c r="G1149" i="7" s="1"/>
  <c r="F1148" i="7"/>
  <c r="G1148" i="7" s="1"/>
  <c r="F1147" i="7"/>
  <c r="G1147" i="7" s="1"/>
  <c r="F1146" i="7"/>
  <c r="G1146" i="7" s="1"/>
  <c r="F1144" i="7"/>
  <c r="G1144" i="7" s="1"/>
  <c r="F1143" i="7"/>
  <c r="G1143" i="7" s="1"/>
  <c r="F1142" i="7"/>
  <c r="G1142" i="7" s="1"/>
  <c r="F1141" i="7"/>
  <c r="G1141" i="7" s="1"/>
  <c r="F1140" i="7"/>
  <c r="G1140" i="7" s="1"/>
  <c r="F1138" i="7"/>
  <c r="G1138" i="7" s="1"/>
  <c r="F1137" i="7"/>
  <c r="G1137" i="7" s="1"/>
  <c r="F1136" i="7"/>
  <c r="G1136" i="7" s="1"/>
  <c r="F1135" i="7"/>
  <c r="G1135" i="7" s="1"/>
  <c r="F1134" i="7"/>
  <c r="G1134" i="7" s="1"/>
  <c r="F1133" i="7"/>
  <c r="G1133" i="7" s="1"/>
  <c r="F1132" i="7"/>
  <c r="G1132" i="7" s="1"/>
  <c r="F1131" i="7"/>
  <c r="G1131" i="7" s="1"/>
  <c r="F1129" i="7"/>
  <c r="G1129" i="7" s="1"/>
  <c r="F1128" i="7"/>
  <c r="G1128" i="7" s="1"/>
  <c r="F1127" i="7"/>
  <c r="G1127" i="7" s="1"/>
  <c r="F1126" i="7"/>
  <c r="G1126" i="7" s="1"/>
  <c r="F1125" i="7"/>
  <c r="G1125" i="7" s="1"/>
  <c r="F1124" i="7"/>
  <c r="G1124" i="7" s="1"/>
  <c r="F1123" i="7"/>
  <c r="G1123" i="7" s="1"/>
  <c r="F1122" i="7"/>
  <c r="G1122" i="7" s="1"/>
  <c r="F1121" i="7"/>
  <c r="G1121" i="7" s="1"/>
  <c r="F1120" i="7"/>
  <c r="G1120" i="7" s="1"/>
  <c r="F1119" i="7"/>
  <c r="G1119" i="7" s="1"/>
  <c r="F1118" i="7"/>
  <c r="G1118" i="7" s="1"/>
  <c r="F1117" i="7"/>
  <c r="G1117" i="7" s="1"/>
  <c r="F1114" i="7"/>
  <c r="G1114" i="7" s="1"/>
  <c r="F1113" i="7"/>
  <c r="G1113" i="7" s="1"/>
  <c r="F1112" i="7"/>
  <c r="G1112" i="7" s="1"/>
  <c r="F1111" i="7"/>
  <c r="G1111" i="7" s="1"/>
  <c r="F1110" i="7"/>
  <c r="G1110" i="7" s="1"/>
  <c r="F1109" i="7"/>
  <c r="G1109" i="7" s="1"/>
  <c r="F1108" i="7"/>
  <c r="G1108" i="7" s="1"/>
  <c r="F1107" i="7"/>
  <c r="G1107" i="7" s="1"/>
  <c r="F1106" i="7"/>
  <c r="G1106" i="7" s="1"/>
  <c r="F1105" i="7"/>
  <c r="G1105" i="7" s="1"/>
  <c r="F1104" i="7"/>
  <c r="G1104" i="7" s="1"/>
  <c r="F1103" i="7"/>
  <c r="G1103" i="7" s="1"/>
  <c r="F1102" i="7"/>
  <c r="G1102" i="7" s="1"/>
  <c r="F1101" i="7"/>
  <c r="G1101" i="7" s="1"/>
  <c r="F1100" i="7"/>
  <c r="G1100" i="7" s="1"/>
  <c r="F1098" i="7"/>
  <c r="G1098" i="7" s="1"/>
  <c r="F1097" i="7"/>
  <c r="G1097" i="7" s="1"/>
  <c r="F1096" i="7"/>
  <c r="G1096" i="7" s="1"/>
  <c r="F1095" i="7"/>
  <c r="G1095" i="7" s="1"/>
  <c r="F1094" i="7"/>
  <c r="G1094" i="7" s="1"/>
  <c r="F1093" i="7"/>
  <c r="G1093" i="7" s="1"/>
  <c r="F1092" i="7"/>
  <c r="G1092" i="7" s="1"/>
  <c r="F1091" i="7"/>
  <c r="G1091" i="7" s="1"/>
  <c r="F1090" i="7"/>
  <c r="G1090" i="7" s="1"/>
  <c r="F1087" i="7"/>
  <c r="G1087" i="7" s="1"/>
  <c r="F1086" i="7"/>
  <c r="G1086" i="7" s="1"/>
  <c r="F1085" i="7"/>
  <c r="G1085" i="7" s="1"/>
  <c r="F1084" i="7"/>
  <c r="G1084" i="7" s="1"/>
  <c r="F1081" i="7"/>
  <c r="G1081" i="7" s="1"/>
  <c r="F1079" i="7"/>
  <c r="G1079" i="7" s="1"/>
  <c r="F1076" i="7"/>
  <c r="G1076" i="7" s="1"/>
  <c r="F1073" i="7"/>
  <c r="G1073" i="7" s="1"/>
  <c r="F1072" i="7"/>
  <c r="G1072" i="7" s="1"/>
  <c r="F1071" i="7"/>
  <c r="G1071" i="7" s="1"/>
  <c r="F1070" i="7"/>
  <c r="G1070" i="7" s="1"/>
  <c r="F1069" i="7"/>
  <c r="G1069" i="7" s="1"/>
  <c r="F1068" i="7"/>
  <c r="G1068" i="7" s="1"/>
  <c r="F1067" i="7"/>
  <c r="G1067" i="7" s="1"/>
  <c r="F1066" i="7"/>
  <c r="G1066" i="7" s="1"/>
  <c r="F1065" i="7"/>
  <c r="G1065" i="7" s="1"/>
  <c r="F1064" i="7"/>
  <c r="G1064" i="7" s="1"/>
  <c r="F1063" i="7"/>
  <c r="G1063" i="7" s="1"/>
  <c r="F1062" i="7"/>
  <c r="G1062" i="7" s="1"/>
  <c r="F1061" i="7"/>
  <c r="G1061" i="7" s="1"/>
  <c r="F1060" i="7"/>
  <c r="G1060" i="7" s="1"/>
  <c r="F1059" i="7"/>
  <c r="G1059" i="7" s="1"/>
  <c r="F1058" i="7"/>
  <c r="G1058" i="7" s="1"/>
  <c r="F1057" i="7"/>
  <c r="G1057" i="7" s="1"/>
  <c r="F1056" i="7"/>
  <c r="G1056" i="7" s="1"/>
  <c r="F1055" i="7"/>
  <c r="G1055" i="7" s="1"/>
  <c r="F1054" i="7"/>
  <c r="G1054" i="7" s="1"/>
  <c r="F1053" i="7"/>
  <c r="G1053" i="7" s="1"/>
  <c r="F1052" i="7"/>
  <c r="G1052" i="7" s="1"/>
  <c r="F1051" i="7"/>
  <c r="G1051" i="7" s="1"/>
  <c r="F1050" i="7"/>
  <c r="G1050" i="7" s="1"/>
  <c r="F1049" i="7"/>
  <c r="G1049" i="7" s="1"/>
  <c r="F1048" i="7"/>
  <c r="G1048" i="7" s="1"/>
  <c r="F1047" i="7"/>
  <c r="G1047" i="7" s="1"/>
  <c r="F1044" i="7"/>
  <c r="G1044" i="7" s="1"/>
  <c r="F1043" i="7"/>
  <c r="G1043" i="7" s="1"/>
  <c r="F1042" i="7"/>
  <c r="G1042" i="7" s="1"/>
  <c r="F1041" i="7"/>
  <c r="G1041" i="7" s="1"/>
  <c r="F1040" i="7"/>
  <c r="G1040" i="7" s="1"/>
  <c r="F1039" i="7"/>
  <c r="G1039" i="7" s="1"/>
  <c r="F1037" i="7"/>
  <c r="G1037" i="7" s="1"/>
  <c r="F1036" i="7"/>
  <c r="G1036" i="7" s="1"/>
  <c r="F1035" i="7"/>
  <c r="G1035" i="7" s="1"/>
  <c r="F1034" i="7"/>
  <c r="G1034" i="7" s="1"/>
  <c r="F1032" i="7"/>
  <c r="G1032" i="7" s="1"/>
  <c r="F1031" i="7"/>
  <c r="G1031" i="7" s="1"/>
  <c r="F1030" i="7"/>
  <c r="G1030" i="7" s="1"/>
  <c r="F1029" i="7"/>
  <c r="G1029" i="7" s="1"/>
  <c r="F1028" i="7"/>
  <c r="G1028" i="7" s="1"/>
  <c r="F1027" i="7"/>
  <c r="G1027" i="7" s="1"/>
  <c r="F1026" i="7"/>
  <c r="G1026" i="7" s="1"/>
  <c r="F1025" i="7"/>
  <c r="G1025" i="7" s="1"/>
  <c r="F1022" i="7"/>
  <c r="G1022" i="7" s="1"/>
  <c r="F1021" i="7"/>
  <c r="G1021" i="7" s="1"/>
  <c r="F1020" i="7"/>
  <c r="G1020" i="7" s="1"/>
  <c r="F1019" i="7"/>
  <c r="G1019" i="7" s="1"/>
  <c r="F1018" i="7"/>
  <c r="G1018" i="7" s="1"/>
  <c r="F1017" i="7"/>
  <c r="G1017" i="7" s="1"/>
  <c r="F1016" i="7"/>
  <c r="G1016" i="7" s="1"/>
  <c r="F1015" i="7"/>
  <c r="G1015" i="7" s="1"/>
  <c r="F1014" i="7"/>
  <c r="G1014" i="7" s="1"/>
  <c r="F1013" i="7"/>
  <c r="G1013" i="7" s="1"/>
  <c r="F1012" i="7"/>
  <c r="G1012" i="7" s="1"/>
  <c r="F1011" i="7"/>
  <c r="G1011" i="7" s="1"/>
  <c r="F1010" i="7"/>
  <c r="G1010" i="7" s="1"/>
  <c r="F1009" i="7"/>
  <c r="G1009" i="7" s="1"/>
  <c r="F1008" i="7"/>
  <c r="G1008" i="7" s="1"/>
  <c r="F1007" i="7"/>
  <c r="G1007" i="7" s="1"/>
  <c r="F1006" i="7"/>
  <c r="G1006" i="7" s="1"/>
  <c r="F1005" i="7"/>
  <c r="G1005" i="7" s="1"/>
  <c r="F1004" i="7"/>
  <c r="G1004" i="7" s="1"/>
  <c r="F1003" i="7"/>
  <c r="G1003" i="7" s="1"/>
  <c r="F1002" i="7"/>
  <c r="G1002" i="7" s="1"/>
  <c r="F1001" i="7"/>
  <c r="G1001" i="7" s="1"/>
  <c r="F1000" i="7"/>
  <c r="G1000" i="7" s="1"/>
  <c r="F999" i="7"/>
  <c r="G999" i="7" s="1"/>
  <c r="F998" i="7"/>
  <c r="G998" i="7" s="1"/>
  <c r="F997" i="7"/>
  <c r="G997" i="7" s="1"/>
  <c r="F996" i="7"/>
  <c r="G996" i="7" s="1"/>
  <c r="F995" i="7"/>
  <c r="G995" i="7" s="1"/>
  <c r="F994" i="7"/>
  <c r="G994" i="7" s="1"/>
  <c r="F993" i="7"/>
  <c r="G993" i="7" s="1"/>
  <c r="F992" i="7"/>
  <c r="G992" i="7" s="1"/>
  <c r="F991" i="7"/>
  <c r="G991" i="7" s="1"/>
  <c r="F990" i="7"/>
  <c r="G990" i="7" s="1"/>
  <c r="F989" i="7"/>
  <c r="G989" i="7" s="1"/>
  <c r="F988" i="7"/>
  <c r="G988" i="7" s="1"/>
  <c r="F987" i="7"/>
  <c r="G987" i="7" s="1"/>
  <c r="F986" i="7"/>
  <c r="G986" i="7" s="1"/>
  <c r="F985" i="7"/>
  <c r="G985" i="7" s="1"/>
  <c r="F984" i="7"/>
  <c r="G984" i="7" s="1"/>
  <c r="F983" i="7"/>
  <c r="G983" i="7" s="1"/>
  <c r="F982" i="7"/>
  <c r="G982" i="7" s="1"/>
  <c r="F981" i="7"/>
  <c r="G981" i="7" s="1"/>
  <c r="F980" i="7"/>
  <c r="G980" i="7" s="1"/>
  <c r="F979" i="7"/>
  <c r="G979" i="7" s="1"/>
  <c r="F978" i="7"/>
  <c r="G978" i="7" s="1"/>
  <c r="F977" i="7"/>
  <c r="G977" i="7" s="1"/>
  <c r="F976" i="7"/>
  <c r="G976" i="7" s="1"/>
  <c r="F975" i="7"/>
  <c r="G975" i="7" s="1"/>
  <c r="F974" i="7"/>
  <c r="G974" i="7" s="1"/>
  <c r="F973" i="7"/>
  <c r="G973" i="7" s="1"/>
  <c r="F972" i="7"/>
  <c r="G972" i="7" s="1"/>
  <c r="F971" i="7"/>
  <c r="G971" i="7" s="1"/>
  <c r="F970" i="7"/>
  <c r="G970" i="7" s="1"/>
  <c r="F969" i="7"/>
  <c r="G969" i="7" s="1"/>
  <c r="F968" i="7"/>
  <c r="G968" i="7" s="1"/>
  <c r="F967" i="7"/>
  <c r="G967" i="7" s="1"/>
  <c r="F966" i="7"/>
  <c r="G966" i="7" s="1"/>
  <c r="F965" i="7"/>
  <c r="G965" i="7" s="1"/>
  <c r="F964" i="7"/>
  <c r="G964" i="7" s="1"/>
  <c r="F963" i="7"/>
  <c r="G963" i="7" s="1"/>
  <c r="F962" i="7"/>
  <c r="G962" i="7" s="1"/>
  <c r="F961" i="7"/>
  <c r="G961" i="7" s="1"/>
  <c r="F960" i="7"/>
  <c r="G960" i="7" s="1"/>
  <c r="F959" i="7"/>
  <c r="G959" i="7" s="1"/>
  <c r="F958" i="7"/>
  <c r="G958" i="7" s="1"/>
  <c r="F957" i="7"/>
  <c r="G957" i="7" s="1"/>
  <c r="F956" i="7"/>
  <c r="G956" i="7" s="1"/>
  <c r="F955" i="7"/>
  <c r="G955" i="7" s="1"/>
  <c r="F954" i="7"/>
  <c r="G954" i="7" s="1"/>
  <c r="F953" i="7"/>
  <c r="G953" i="7" s="1"/>
  <c r="F952" i="7"/>
  <c r="G952" i="7" s="1"/>
  <c r="F951" i="7"/>
  <c r="G951" i="7" s="1"/>
  <c r="F950" i="7"/>
  <c r="G950" i="7" s="1"/>
  <c r="F949" i="7"/>
  <c r="G949" i="7" s="1"/>
  <c r="F948" i="7"/>
  <c r="G948" i="7" s="1"/>
  <c r="F947" i="7"/>
  <c r="G947" i="7" s="1"/>
  <c r="F946" i="7"/>
  <c r="G946" i="7" s="1"/>
  <c r="F945" i="7"/>
  <c r="G945" i="7" s="1"/>
  <c r="F944" i="7"/>
  <c r="G944" i="7" s="1"/>
  <c r="F943" i="7"/>
  <c r="G943" i="7" s="1"/>
  <c r="F942" i="7"/>
  <c r="G942" i="7" s="1"/>
  <c r="F941" i="7"/>
  <c r="G941" i="7" s="1"/>
  <c r="F940" i="7"/>
  <c r="G940" i="7" s="1"/>
  <c r="F939" i="7"/>
  <c r="G939" i="7" s="1"/>
  <c r="F938" i="7"/>
  <c r="G938" i="7" s="1"/>
  <c r="F937" i="7"/>
  <c r="G937" i="7" s="1"/>
  <c r="F936" i="7"/>
  <c r="G936" i="7" s="1"/>
  <c r="F935" i="7"/>
  <c r="G935" i="7" s="1"/>
  <c r="F934" i="7"/>
  <c r="G934" i="7" s="1"/>
  <c r="F933" i="7"/>
  <c r="G933" i="7" s="1"/>
  <c r="F932" i="7"/>
  <c r="G932" i="7" s="1"/>
  <c r="F931" i="7"/>
  <c r="G931" i="7" s="1"/>
  <c r="F930" i="7"/>
  <c r="G930" i="7" s="1"/>
  <c r="F929" i="7"/>
  <c r="G929" i="7" s="1"/>
  <c r="F928" i="7"/>
  <c r="G928" i="7" s="1"/>
  <c r="F927" i="7"/>
  <c r="G927" i="7" s="1"/>
  <c r="F924" i="7"/>
  <c r="G924" i="7" s="1"/>
  <c r="F923" i="7"/>
  <c r="G923" i="7" s="1"/>
  <c r="F922" i="7"/>
  <c r="G922" i="7" s="1"/>
  <c r="F921" i="7"/>
  <c r="G921" i="7" s="1"/>
  <c r="F920" i="7"/>
  <c r="G920" i="7" s="1"/>
  <c r="F919" i="7"/>
  <c r="G919" i="7" s="1"/>
  <c r="F917" i="7"/>
  <c r="G917" i="7" s="1"/>
  <c r="F916" i="7"/>
  <c r="G916" i="7" s="1"/>
  <c r="F915" i="7"/>
  <c r="G915" i="7" s="1"/>
  <c r="F914" i="7"/>
  <c r="G914" i="7" s="1"/>
  <c r="F913" i="7"/>
  <c r="G913" i="7" s="1"/>
  <c r="F912" i="7"/>
  <c r="G912" i="7" s="1"/>
  <c r="F911" i="7"/>
  <c r="G911" i="7" s="1"/>
  <c r="F910" i="7"/>
  <c r="G910" i="7" s="1"/>
  <c r="F909" i="7"/>
  <c r="G909" i="7" s="1"/>
  <c r="F908" i="7"/>
  <c r="G908" i="7" s="1"/>
  <c r="F907" i="7"/>
  <c r="G907" i="7" s="1"/>
  <c r="F906" i="7"/>
  <c r="G906" i="7" s="1"/>
  <c r="F905" i="7"/>
  <c r="G905" i="7" s="1"/>
  <c r="F903" i="7"/>
  <c r="G903" i="7" s="1"/>
  <c r="F902" i="7"/>
  <c r="G902" i="7" s="1"/>
  <c r="F901" i="7"/>
  <c r="G901" i="7" s="1"/>
  <c r="F900" i="7"/>
  <c r="G900" i="7" s="1"/>
  <c r="F899" i="7"/>
  <c r="G899" i="7" s="1"/>
  <c r="F898" i="7"/>
  <c r="G898" i="7" s="1"/>
  <c r="F897" i="7"/>
  <c r="G897" i="7" s="1"/>
  <c r="F896" i="7"/>
  <c r="G896" i="7" s="1"/>
  <c r="F895" i="7"/>
  <c r="G895" i="7" s="1"/>
  <c r="F894" i="7"/>
  <c r="G894" i="7" s="1"/>
  <c r="F893" i="7"/>
  <c r="G893" i="7" s="1"/>
  <c r="F892" i="7"/>
  <c r="G892" i="7" s="1"/>
  <c r="F891" i="7"/>
  <c r="G891" i="7" s="1"/>
  <c r="F890" i="7"/>
  <c r="G890" i="7" s="1"/>
  <c r="F889" i="7"/>
  <c r="G889" i="7" s="1"/>
  <c r="F888" i="7"/>
  <c r="G888" i="7" s="1"/>
  <c r="F887" i="7"/>
  <c r="G887" i="7" s="1"/>
  <c r="F886" i="7"/>
  <c r="G886" i="7" s="1"/>
  <c r="F885" i="7"/>
  <c r="G885" i="7" s="1"/>
  <c r="F884" i="7"/>
  <c r="G884" i="7" s="1"/>
  <c r="F883" i="7"/>
  <c r="G883" i="7" s="1"/>
  <c r="F882" i="7"/>
  <c r="G882" i="7" s="1"/>
  <c r="F881" i="7"/>
  <c r="G881" i="7" s="1"/>
  <c r="F880" i="7"/>
  <c r="G880" i="7" s="1"/>
  <c r="F879" i="7"/>
  <c r="G879" i="7" s="1"/>
  <c r="F878" i="7"/>
  <c r="G878" i="7" s="1"/>
  <c r="F877" i="7"/>
  <c r="G877" i="7" s="1"/>
  <c r="F876" i="7"/>
  <c r="G876" i="7" s="1"/>
  <c r="F875" i="7"/>
  <c r="G875" i="7" s="1"/>
  <c r="F874" i="7"/>
  <c r="G874" i="7" s="1"/>
  <c r="F873" i="7"/>
  <c r="G873" i="7" s="1"/>
  <c r="F872" i="7"/>
  <c r="G872" i="7" s="1"/>
  <c r="F871" i="7"/>
  <c r="G871" i="7" s="1"/>
  <c r="F870" i="7"/>
  <c r="G870" i="7" s="1"/>
  <c r="F869" i="7"/>
  <c r="G869" i="7" s="1"/>
  <c r="F868" i="7"/>
  <c r="G868" i="7" s="1"/>
  <c r="F867" i="7"/>
  <c r="G867" i="7" s="1"/>
  <c r="F866" i="7"/>
  <c r="G866" i="7" s="1"/>
  <c r="F865" i="7"/>
  <c r="G865" i="7" s="1"/>
  <c r="F864" i="7"/>
  <c r="G864" i="7" s="1"/>
  <c r="F862" i="7"/>
  <c r="G862" i="7" s="1"/>
  <c r="F861" i="7"/>
  <c r="G861" i="7" s="1"/>
  <c r="F860" i="7"/>
  <c r="G860" i="7" s="1"/>
  <c r="F859" i="7"/>
  <c r="G859" i="7" s="1"/>
  <c r="F858" i="7"/>
  <c r="G858" i="7" s="1"/>
  <c r="F857" i="7"/>
  <c r="G857" i="7" s="1"/>
  <c r="F856" i="7"/>
  <c r="G856" i="7" s="1"/>
  <c r="F855" i="7"/>
  <c r="G855" i="7" s="1"/>
  <c r="F854" i="7"/>
  <c r="G854" i="7" s="1"/>
  <c r="F853" i="7"/>
  <c r="G853" i="7" s="1"/>
  <c r="F852" i="7"/>
  <c r="G852" i="7" s="1"/>
  <c r="F851" i="7"/>
  <c r="G851" i="7" s="1"/>
  <c r="F850" i="7"/>
  <c r="G850" i="7" s="1"/>
  <c r="F849" i="7"/>
  <c r="G849" i="7" s="1"/>
  <c r="F848" i="7"/>
  <c r="G848" i="7" s="1"/>
  <c r="F847" i="7"/>
  <c r="G847" i="7" s="1"/>
  <c r="F846" i="7"/>
  <c r="G846" i="7" s="1"/>
  <c r="F845" i="7"/>
  <c r="G845" i="7" s="1"/>
  <c r="F844" i="7"/>
  <c r="G844" i="7" s="1"/>
  <c r="F843" i="7"/>
  <c r="G843" i="7" s="1"/>
  <c r="F842" i="7"/>
  <c r="G842" i="7" s="1"/>
  <c r="F841" i="7"/>
  <c r="G841" i="7" s="1"/>
  <c r="F840" i="7"/>
  <c r="G840" i="7" s="1"/>
  <c r="F839" i="7"/>
  <c r="G839" i="7" s="1"/>
  <c r="F838" i="7"/>
  <c r="G838" i="7" s="1"/>
  <c r="F837" i="7"/>
  <c r="G837" i="7" s="1"/>
  <c r="F836" i="7"/>
  <c r="G836" i="7" s="1"/>
  <c r="F835" i="7"/>
  <c r="G835" i="7" s="1"/>
  <c r="F834" i="7"/>
  <c r="G834" i="7" s="1"/>
  <c r="F833" i="7"/>
  <c r="G833" i="7" s="1"/>
  <c r="F832" i="7"/>
  <c r="G832" i="7" s="1"/>
  <c r="F830" i="7"/>
  <c r="G830" i="7" s="1"/>
  <c r="F829" i="7"/>
  <c r="G829" i="7" s="1"/>
  <c r="F828" i="7"/>
  <c r="G828" i="7" s="1"/>
  <c r="F827" i="7"/>
  <c r="G827" i="7" s="1"/>
  <c r="F826" i="7"/>
  <c r="G826" i="7" s="1"/>
  <c r="F825" i="7"/>
  <c r="G825" i="7" s="1"/>
  <c r="F824" i="7"/>
  <c r="G824" i="7" s="1"/>
  <c r="F823" i="7"/>
  <c r="G823" i="7" s="1"/>
  <c r="F822" i="7"/>
  <c r="G822" i="7" s="1"/>
  <c r="F821" i="7"/>
  <c r="G821" i="7" s="1"/>
  <c r="F820" i="7"/>
  <c r="G820" i="7" s="1"/>
  <c r="F819" i="7"/>
  <c r="G819" i="7" s="1"/>
  <c r="F818" i="7"/>
  <c r="G818" i="7" s="1"/>
  <c r="F817" i="7"/>
  <c r="G817" i="7" s="1"/>
  <c r="F816" i="7"/>
  <c r="G816" i="7" s="1"/>
  <c r="F815" i="7"/>
  <c r="G815" i="7" s="1"/>
  <c r="F814" i="7"/>
  <c r="G814" i="7" s="1"/>
  <c r="F813" i="7"/>
  <c r="G813" i="7" s="1"/>
  <c r="F812" i="7"/>
  <c r="G812" i="7" s="1"/>
  <c r="F811" i="7"/>
  <c r="G811" i="7" s="1"/>
  <c r="F810" i="7"/>
  <c r="G810" i="7" s="1"/>
  <c r="F809" i="7"/>
  <c r="G809" i="7" s="1"/>
  <c r="F808" i="7"/>
  <c r="G808" i="7" s="1"/>
  <c r="F807" i="7"/>
  <c r="G807" i="7" s="1"/>
  <c r="F806" i="7"/>
  <c r="G806" i="7" s="1"/>
  <c r="F805" i="7"/>
  <c r="G805" i="7" s="1"/>
  <c r="F804" i="7"/>
  <c r="G804" i="7" s="1"/>
  <c r="F803" i="7"/>
  <c r="G803" i="7" s="1"/>
  <c r="F802" i="7"/>
  <c r="G802" i="7" s="1"/>
  <c r="F801" i="7"/>
  <c r="G801" i="7" s="1"/>
  <c r="F800" i="7"/>
  <c r="G800" i="7" s="1"/>
  <c r="F799" i="7"/>
  <c r="G799" i="7" s="1"/>
  <c r="F798" i="7"/>
  <c r="G798" i="7" s="1"/>
  <c r="F797" i="7"/>
  <c r="G797" i="7" s="1"/>
  <c r="F796" i="7"/>
  <c r="G796" i="7" s="1"/>
  <c r="F795" i="7"/>
  <c r="G795" i="7" s="1"/>
  <c r="F794" i="7"/>
  <c r="G794" i="7" s="1"/>
  <c r="F793" i="7"/>
  <c r="G793" i="7" s="1"/>
  <c r="F792" i="7"/>
  <c r="G792" i="7" s="1"/>
  <c r="F791" i="7"/>
  <c r="G791" i="7" s="1"/>
  <c r="F790" i="7"/>
  <c r="G790" i="7" s="1"/>
  <c r="F789" i="7"/>
  <c r="G789" i="7" s="1"/>
  <c r="F788" i="7"/>
  <c r="G788" i="7" s="1"/>
  <c r="F787" i="7"/>
  <c r="G787" i="7" s="1"/>
  <c r="F786" i="7"/>
  <c r="G786" i="7" s="1"/>
  <c r="F785" i="7"/>
  <c r="G785" i="7" s="1"/>
  <c r="F784" i="7"/>
  <c r="G784" i="7" s="1"/>
  <c r="F783" i="7"/>
  <c r="G783" i="7" s="1"/>
  <c r="F781" i="7"/>
  <c r="G781" i="7" s="1"/>
  <c r="F780" i="7"/>
  <c r="G780" i="7" s="1"/>
  <c r="F779" i="7"/>
  <c r="G779" i="7" s="1"/>
  <c r="F778" i="7"/>
  <c r="G778" i="7" s="1"/>
  <c r="F777" i="7"/>
  <c r="G777" i="7" s="1"/>
  <c r="F776" i="7"/>
  <c r="G776" i="7" s="1"/>
  <c r="F775" i="7"/>
  <c r="G775" i="7" s="1"/>
  <c r="F774" i="7"/>
  <c r="G774" i="7" s="1"/>
  <c r="F773" i="7"/>
  <c r="G773" i="7" s="1"/>
  <c r="F772" i="7"/>
  <c r="G772" i="7" s="1"/>
  <c r="F771" i="7"/>
  <c r="G771" i="7" s="1"/>
  <c r="F770" i="7"/>
  <c r="G770" i="7" s="1"/>
  <c r="F769" i="7"/>
  <c r="G769" i="7" s="1"/>
  <c r="F768" i="7"/>
  <c r="G768" i="7" s="1"/>
  <c r="F767" i="7"/>
  <c r="G767" i="7" s="1"/>
  <c r="F766" i="7"/>
  <c r="G766" i="7" s="1"/>
  <c r="F765" i="7"/>
  <c r="G765" i="7" s="1"/>
  <c r="F764" i="7"/>
  <c r="G764" i="7" s="1"/>
  <c r="F763" i="7"/>
  <c r="G763" i="7" s="1"/>
  <c r="F762" i="7"/>
  <c r="G762" i="7" s="1"/>
  <c r="F761" i="7"/>
  <c r="G761" i="7" s="1"/>
  <c r="F760" i="7"/>
  <c r="G760" i="7" s="1"/>
  <c r="F759" i="7"/>
  <c r="G759" i="7" s="1"/>
  <c r="F758" i="7"/>
  <c r="G758" i="7" s="1"/>
  <c r="F757" i="7"/>
  <c r="G757" i="7" s="1"/>
  <c r="F756" i="7"/>
  <c r="G756" i="7" s="1"/>
  <c r="F755" i="7"/>
  <c r="G755" i="7" s="1"/>
  <c r="F754" i="7"/>
  <c r="G754" i="7" s="1"/>
  <c r="F753" i="7"/>
  <c r="G753" i="7" s="1"/>
  <c r="F752" i="7"/>
  <c r="G752" i="7" s="1"/>
  <c r="F751" i="7"/>
  <c r="G751" i="7" s="1"/>
  <c r="F750" i="7"/>
  <c r="G750" i="7" s="1"/>
  <c r="F749" i="7"/>
  <c r="G749" i="7" s="1"/>
  <c r="F748" i="7"/>
  <c r="G748" i="7" s="1"/>
  <c r="F745" i="7"/>
  <c r="G745" i="7" s="1"/>
  <c r="F742" i="7"/>
  <c r="G742" i="7" s="1"/>
  <c r="F741" i="7"/>
  <c r="G741" i="7" s="1"/>
  <c r="F740" i="7"/>
  <c r="G740" i="7" s="1"/>
  <c r="F739" i="7"/>
  <c r="G739" i="7" s="1"/>
  <c r="F738" i="7"/>
  <c r="G738" i="7" s="1"/>
  <c r="F737" i="7"/>
  <c r="G737" i="7" s="1"/>
  <c r="F736" i="7"/>
  <c r="G736" i="7" s="1"/>
  <c r="F733" i="7"/>
  <c r="G733" i="7" s="1"/>
  <c r="F732" i="7"/>
  <c r="G732" i="7" s="1"/>
  <c r="F730" i="7"/>
  <c r="G730" i="7" s="1"/>
  <c r="F729" i="7"/>
  <c r="G729" i="7" s="1"/>
  <c r="F728" i="7"/>
  <c r="G728" i="7" s="1"/>
  <c r="F727" i="7"/>
  <c r="G727" i="7" s="1"/>
  <c r="F726" i="7"/>
  <c r="G726" i="7" s="1"/>
  <c r="F725" i="7"/>
  <c r="G725" i="7" s="1"/>
  <c r="F724" i="7"/>
  <c r="G724" i="7" s="1"/>
  <c r="F723" i="7"/>
  <c r="G723" i="7" s="1"/>
  <c r="F722" i="7"/>
  <c r="G722" i="7" s="1"/>
  <c r="F721" i="7"/>
  <c r="G721" i="7" s="1"/>
  <c r="F720" i="7"/>
  <c r="G720" i="7" s="1"/>
  <c r="F719" i="7"/>
  <c r="G719" i="7" s="1"/>
  <c r="F718" i="7"/>
  <c r="G718" i="7" s="1"/>
  <c r="F717" i="7"/>
  <c r="G717" i="7" s="1"/>
  <c r="F715" i="7"/>
  <c r="G715" i="7" s="1"/>
  <c r="F714" i="7"/>
  <c r="G714" i="7" s="1"/>
  <c r="F713" i="7"/>
  <c r="G713" i="7" s="1"/>
  <c r="F712" i="7"/>
  <c r="G712" i="7" s="1"/>
  <c r="F711" i="7"/>
  <c r="G711" i="7" s="1"/>
  <c r="F708" i="7"/>
  <c r="F705" i="7"/>
  <c r="G705" i="7" s="1"/>
  <c r="F704" i="7"/>
  <c r="G704" i="7" s="1"/>
  <c r="F703" i="7"/>
  <c r="G703" i="7" s="1"/>
  <c r="F702" i="7"/>
  <c r="G702" i="7" s="1"/>
  <c r="F701" i="7"/>
  <c r="G701" i="7" s="1"/>
  <c r="F700" i="7"/>
  <c r="G700" i="7" s="1"/>
  <c r="F699" i="7"/>
  <c r="G699" i="7" s="1"/>
  <c r="F698" i="7"/>
  <c r="G698" i="7" s="1"/>
  <c r="F697" i="7"/>
  <c r="G697" i="7" s="1"/>
  <c r="F696" i="7"/>
  <c r="G696" i="7" s="1"/>
  <c r="F695" i="7"/>
  <c r="G695" i="7" s="1"/>
  <c r="F694" i="7"/>
  <c r="G694" i="7" s="1"/>
  <c r="F693" i="7"/>
  <c r="G693" i="7" s="1"/>
  <c r="F692" i="7"/>
  <c r="G692" i="7" s="1"/>
  <c r="F691" i="7"/>
  <c r="G691" i="7" s="1"/>
  <c r="F690" i="7"/>
  <c r="G690" i="7" s="1"/>
  <c r="F689" i="7"/>
  <c r="G689" i="7" s="1"/>
  <c r="F688" i="7"/>
  <c r="G688" i="7" s="1"/>
  <c r="F687" i="7"/>
  <c r="G687" i="7" s="1"/>
  <c r="F686" i="7"/>
  <c r="G686" i="7" s="1"/>
  <c r="F685" i="7"/>
  <c r="G685" i="7" s="1"/>
  <c r="F684" i="7"/>
  <c r="G684" i="7" s="1"/>
  <c r="F683" i="7"/>
  <c r="G683" i="7" s="1"/>
  <c r="F682" i="7"/>
  <c r="G682" i="7" s="1"/>
  <c r="F681" i="7"/>
  <c r="G681" i="7" s="1"/>
  <c r="F679" i="7"/>
  <c r="G679" i="7" s="1"/>
  <c r="F678" i="7"/>
  <c r="G678" i="7" s="1"/>
  <c r="F677" i="7"/>
  <c r="G677" i="7" s="1"/>
  <c r="F676" i="7"/>
  <c r="G676" i="7" s="1"/>
  <c r="F675" i="7"/>
  <c r="G675" i="7" s="1"/>
  <c r="F674" i="7"/>
  <c r="G674" i="7" s="1"/>
  <c r="F673" i="7"/>
  <c r="G673" i="7" s="1"/>
  <c r="F672" i="7"/>
  <c r="G672" i="7" s="1"/>
  <c r="F671" i="7"/>
  <c r="G671" i="7" s="1"/>
  <c r="F670" i="7"/>
  <c r="G670" i="7" s="1"/>
  <c r="F669" i="7"/>
  <c r="G669" i="7" s="1"/>
  <c r="F668" i="7"/>
  <c r="G668" i="7" s="1"/>
  <c r="F667" i="7"/>
  <c r="G667" i="7" s="1"/>
  <c r="F665" i="7"/>
  <c r="G665" i="7" s="1"/>
  <c r="F664" i="7"/>
  <c r="G664" i="7" s="1"/>
  <c r="F663" i="7"/>
  <c r="G663" i="7" s="1"/>
  <c r="F662" i="7"/>
  <c r="G662" i="7" s="1"/>
  <c r="F661" i="7"/>
  <c r="G661" i="7" s="1"/>
  <c r="F660" i="7"/>
  <c r="G660" i="7" s="1"/>
  <c r="F659" i="7"/>
  <c r="G659" i="7" s="1"/>
  <c r="F658" i="7"/>
  <c r="G658" i="7" s="1"/>
  <c r="F657" i="7"/>
  <c r="G657" i="7" s="1"/>
  <c r="F656" i="7"/>
  <c r="G656" i="7" s="1"/>
  <c r="F655" i="7"/>
  <c r="G655" i="7" s="1"/>
  <c r="F652" i="7"/>
  <c r="G652" i="7" s="1"/>
  <c r="F651" i="7"/>
  <c r="G651" i="7" s="1"/>
  <c r="F649" i="7"/>
  <c r="G649" i="7" s="1"/>
  <c r="F648" i="7"/>
  <c r="G648" i="7" s="1"/>
  <c r="F647" i="7"/>
  <c r="G647" i="7" s="1"/>
  <c r="F646" i="7"/>
  <c r="G646" i="7" s="1"/>
  <c r="F645" i="7"/>
  <c r="G645" i="7" s="1"/>
  <c r="F643" i="7"/>
  <c r="G643" i="7" s="1"/>
  <c r="F642" i="7"/>
  <c r="G642" i="7" s="1"/>
  <c r="F641" i="7"/>
  <c r="G641" i="7" s="1"/>
  <c r="F640" i="7"/>
  <c r="G640" i="7" s="1"/>
  <c r="F639" i="7"/>
  <c r="G639" i="7" s="1"/>
  <c r="F638" i="7"/>
  <c r="G638" i="7" s="1"/>
  <c r="F637" i="7"/>
  <c r="G637" i="7" s="1"/>
  <c r="F636" i="7"/>
  <c r="G636" i="7" s="1"/>
  <c r="F635" i="7"/>
  <c r="G635" i="7" s="1"/>
  <c r="F634" i="7"/>
  <c r="G634" i="7" s="1"/>
  <c r="F633" i="7"/>
  <c r="G633" i="7" s="1"/>
  <c r="F632" i="7"/>
  <c r="G632" i="7" s="1"/>
  <c r="F631" i="7"/>
  <c r="G631" i="7" s="1"/>
  <c r="F630" i="7"/>
  <c r="G630" i="7" s="1"/>
  <c r="F629" i="7"/>
  <c r="G629" i="7" s="1"/>
  <c r="F626" i="7"/>
  <c r="G626" i="7" s="1"/>
  <c r="F623" i="7"/>
  <c r="G623" i="7" s="1"/>
  <c r="F620" i="7"/>
  <c r="G620" i="7" s="1"/>
  <c r="F619" i="7"/>
  <c r="G619" i="7" s="1"/>
  <c r="F618" i="7"/>
  <c r="G618" i="7" s="1"/>
  <c r="F615" i="7"/>
  <c r="G615" i="7" s="1"/>
  <c r="F614" i="7"/>
  <c r="G614" i="7" s="1"/>
  <c r="F613" i="7"/>
  <c r="G613" i="7" s="1"/>
  <c r="F612" i="7"/>
  <c r="G612" i="7" s="1"/>
  <c r="F610" i="7"/>
  <c r="G610" i="7" s="1"/>
  <c r="F609" i="7"/>
  <c r="G609" i="7" s="1"/>
  <c r="F606" i="7"/>
  <c r="G606" i="7" s="1"/>
  <c r="F605" i="7"/>
  <c r="G605" i="7" s="1"/>
  <c r="F604" i="7"/>
  <c r="G604" i="7" s="1"/>
  <c r="F603" i="7"/>
  <c r="G603" i="7" s="1"/>
  <c r="F600" i="7"/>
  <c r="G600" i="7" s="1"/>
  <c r="F599" i="7"/>
  <c r="G599" i="7" s="1"/>
  <c r="F598" i="7"/>
  <c r="G598" i="7" s="1"/>
  <c r="F597" i="7"/>
  <c r="G597" i="7" s="1"/>
  <c r="F595" i="7"/>
  <c r="G595" i="7" s="1"/>
  <c r="F594" i="7"/>
  <c r="G594" i="7" s="1"/>
  <c r="F593" i="7"/>
  <c r="G593" i="7" s="1"/>
  <c r="F592" i="7"/>
  <c r="G592" i="7" s="1"/>
  <c r="F591" i="7"/>
  <c r="G591" i="7" s="1"/>
  <c r="F590" i="7"/>
  <c r="G590" i="7" s="1"/>
  <c r="F589" i="7"/>
  <c r="G589" i="7" s="1"/>
  <c r="F588" i="7"/>
  <c r="G588" i="7" s="1"/>
  <c r="F587" i="7"/>
  <c r="G587" i="7" s="1"/>
  <c r="F586" i="7"/>
  <c r="G586" i="7" s="1"/>
  <c r="F585" i="7"/>
  <c r="G585" i="7" s="1"/>
  <c r="F584" i="7"/>
  <c r="G584" i="7" s="1"/>
  <c r="F583" i="7"/>
  <c r="G583" i="7" s="1"/>
  <c r="F582" i="7"/>
  <c r="G582" i="7" s="1"/>
  <c r="F581" i="7"/>
  <c r="G581" i="7" s="1"/>
  <c r="F580" i="7"/>
  <c r="G580" i="7" s="1"/>
  <c r="F579" i="7"/>
  <c r="G579" i="7" s="1"/>
  <c r="F578" i="7"/>
  <c r="G578" i="7" s="1"/>
  <c r="F577" i="7"/>
  <c r="G577" i="7" s="1"/>
  <c r="F576" i="7"/>
  <c r="G576" i="7" s="1"/>
  <c r="F575" i="7"/>
  <c r="G575" i="7" s="1"/>
  <c r="F574" i="7"/>
  <c r="G574" i="7" s="1"/>
  <c r="F573" i="7"/>
  <c r="G573" i="7" s="1"/>
  <c r="F572" i="7"/>
  <c r="G572" i="7" s="1"/>
  <c r="F571" i="7"/>
  <c r="G571" i="7" s="1"/>
  <c r="F569" i="7"/>
  <c r="G569" i="7" s="1"/>
  <c r="F568" i="7"/>
  <c r="G568" i="7" s="1"/>
  <c r="F567" i="7"/>
  <c r="G567" i="7" s="1"/>
  <c r="F566" i="7"/>
  <c r="G566" i="7" s="1"/>
  <c r="F565" i="7"/>
  <c r="G565" i="7" s="1"/>
  <c r="F564" i="7"/>
  <c r="G564" i="7" s="1"/>
  <c r="F563" i="7"/>
  <c r="G563" i="7" s="1"/>
  <c r="F562" i="7"/>
  <c r="G562" i="7" s="1"/>
  <c r="F561" i="7"/>
  <c r="G561" i="7" s="1"/>
  <c r="F560" i="7"/>
  <c r="G560" i="7" s="1"/>
  <c r="F559" i="7"/>
  <c r="G559" i="7" s="1"/>
  <c r="F558" i="7"/>
  <c r="G558" i="7" s="1"/>
  <c r="F557" i="7"/>
  <c r="G557" i="7" s="1"/>
  <c r="F556" i="7"/>
  <c r="G556" i="7" s="1"/>
  <c r="F555" i="7"/>
  <c r="G555" i="7" s="1"/>
  <c r="F554" i="7"/>
  <c r="G554" i="7" s="1"/>
  <c r="F552" i="7"/>
  <c r="G552" i="7" s="1"/>
  <c r="F551" i="7"/>
  <c r="G551" i="7" s="1"/>
  <c r="F550" i="7"/>
  <c r="G550" i="7" s="1"/>
  <c r="F549" i="7"/>
  <c r="G549" i="7" s="1"/>
  <c r="F548" i="7"/>
  <c r="G548" i="7" s="1"/>
  <c r="F547" i="7"/>
  <c r="G547" i="7" s="1"/>
  <c r="F546" i="7"/>
  <c r="G546" i="7" s="1"/>
  <c r="F545" i="7"/>
  <c r="G545" i="7" s="1"/>
  <c r="F544" i="7"/>
  <c r="G544" i="7" s="1"/>
  <c r="F543" i="7"/>
  <c r="G543" i="7" s="1"/>
  <c r="F542" i="7"/>
  <c r="G542" i="7" s="1"/>
  <c r="F541" i="7"/>
  <c r="G541" i="7" s="1"/>
  <c r="F540" i="7"/>
  <c r="G540" i="7" s="1"/>
  <c r="F539" i="7"/>
  <c r="G539" i="7" s="1"/>
  <c r="F538" i="7"/>
  <c r="G538" i="7" s="1"/>
  <c r="F537" i="7"/>
  <c r="G537" i="7" s="1"/>
  <c r="F536" i="7"/>
  <c r="G536" i="7" s="1"/>
  <c r="F535" i="7"/>
  <c r="G535" i="7" s="1"/>
  <c r="F534" i="7"/>
  <c r="G534" i="7" s="1"/>
  <c r="F533" i="7"/>
  <c r="G533" i="7" s="1"/>
  <c r="F532" i="7"/>
  <c r="G532" i="7" s="1"/>
  <c r="F531" i="7"/>
  <c r="G531" i="7" s="1"/>
  <c r="F530" i="7"/>
  <c r="G530" i="7" s="1"/>
  <c r="F529" i="7"/>
  <c r="G529" i="7" s="1"/>
  <c r="F528" i="7"/>
  <c r="G528" i="7" s="1"/>
  <c r="F527" i="7"/>
  <c r="G527" i="7" s="1"/>
  <c r="F526" i="7"/>
  <c r="G526" i="7" s="1"/>
  <c r="F524" i="7"/>
  <c r="G524" i="7" s="1"/>
  <c r="F523" i="7"/>
  <c r="G523" i="7" s="1"/>
  <c r="F522" i="7"/>
  <c r="G522" i="7" s="1"/>
  <c r="F521" i="7"/>
  <c r="G521" i="7" s="1"/>
  <c r="F520" i="7"/>
  <c r="G520" i="7" s="1"/>
  <c r="F519" i="7"/>
  <c r="G519" i="7" s="1"/>
  <c r="F518" i="7"/>
  <c r="G518" i="7" s="1"/>
  <c r="F517" i="7"/>
  <c r="G517" i="7" s="1"/>
  <c r="F516" i="7"/>
  <c r="G516" i="7" s="1"/>
  <c r="F515" i="7"/>
  <c r="G515" i="7" s="1"/>
  <c r="F514" i="7"/>
  <c r="G514" i="7" s="1"/>
  <c r="F513" i="7"/>
  <c r="G513" i="7" s="1"/>
  <c r="F512" i="7"/>
  <c r="G512" i="7" s="1"/>
  <c r="F511" i="7"/>
  <c r="G511" i="7" s="1"/>
  <c r="F510" i="7"/>
  <c r="G510" i="7" s="1"/>
  <c r="F509" i="7"/>
  <c r="G509" i="7" s="1"/>
  <c r="F508" i="7"/>
  <c r="G508" i="7" s="1"/>
  <c r="F507" i="7"/>
  <c r="G507" i="7" s="1"/>
  <c r="F506" i="7"/>
  <c r="G506" i="7" s="1"/>
  <c r="F504" i="7"/>
  <c r="G504" i="7" s="1"/>
  <c r="F503" i="7"/>
  <c r="G503" i="7" s="1"/>
  <c r="F502" i="7"/>
  <c r="G502" i="7" s="1"/>
  <c r="F501" i="7"/>
  <c r="G501" i="7" s="1"/>
  <c r="F500" i="7"/>
  <c r="G500" i="7" s="1"/>
  <c r="F499" i="7"/>
  <c r="G499" i="7" s="1"/>
  <c r="F498" i="7"/>
  <c r="G498" i="7" s="1"/>
  <c r="F497" i="7"/>
  <c r="G497" i="7" s="1"/>
  <c r="F496" i="7"/>
  <c r="G496" i="7" s="1"/>
  <c r="F495" i="7"/>
  <c r="G495" i="7" s="1"/>
  <c r="F494" i="7"/>
  <c r="G494" i="7" s="1"/>
  <c r="F493" i="7"/>
  <c r="G493" i="7" s="1"/>
  <c r="F492" i="7"/>
  <c r="G492" i="7" s="1"/>
  <c r="F491" i="7"/>
  <c r="G491" i="7" s="1"/>
  <c r="F490" i="7"/>
  <c r="G490" i="7" s="1"/>
  <c r="F489" i="7"/>
  <c r="G489" i="7" s="1"/>
  <c r="F488" i="7"/>
  <c r="G488" i="7" s="1"/>
  <c r="F487" i="7"/>
  <c r="G487" i="7" s="1"/>
  <c r="F486" i="7"/>
  <c r="G486" i="7" s="1"/>
  <c r="F485" i="7"/>
  <c r="G485" i="7" s="1"/>
  <c r="F483" i="7"/>
  <c r="G483" i="7" s="1"/>
  <c r="F482" i="7"/>
  <c r="G482" i="7" s="1"/>
  <c r="F481" i="7"/>
  <c r="G481" i="7" s="1"/>
  <c r="F480" i="7"/>
  <c r="G480" i="7" s="1"/>
  <c r="F479" i="7"/>
  <c r="G479" i="7" s="1"/>
  <c r="F478" i="7"/>
  <c r="G478" i="7" s="1"/>
  <c r="F477" i="7"/>
  <c r="G477" i="7" s="1"/>
  <c r="F476" i="7"/>
  <c r="G476" i="7" s="1"/>
  <c r="F475" i="7"/>
  <c r="G475" i="7" s="1"/>
  <c r="F474" i="7"/>
  <c r="G474" i="7" s="1"/>
  <c r="F473" i="7"/>
  <c r="G473" i="7" s="1"/>
  <c r="F472" i="7"/>
  <c r="G472" i="7" s="1"/>
  <c r="F471" i="7"/>
  <c r="G471" i="7" s="1"/>
  <c r="F470" i="7"/>
  <c r="G470" i="7" s="1"/>
  <c r="F469" i="7"/>
  <c r="G469" i="7" s="1"/>
  <c r="F467" i="7"/>
  <c r="G467" i="7" s="1"/>
  <c r="F466" i="7"/>
  <c r="G466" i="7" s="1"/>
  <c r="F465" i="7"/>
  <c r="G465" i="7" s="1"/>
  <c r="F464" i="7"/>
  <c r="G464" i="7" s="1"/>
  <c r="F463" i="7"/>
  <c r="G463" i="7" s="1"/>
  <c r="F462" i="7"/>
  <c r="G462" i="7" s="1"/>
  <c r="F461" i="7"/>
  <c r="G461" i="7" s="1"/>
  <c r="F460" i="7"/>
  <c r="G460" i="7" s="1"/>
  <c r="F459" i="7"/>
  <c r="G459" i="7" s="1"/>
  <c r="F458" i="7"/>
  <c r="G458" i="7" s="1"/>
  <c r="F457" i="7"/>
  <c r="G457" i="7" s="1"/>
  <c r="F456" i="7"/>
  <c r="G456" i="7" s="1"/>
  <c r="F455" i="7"/>
  <c r="G455" i="7" s="1"/>
  <c r="F454" i="7"/>
  <c r="G454" i="7" s="1"/>
  <c r="F453" i="7"/>
  <c r="G453" i="7" s="1"/>
  <c r="F452" i="7"/>
  <c r="G452" i="7" s="1"/>
  <c r="F451" i="7"/>
  <c r="G451" i="7" s="1"/>
  <c r="F450" i="7"/>
  <c r="G450" i="7" s="1"/>
  <c r="F449" i="7"/>
  <c r="G449" i="7" s="1"/>
  <c r="F448" i="7"/>
  <c r="G448" i="7" s="1"/>
  <c r="F447" i="7"/>
  <c r="G447" i="7" s="1"/>
  <c r="F446" i="7"/>
  <c r="G446" i="7" s="1"/>
  <c r="F445" i="7"/>
  <c r="G445" i="7" s="1"/>
  <c r="F444" i="7"/>
  <c r="G444" i="7" s="1"/>
  <c r="F443" i="7"/>
  <c r="G443" i="7" s="1"/>
  <c r="F442" i="7"/>
  <c r="G442" i="7" s="1"/>
  <c r="F441" i="7"/>
  <c r="G441" i="7" s="1"/>
  <c r="F440" i="7"/>
  <c r="G440" i="7" s="1"/>
  <c r="F439" i="7"/>
  <c r="G439" i="7" s="1"/>
  <c r="F438" i="7"/>
  <c r="G438" i="7" s="1"/>
  <c r="F437" i="7"/>
  <c r="G437" i="7" s="1"/>
  <c r="F436" i="7"/>
  <c r="G436" i="7" s="1"/>
  <c r="F435" i="7"/>
  <c r="G435" i="7" s="1"/>
  <c r="F434" i="7"/>
  <c r="G434" i="7" s="1"/>
  <c r="F433" i="7"/>
  <c r="G433" i="7" s="1"/>
  <c r="F432" i="7"/>
  <c r="G432" i="7" s="1"/>
  <c r="F431" i="7"/>
  <c r="G431" i="7" s="1"/>
  <c r="F430" i="7"/>
  <c r="G430" i="7" s="1"/>
  <c r="F429" i="7"/>
  <c r="G429" i="7" s="1"/>
  <c r="F428" i="7"/>
  <c r="G428" i="7" s="1"/>
  <c r="F425" i="7"/>
  <c r="G425" i="7" s="1"/>
  <c r="F424" i="7"/>
  <c r="G424" i="7" s="1"/>
  <c r="F423" i="7"/>
  <c r="G423" i="7" s="1"/>
  <c r="F422" i="7"/>
  <c r="G422" i="7" s="1"/>
  <c r="F421" i="7"/>
  <c r="G421" i="7" s="1"/>
  <c r="F420" i="7"/>
  <c r="G420" i="7" s="1"/>
  <c r="F418" i="7"/>
  <c r="G418" i="7" s="1"/>
  <c r="F417" i="7"/>
  <c r="G417" i="7" s="1"/>
  <c r="F415" i="7"/>
  <c r="G415" i="7" s="1"/>
  <c r="F414" i="7"/>
  <c r="G414" i="7" s="1"/>
  <c r="F413" i="7"/>
  <c r="G413" i="7" s="1"/>
  <c r="F410" i="7"/>
  <c r="G410" i="7" s="1"/>
  <c r="F409" i="7"/>
  <c r="G409" i="7" s="1"/>
  <c r="F408" i="7"/>
  <c r="G408" i="7" s="1"/>
  <c r="F407" i="7"/>
  <c r="G407" i="7" s="1"/>
  <c r="F406" i="7"/>
  <c r="G406" i="7" s="1"/>
  <c r="F405" i="7"/>
  <c r="G405" i="7" s="1"/>
  <c r="F404" i="7"/>
  <c r="G404" i="7" s="1"/>
  <c r="F403" i="7"/>
  <c r="G403" i="7" s="1"/>
  <c r="F402" i="7"/>
  <c r="G402" i="7" s="1"/>
  <c r="F401" i="7"/>
  <c r="G401" i="7" s="1"/>
  <c r="F400" i="7"/>
  <c r="G400" i="7" s="1"/>
  <c r="F399" i="7"/>
  <c r="G399" i="7" s="1"/>
  <c r="F397" i="7"/>
  <c r="G397" i="7" s="1"/>
  <c r="F396" i="7"/>
  <c r="G396" i="7" s="1"/>
  <c r="F395" i="7"/>
  <c r="G395" i="7" s="1"/>
  <c r="F394" i="7"/>
  <c r="G394" i="7" s="1"/>
  <c r="F393" i="7"/>
  <c r="G393" i="7" s="1"/>
  <c r="F392" i="7"/>
  <c r="G392" i="7" s="1"/>
  <c r="F391" i="7"/>
  <c r="G391" i="7" s="1"/>
  <c r="F390" i="7"/>
  <c r="G390" i="7" s="1"/>
  <c r="F388" i="7"/>
  <c r="G388" i="7" s="1"/>
  <c r="F387" i="7"/>
  <c r="G387" i="7" s="1"/>
  <c r="F386" i="7"/>
  <c r="G386" i="7" s="1"/>
  <c r="F385" i="7"/>
  <c r="G385" i="7" s="1"/>
  <c r="F384" i="7"/>
  <c r="G384" i="7" s="1"/>
  <c r="F383" i="7"/>
  <c r="G383" i="7" s="1"/>
  <c r="F382" i="7"/>
  <c r="G382" i="7" s="1"/>
  <c r="F381" i="7"/>
  <c r="G381" i="7" s="1"/>
  <c r="F380" i="7"/>
  <c r="G380" i="7" s="1"/>
  <c r="F379" i="7"/>
  <c r="G379" i="7" s="1"/>
  <c r="F378" i="7"/>
  <c r="G378" i="7" s="1"/>
  <c r="F377" i="7"/>
  <c r="G377" i="7" s="1"/>
  <c r="F376" i="7"/>
  <c r="G376" i="7" s="1"/>
  <c r="F375" i="7"/>
  <c r="G375" i="7" s="1"/>
  <c r="F374" i="7"/>
  <c r="G374" i="7" s="1"/>
  <c r="F373" i="7"/>
  <c r="G373" i="7" s="1"/>
  <c r="F372" i="7"/>
  <c r="G372" i="7" s="1"/>
  <c r="F371" i="7"/>
  <c r="G371" i="7" s="1"/>
  <c r="F370" i="7"/>
  <c r="G370" i="7" s="1"/>
  <c r="F369" i="7"/>
  <c r="G369" i="7" s="1"/>
  <c r="F368" i="7"/>
  <c r="G368" i="7" s="1"/>
  <c r="F367" i="7"/>
  <c r="G367" i="7" s="1"/>
  <c r="F366" i="7"/>
  <c r="G366" i="7" s="1"/>
  <c r="F365" i="7"/>
  <c r="G365" i="7" s="1"/>
  <c r="F364" i="7"/>
  <c r="G364" i="7" s="1"/>
  <c r="F363" i="7"/>
  <c r="G363" i="7" s="1"/>
  <c r="F362" i="7"/>
  <c r="G362" i="7" s="1"/>
  <c r="F361" i="7"/>
  <c r="G361" i="7" s="1"/>
  <c r="F360" i="7"/>
  <c r="G360" i="7" s="1"/>
  <c r="F359" i="7"/>
  <c r="G359" i="7" s="1"/>
  <c r="F358" i="7"/>
  <c r="G358" i="7" s="1"/>
  <c r="F357" i="7"/>
  <c r="G357" i="7" s="1"/>
  <c r="F355" i="7"/>
  <c r="G355" i="7" s="1"/>
  <c r="F354" i="7"/>
  <c r="G354" i="7" s="1"/>
  <c r="F353" i="7"/>
  <c r="G353" i="7" s="1"/>
  <c r="F352" i="7"/>
  <c r="G352" i="7" s="1"/>
  <c r="F351" i="7"/>
  <c r="G351" i="7" s="1"/>
  <c r="F350" i="7"/>
  <c r="G350" i="7" s="1"/>
  <c r="F349" i="7"/>
  <c r="G349" i="7" s="1"/>
  <c r="F348" i="7"/>
  <c r="G348" i="7" s="1"/>
  <c r="F347" i="7"/>
  <c r="G347" i="7" s="1"/>
  <c r="F345" i="7"/>
  <c r="G345" i="7" s="1"/>
  <c r="F344" i="7"/>
  <c r="G344" i="7" s="1"/>
  <c r="F343" i="7"/>
  <c r="G343" i="7" s="1"/>
  <c r="F342" i="7"/>
  <c r="G342" i="7" s="1"/>
  <c r="F341" i="7"/>
  <c r="G341" i="7" s="1"/>
  <c r="F340" i="7"/>
  <c r="G340" i="7" s="1"/>
  <c r="F339" i="7"/>
  <c r="G339" i="7" s="1"/>
  <c r="F338" i="7"/>
  <c r="G338" i="7" s="1"/>
  <c r="F336" i="7"/>
  <c r="G336" i="7" s="1"/>
  <c r="F335" i="7"/>
  <c r="G335" i="7" s="1"/>
  <c r="F334" i="7"/>
  <c r="G334" i="7" s="1"/>
  <c r="F333" i="7"/>
  <c r="G333" i="7" s="1"/>
  <c r="F332" i="7"/>
  <c r="G332" i="7" s="1"/>
  <c r="F331" i="7"/>
  <c r="G331" i="7" s="1"/>
  <c r="F330" i="7"/>
  <c r="G330" i="7" s="1"/>
  <c r="F329" i="7"/>
  <c r="G329" i="7" s="1"/>
  <c r="F328" i="7"/>
  <c r="G328" i="7" s="1"/>
  <c r="F327" i="7"/>
  <c r="G327" i="7" s="1"/>
  <c r="F326" i="7"/>
  <c r="G326" i="7" s="1"/>
  <c r="F325" i="7"/>
  <c r="G325" i="7" s="1"/>
  <c r="F324" i="7"/>
  <c r="G324" i="7" s="1"/>
  <c r="F323" i="7"/>
  <c r="G323" i="7" s="1"/>
  <c r="F321" i="7"/>
  <c r="G321" i="7" s="1"/>
  <c r="F320" i="7"/>
  <c r="G320" i="7" s="1"/>
  <c r="F319" i="7"/>
  <c r="G319" i="7" s="1"/>
  <c r="F318" i="7"/>
  <c r="G318" i="7" s="1"/>
  <c r="F317" i="7"/>
  <c r="G317" i="7" s="1"/>
  <c r="F316" i="7"/>
  <c r="G316" i="7" s="1"/>
  <c r="F315" i="7"/>
  <c r="G315" i="7" s="1"/>
  <c r="F314" i="7"/>
  <c r="G314" i="7" s="1"/>
  <c r="F313" i="7"/>
  <c r="G313" i="7" s="1"/>
  <c r="F312" i="7"/>
  <c r="G312" i="7" s="1"/>
  <c r="F311" i="7"/>
  <c r="G311" i="7" s="1"/>
  <c r="F310" i="7"/>
  <c r="G310" i="7" s="1"/>
  <c r="F309" i="7"/>
  <c r="G309" i="7" s="1"/>
  <c r="F308" i="7"/>
  <c r="G308" i="7" s="1"/>
  <c r="F307" i="7"/>
  <c r="G307" i="7" s="1"/>
  <c r="F306" i="7"/>
  <c r="G306" i="7" s="1"/>
  <c r="F305" i="7"/>
  <c r="G305" i="7" s="1"/>
  <c r="F304" i="7"/>
  <c r="G304" i="7" s="1"/>
  <c r="F303" i="7"/>
  <c r="G303" i="7" s="1"/>
  <c r="F302" i="7"/>
  <c r="G302" i="7" s="1"/>
  <c r="F301" i="7"/>
  <c r="G301" i="7" s="1"/>
  <c r="F300" i="7"/>
  <c r="G300" i="7" s="1"/>
  <c r="F299" i="7"/>
  <c r="G299" i="7" s="1"/>
  <c r="F297" i="7"/>
  <c r="G297" i="7" s="1"/>
  <c r="F296" i="7"/>
  <c r="G296" i="7" s="1"/>
  <c r="F295" i="7"/>
  <c r="G295" i="7" s="1"/>
  <c r="F294" i="7"/>
  <c r="G294" i="7" s="1"/>
  <c r="F293" i="7"/>
  <c r="G293" i="7" s="1"/>
  <c r="F290" i="7"/>
  <c r="G290" i="7" s="1"/>
  <c r="F289" i="7"/>
  <c r="G289" i="7" s="1"/>
  <c r="F288" i="7"/>
  <c r="G288" i="7" s="1"/>
  <c r="F287" i="7"/>
  <c r="G287" i="7" s="1"/>
  <c r="F286" i="7"/>
  <c r="G286" i="7" s="1"/>
  <c r="F285" i="7"/>
  <c r="G285" i="7" s="1"/>
  <c r="F284" i="7"/>
  <c r="G284" i="7" s="1"/>
  <c r="F283" i="7"/>
  <c r="G283" i="7" s="1"/>
  <c r="F282" i="7"/>
  <c r="G282" i="7" s="1"/>
  <c r="F281" i="7"/>
  <c r="G281" i="7" s="1"/>
  <c r="F280" i="7"/>
  <c r="G280" i="7" s="1"/>
  <c r="F279" i="7"/>
  <c r="G279" i="7" s="1"/>
  <c r="F278" i="7"/>
  <c r="G278" i="7" s="1"/>
  <c r="F277" i="7"/>
  <c r="G277" i="7" s="1"/>
  <c r="F276" i="7"/>
  <c r="G276" i="7" s="1"/>
  <c r="F275" i="7"/>
  <c r="G275" i="7" s="1"/>
  <c r="F274" i="7"/>
  <c r="G274" i="7" s="1"/>
  <c r="F273" i="7"/>
  <c r="G273" i="7" s="1"/>
  <c r="F272" i="7"/>
  <c r="G272" i="7" s="1"/>
  <c r="F271" i="7"/>
  <c r="G271" i="7" s="1"/>
  <c r="F270" i="7"/>
  <c r="G270" i="7" s="1"/>
  <c r="F269" i="7"/>
  <c r="G269" i="7" s="1"/>
  <c r="F268" i="7"/>
  <c r="G268" i="7" s="1"/>
  <c r="F265" i="7"/>
  <c r="G265" i="7" s="1"/>
  <c r="F264" i="7"/>
  <c r="G264" i="7" s="1"/>
  <c r="F262" i="7"/>
  <c r="G262" i="7" s="1"/>
  <c r="F261" i="7"/>
  <c r="G261" i="7" s="1"/>
  <c r="F260" i="7"/>
  <c r="G260" i="7" s="1"/>
  <c r="F259" i="7"/>
  <c r="G259" i="7" s="1"/>
  <c r="F258" i="7"/>
  <c r="G258" i="7" s="1"/>
  <c r="F257" i="7"/>
  <c r="G257" i="7" s="1"/>
  <c r="F256" i="7"/>
  <c r="G256" i="7" s="1"/>
  <c r="F255" i="7"/>
  <c r="G255" i="7" s="1"/>
  <c r="F254" i="7"/>
  <c r="G254" i="7" s="1"/>
  <c r="F253" i="7"/>
  <c r="G253" i="7" s="1"/>
  <c r="F252" i="7"/>
  <c r="G252" i="7" s="1"/>
  <c r="F251" i="7"/>
  <c r="G251" i="7" s="1"/>
  <c r="F250" i="7"/>
  <c r="G250" i="7" s="1"/>
  <c r="F248" i="7"/>
  <c r="G248" i="7" s="1"/>
  <c r="F247" i="7"/>
  <c r="G247" i="7" s="1"/>
  <c r="F246" i="7"/>
  <c r="G246" i="7" s="1"/>
  <c r="F245" i="7"/>
  <c r="G245" i="7" s="1"/>
  <c r="F244" i="7"/>
  <c r="G244" i="7" s="1"/>
  <c r="F243" i="7"/>
  <c r="G243" i="7" s="1"/>
  <c r="F242" i="7"/>
  <c r="G242" i="7" s="1"/>
  <c r="F241" i="7"/>
  <c r="G241" i="7" s="1"/>
  <c r="F240" i="7"/>
  <c r="G240" i="7" s="1"/>
  <c r="F239" i="7"/>
  <c r="G239" i="7" s="1"/>
  <c r="F238" i="7"/>
  <c r="G238" i="7" s="1"/>
  <c r="F235" i="7"/>
  <c r="G235" i="7" s="1"/>
  <c r="F234" i="7"/>
  <c r="G234" i="7" s="1"/>
  <c r="F233" i="7"/>
  <c r="G233" i="7" s="1"/>
  <c r="F232" i="7"/>
  <c r="G232" i="7" s="1"/>
  <c r="F230" i="7"/>
  <c r="G230" i="7" s="1"/>
  <c r="F229" i="7"/>
  <c r="G229" i="7" s="1"/>
  <c r="F226" i="7"/>
  <c r="G226" i="7" s="1"/>
  <c r="F225" i="7"/>
  <c r="G225" i="7" s="1"/>
  <c r="F224" i="7"/>
  <c r="G224" i="7" s="1"/>
  <c r="F223" i="7"/>
  <c r="G223" i="7" s="1"/>
  <c r="F222" i="7"/>
  <c r="G222" i="7" s="1"/>
  <c r="F221" i="7"/>
  <c r="G221" i="7" s="1"/>
  <c r="F220" i="7"/>
  <c r="G220" i="7" s="1"/>
  <c r="F218" i="7"/>
  <c r="G218" i="7" s="1"/>
  <c r="F216" i="7"/>
  <c r="G216" i="7" s="1"/>
  <c r="F215" i="7"/>
  <c r="G215" i="7" s="1"/>
  <c r="F214" i="7"/>
  <c r="G214" i="7" s="1"/>
  <c r="F213" i="7"/>
  <c r="G213" i="7" s="1"/>
  <c r="F210" i="7"/>
  <c r="G210" i="7" s="1"/>
  <c r="F209" i="7"/>
  <c r="G209" i="7" s="1"/>
  <c r="F207" i="7"/>
  <c r="G207" i="7" s="1"/>
  <c r="F206" i="7"/>
  <c r="G206" i="7" s="1"/>
  <c r="F205" i="7"/>
  <c r="G205" i="7" s="1"/>
  <c r="F204" i="7"/>
  <c r="G204" i="7" s="1"/>
  <c r="F203" i="7"/>
  <c r="G203" i="7" s="1"/>
  <c r="F202" i="7"/>
  <c r="G202" i="7" s="1"/>
  <c r="F201" i="7"/>
  <c r="G201" i="7" s="1"/>
  <c r="F198" i="7"/>
  <c r="G198" i="7" s="1"/>
  <c r="F197" i="7"/>
  <c r="G197" i="7" s="1"/>
  <c r="F196" i="7"/>
  <c r="G196" i="7" s="1"/>
  <c r="F195" i="7"/>
  <c r="G195" i="7" s="1"/>
  <c r="F194" i="7"/>
  <c r="G194" i="7" s="1"/>
  <c r="F193" i="7"/>
  <c r="G193" i="7" s="1"/>
  <c r="F192" i="7"/>
  <c r="G192" i="7" s="1"/>
  <c r="F191" i="7"/>
  <c r="G191" i="7" s="1"/>
  <c r="F190" i="7"/>
  <c r="G190" i="7" s="1"/>
  <c r="F189" i="7"/>
  <c r="G189" i="7" s="1"/>
  <c r="F188" i="7"/>
  <c r="G188" i="7" s="1"/>
  <c r="F187" i="7"/>
  <c r="G187" i="7" s="1"/>
  <c r="F186" i="7"/>
  <c r="G186" i="7" s="1"/>
  <c r="F185" i="7"/>
  <c r="G185" i="7" s="1"/>
  <c r="F184" i="7"/>
  <c r="G184" i="7" s="1"/>
  <c r="F183" i="7"/>
  <c r="G183" i="7" s="1"/>
  <c r="F182" i="7"/>
  <c r="G182" i="7" s="1"/>
  <c r="F181" i="7"/>
  <c r="G181" i="7" s="1"/>
  <c r="F180" i="7"/>
  <c r="G180" i="7" s="1"/>
  <c r="F179" i="7"/>
  <c r="G179" i="7" s="1"/>
  <c r="F178" i="7"/>
  <c r="G178" i="7" s="1"/>
  <c r="F177" i="7"/>
  <c r="G177" i="7" s="1"/>
  <c r="F176" i="7"/>
  <c r="G176" i="7" s="1"/>
  <c r="F175" i="7"/>
  <c r="G175" i="7" s="1"/>
  <c r="F174" i="7"/>
  <c r="G174" i="7" s="1"/>
  <c r="F173" i="7"/>
  <c r="G173" i="7" s="1"/>
  <c r="F172" i="7"/>
  <c r="G172" i="7" s="1"/>
  <c r="F171" i="7"/>
  <c r="G171" i="7" s="1"/>
  <c r="F170" i="7"/>
  <c r="G170" i="7" s="1"/>
  <c r="F169" i="7"/>
  <c r="G169" i="7" s="1"/>
  <c r="F168" i="7"/>
  <c r="G168" i="7" s="1"/>
  <c r="F167" i="7"/>
  <c r="G167" i="7" s="1"/>
  <c r="F166" i="7"/>
  <c r="G166" i="7" s="1"/>
  <c r="F165" i="7"/>
  <c r="G165" i="7" s="1"/>
  <c r="F164" i="7"/>
  <c r="G164" i="7" s="1"/>
  <c r="F163" i="7"/>
  <c r="G163" i="7" s="1"/>
  <c r="F162" i="7"/>
  <c r="G162" i="7" s="1"/>
  <c r="F161" i="7"/>
  <c r="G161" i="7" s="1"/>
  <c r="F160" i="7"/>
  <c r="G160" i="7" s="1"/>
  <c r="F159" i="7"/>
  <c r="G159" i="7" s="1"/>
  <c r="F158" i="7"/>
  <c r="G158" i="7" s="1"/>
  <c r="F157" i="7"/>
  <c r="G157" i="7" s="1"/>
  <c r="F156" i="7"/>
  <c r="G156" i="7" s="1"/>
  <c r="F155" i="7"/>
  <c r="G155" i="7" s="1"/>
  <c r="F154" i="7"/>
  <c r="G154" i="7" s="1"/>
  <c r="F153" i="7"/>
  <c r="G153" i="7" s="1"/>
  <c r="F152" i="7"/>
  <c r="G152" i="7" s="1"/>
  <c r="F151" i="7"/>
  <c r="G151" i="7" s="1"/>
  <c r="F150" i="7"/>
  <c r="G150" i="7" s="1"/>
  <c r="F149" i="7"/>
  <c r="G149" i="7" s="1"/>
  <c r="F148" i="7"/>
  <c r="G148" i="7" s="1"/>
  <c r="F147" i="7"/>
  <c r="G147" i="7" s="1"/>
  <c r="F146" i="7"/>
  <c r="G146" i="7" s="1"/>
  <c r="F145" i="7"/>
  <c r="G145" i="7" s="1"/>
  <c r="F144" i="7"/>
  <c r="G144" i="7" s="1"/>
  <c r="F143" i="7"/>
  <c r="G143" i="7" s="1"/>
  <c r="F142" i="7"/>
  <c r="G142" i="7" s="1"/>
  <c r="F141" i="7"/>
  <c r="G141" i="7" s="1"/>
  <c r="F140" i="7"/>
  <c r="G140" i="7" s="1"/>
  <c r="F139" i="7"/>
  <c r="G139" i="7" s="1"/>
  <c r="F138" i="7"/>
  <c r="G138" i="7" s="1"/>
  <c r="F137" i="7"/>
  <c r="G137" i="7" s="1"/>
  <c r="F135" i="7"/>
  <c r="G135" i="7" s="1"/>
  <c r="F134" i="7"/>
  <c r="G134" i="7" s="1"/>
  <c r="F133" i="7"/>
  <c r="G133" i="7" s="1"/>
  <c r="F132" i="7"/>
  <c r="G132" i="7" s="1"/>
  <c r="F131" i="7"/>
  <c r="G131" i="7" s="1"/>
  <c r="F130" i="7"/>
  <c r="G130" i="7" s="1"/>
  <c r="F129" i="7"/>
  <c r="G129" i="7" s="1"/>
  <c r="F128" i="7"/>
  <c r="G128" i="7" s="1"/>
  <c r="F127" i="7"/>
  <c r="G127" i="7" s="1"/>
  <c r="F126" i="7"/>
  <c r="G126" i="7" s="1"/>
  <c r="F125" i="7"/>
  <c r="G125" i="7" s="1"/>
  <c r="F124" i="7"/>
  <c r="G124" i="7" s="1"/>
  <c r="F123" i="7"/>
  <c r="G123" i="7" s="1"/>
  <c r="F122" i="7"/>
  <c r="G122" i="7" s="1"/>
  <c r="F121" i="7"/>
  <c r="G121" i="7" s="1"/>
  <c r="F120" i="7"/>
  <c r="G120" i="7" s="1"/>
  <c r="F119" i="7"/>
  <c r="G119" i="7" s="1"/>
  <c r="F118" i="7"/>
  <c r="G118" i="7" s="1"/>
  <c r="F117" i="7"/>
  <c r="G117" i="7" s="1"/>
  <c r="F116" i="7"/>
  <c r="G116" i="7" s="1"/>
  <c r="F115" i="7"/>
  <c r="G115" i="7" s="1"/>
  <c r="F114" i="7"/>
  <c r="G114" i="7" s="1"/>
  <c r="F113" i="7"/>
  <c r="G113" i="7" s="1"/>
  <c r="F112" i="7"/>
  <c r="G112" i="7" s="1"/>
  <c r="F111" i="7"/>
  <c r="G111" i="7" s="1"/>
  <c r="G110" i="7"/>
  <c r="F110" i="7"/>
  <c r="F109" i="7"/>
  <c r="G109" i="7" s="1"/>
  <c r="F108" i="7"/>
  <c r="G108" i="7" s="1"/>
  <c r="F107" i="7"/>
  <c r="G107" i="7" s="1"/>
  <c r="F106" i="7"/>
  <c r="G106" i="7" s="1"/>
  <c r="F105" i="7"/>
  <c r="G105" i="7" s="1"/>
  <c r="F104" i="7"/>
  <c r="G104" i="7" s="1"/>
  <c r="F103" i="7"/>
  <c r="G103" i="7" s="1"/>
  <c r="F102" i="7"/>
  <c r="G102" i="7" s="1"/>
  <c r="F101" i="7"/>
  <c r="G101" i="7" s="1"/>
  <c r="F100" i="7"/>
  <c r="G100" i="7" s="1"/>
  <c r="F99" i="7"/>
  <c r="G99" i="7" s="1"/>
  <c r="F98" i="7"/>
  <c r="G98" i="7" s="1"/>
  <c r="F97" i="7"/>
  <c r="G97" i="7" s="1"/>
  <c r="F96" i="7"/>
  <c r="G96" i="7" s="1"/>
  <c r="F95" i="7"/>
  <c r="G95" i="7" s="1"/>
  <c r="F94" i="7"/>
  <c r="G94" i="7" s="1"/>
  <c r="F92" i="7"/>
  <c r="G92" i="7" s="1"/>
  <c r="F90" i="7"/>
  <c r="G90" i="7" s="1"/>
  <c r="F89" i="7"/>
  <c r="G89" i="7" s="1"/>
  <c r="F88" i="7"/>
  <c r="G88" i="7" s="1"/>
  <c r="F87" i="7"/>
  <c r="G87" i="7" s="1"/>
  <c r="F86" i="7"/>
  <c r="G86" i="7" s="1"/>
  <c r="F84" i="7"/>
  <c r="G84" i="7" s="1"/>
  <c r="F83" i="7"/>
  <c r="G83" i="7" s="1"/>
  <c r="F82" i="7"/>
  <c r="G82" i="7" s="1"/>
  <c r="F81" i="7"/>
  <c r="G81" i="7" s="1"/>
  <c r="F80" i="7"/>
  <c r="G80" i="7" s="1"/>
  <c r="F79" i="7"/>
  <c r="G79" i="7" s="1"/>
  <c r="F78" i="7"/>
  <c r="G78" i="7" s="1"/>
  <c r="F77" i="7"/>
  <c r="G77" i="7" s="1"/>
  <c r="F76" i="7"/>
  <c r="G76" i="7" s="1"/>
  <c r="F75" i="7"/>
  <c r="G75" i="7" s="1"/>
  <c r="F74" i="7"/>
  <c r="G74" i="7" s="1"/>
  <c r="F73" i="7"/>
  <c r="G73" i="7" s="1"/>
  <c r="F72" i="7"/>
  <c r="G72" i="7" s="1"/>
  <c r="F71" i="7"/>
  <c r="G71" i="7" s="1"/>
  <c r="F70" i="7"/>
  <c r="G70" i="7" s="1"/>
  <c r="F69" i="7"/>
  <c r="G69" i="7" s="1"/>
  <c r="F68" i="7"/>
  <c r="G68" i="7" s="1"/>
  <c r="F67" i="7"/>
  <c r="G67" i="7" s="1"/>
  <c r="F66" i="7"/>
  <c r="G66" i="7" s="1"/>
  <c r="F65" i="7"/>
  <c r="G65" i="7" s="1"/>
  <c r="F64" i="7"/>
  <c r="G64" i="7" s="1"/>
  <c r="F63" i="7"/>
  <c r="G63" i="7" s="1"/>
  <c r="F62" i="7"/>
  <c r="G62" i="7" s="1"/>
  <c r="F61" i="7"/>
  <c r="G61" i="7" s="1"/>
  <c r="F60" i="7"/>
  <c r="G60" i="7" s="1"/>
  <c r="F59" i="7"/>
  <c r="G59" i="7" s="1"/>
  <c r="F58" i="7"/>
  <c r="G58" i="7" s="1"/>
  <c r="F57" i="7"/>
  <c r="G57" i="7" s="1"/>
  <c r="F56" i="7"/>
  <c r="G56" i="7" s="1"/>
  <c r="F55" i="7"/>
  <c r="G55" i="7" s="1"/>
  <c r="F54" i="7"/>
  <c r="G54" i="7" s="1"/>
  <c r="F53" i="7"/>
  <c r="G53" i="7" s="1"/>
  <c r="F52" i="7"/>
  <c r="G52" i="7" s="1"/>
  <c r="F51" i="7"/>
  <c r="G51" i="7" s="1"/>
  <c r="F50" i="7"/>
  <c r="G50" i="7" s="1"/>
  <c r="F49" i="7"/>
  <c r="G49" i="7" s="1"/>
  <c r="F48" i="7"/>
  <c r="G48" i="7" s="1"/>
  <c r="F47" i="7"/>
  <c r="G47" i="7" s="1"/>
  <c r="F46" i="7"/>
  <c r="G46" i="7" s="1"/>
  <c r="F45" i="7"/>
  <c r="G45" i="7" s="1"/>
  <c r="F44" i="7"/>
  <c r="G44" i="7" s="1"/>
  <c r="F43" i="7"/>
  <c r="G43" i="7" s="1"/>
  <c r="F42" i="7"/>
  <c r="G42" i="7" s="1"/>
  <c r="F41" i="7"/>
  <c r="G41" i="7" s="1"/>
  <c r="F40" i="7"/>
  <c r="G40" i="7" s="1"/>
  <c r="F39" i="7"/>
  <c r="G39" i="7" s="1"/>
  <c r="F38" i="7"/>
  <c r="G38" i="7" s="1"/>
  <c r="F37" i="7"/>
  <c r="G37" i="7" s="1"/>
  <c r="F36" i="7"/>
  <c r="G36" i="7" s="1"/>
  <c r="F35" i="7"/>
  <c r="G35" i="7" s="1"/>
  <c r="F34" i="7"/>
  <c r="G34" i="7" s="1"/>
  <c r="F33" i="7"/>
  <c r="G33" i="7" s="1"/>
  <c r="F32" i="7"/>
  <c r="G32" i="7" s="1"/>
  <c r="F31" i="7"/>
  <c r="G31" i="7" s="1"/>
  <c r="F30" i="7"/>
  <c r="G30" i="7" s="1"/>
  <c r="F29" i="7"/>
  <c r="G29" i="7" s="1"/>
  <c r="F28" i="7"/>
  <c r="G28" i="7" s="1"/>
  <c r="F27" i="7"/>
  <c r="G27" i="7" s="1"/>
  <c r="F26" i="7"/>
  <c r="G26" i="7" s="1"/>
  <c r="F25" i="7"/>
  <c r="G25" i="7" s="1"/>
  <c r="F24" i="7"/>
  <c r="G24" i="7" s="1"/>
  <c r="F23" i="7"/>
  <c r="G23" i="7" s="1"/>
  <c r="F22" i="7"/>
  <c r="G22" i="7" s="1"/>
  <c r="F21" i="7"/>
  <c r="G21" i="7" s="1"/>
  <c r="F20" i="7"/>
  <c r="G20" i="7" s="1"/>
  <c r="F19" i="7"/>
  <c r="G19" i="7" s="1"/>
  <c r="F18" i="7"/>
  <c r="G18" i="7" s="1"/>
  <c r="F17" i="7"/>
  <c r="G17" i="7" s="1"/>
  <c r="F16" i="7"/>
  <c r="G16" i="7" s="1"/>
  <c r="F15" i="7"/>
  <c r="G15" i="7" s="1"/>
  <c r="F12" i="7"/>
  <c r="G12" i="7" s="1"/>
  <c r="G708" i="7" l="1"/>
  <c r="F4" i="1" l="1"/>
  <c r="M5" i="1"/>
  <c r="F5" i="1"/>
  <c r="P5" i="1" s="1"/>
  <c r="M4" i="1"/>
  <c r="P4" i="1"/>
  <c r="F35" i="1" l="1"/>
  <c r="F36" i="1" s="1"/>
  <c r="F37" i="1" s="1"/>
  <c r="F38" i="1" s="1"/>
  <c r="F39" i="1" s="1"/>
  <c r="F40" i="1" s="1"/>
  <c r="P783" i="1"/>
  <c r="P782" i="1"/>
  <c r="P781" i="1"/>
  <c r="P780" i="1"/>
  <c r="P779" i="1"/>
  <c r="P778" i="1"/>
  <c r="P777" i="1"/>
  <c r="P776" i="1"/>
  <c r="P775" i="1"/>
  <c r="P774" i="1"/>
  <c r="P773" i="1"/>
  <c r="P772" i="1"/>
  <c r="P771" i="1"/>
  <c r="P770" i="1"/>
  <c r="P769" i="1"/>
  <c r="P768" i="1"/>
  <c r="P767" i="1"/>
  <c r="P766" i="1"/>
  <c r="P765" i="1"/>
  <c r="P764" i="1"/>
  <c r="P763" i="1"/>
  <c r="P762" i="1"/>
  <c r="P761" i="1"/>
  <c r="P760" i="1"/>
  <c r="P759" i="1"/>
  <c r="P758" i="1"/>
  <c r="P757" i="1"/>
  <c r="P756" i="1"/>
  <c r="P755" i="1"/>
  <c r="P754" i="1"/>
  <c r="P753" i="1"/>
  <c r="P752" i="1"/>
  <c r="P751" i="1"/>
  <c r="P750" i="1"/>
  <c r="P749" i="1"/>
  <c r="P748" i="1"/>
  <c r="P747" i="1"/>
  <c r="P746" i="1"/>
  <c r="P745" i="1"/>
  <c r="P744" i="1"/>
  <c r="P743" i="1"/>
  <c r="P742" i="1"/>
  <c r="P741" i="1"/>
  <c r="P740" i="1"/>
  <c r="P739" i="1"/>
  <c r="P738" i="1"/>
  <c r="P737" i="1"/>
  <c r="P736" i="1"/>
  <c r="P735" i="1"/>
  <c r="P734" i="1"/>
  <c r="P733" i="1"/>
  <c r="P732" i="1"/>
  <c r="P731" i="1"/>
  <c r="P730" i="1"/>
  <c r="P729" i="1"/>
  <c r="P728" i="1"/>
  <c r="P727" i="1"/>
  <c r="P726" i="1"/>
  <c r="P725" i="1"/>
  <c r="P724" i="1"/>
  <c r="P723" i="1"/>
  <c r="P722" i="1"/>
  <c r="P721" i="1"/>
  <c r="P720" i="1"/>
  <c r="P719" i="1"/>
  <c r="P718" i="1"/>
  <c r="P717" i="1"/>
  <c r="P716" i="1"/>
  <c r="P715" i="1"/>
  <c r="P714" i="1"/>
  <c r="P713" i="1"/>
  <c r="P712" i="1"/>
  <c r="P711" i="1"/>
  <c r="P710" i="1"/>
  <c r="P709" i="1"/>
  <c r="P708" i="1"/>
  <c r="P707" i="1"/>
  <c r="P706" i="1"/>
  <c r="P705" i="1"/>
  <c r="P704" i="1"/>
  <c r="P703" i="1"/>
  <c r="P702" i="1"/>
  <c r="P701" i="1"/>
  <c r="P700" i="1"/>
  <c r="P699" i="1"/>
  <c r="P698" i="1"/>
  <c r="P697" i="1"/>
  <c r="P696" i="1"/>
  <c r="P695" i="1"/>
  <c r="P694" i="1"/>
  <c r="P693" i="1"/>
  <c r="P692" i="1"/>
  <c r="P691" i="1"/>
  <c r="P690" i="1"/>
  <c r="P689" i="1"/>
  <c r="P688" i="1"/>
  <c r="P687" i="1"/>
  <c r="P686" i="1"/>
  <c r="P685" i="1"/>
  <c r="P684" i="1"/>
  <c r="P683" i="1"/>
  <c r="P682" i="1"/>
  <c r="P681" i="1"/>
  <c r="P680" i="1"/>
  <c r="P679" i="1"/>
  <c r="P678" i="1"/>
  <c r="P677" i="1"/>
  <c r="P676" i="1"/>
  <c r="P675" i="1"/>
  <c r="P674" i="1"/>
  <c r="P673" i="1"/>
  <c r="P672" i="1"/>
  <c r="P671" i="1"/>
  <c r="P670" i="1"/>
  <c r="P669" i="1"/>
  <c r="P668" i="1"/>
  <c r="P667" i="1"/>
  <c r="P666" i="1"/>
  <c r="P665" i="1"/>
  <c r="P664" i="1"/>
  <c r="P663" i="1"/>
  <c r="P662" i="1"/>
  <c r="P661" i="1"/>
  <c r="P660" i="1"/>
  <c r="P659" i="1"/>
  <c r="P658" i="1"/>
  <c r="P657" i="1"/>
  <c r="P656" i="1"/>
  <c r="P655" i="1"/>
  <c r="P654" i="1"/>
  <c r="P653" i="1"/>
  <c r="P652" i="1"/>
  <c r="P651" i="1"/>
  <c r="P650" i="1"/>
  <c r="P649" i="1"/>
  <c r="P648" i="1"/>
  <c r="P647" i="1"/>
  <c r="P646" i="1"/>
  <c r="P645" i="1"/>
  <c r="P644" i="1"/>
  <c r="P643" i="1"/>
  <c r="P642" i="1"/>
  <c r="P641" i="1"/>
  <c r="P640" i="1"/>
  <c r="P639" i="1"/>
  <c r="P638" i="1"/>
  <c r="P637" i="1"/>
  <c r="P636" i="1"/>
  <c r="P635" i="1"/>
  <c r="P634" i="1"/>
  <c r="P633" i="1"/>
  <c r="P632" i="1"/>
  <c r="P631" i="1"/>
  <c r="P630" i="1"/>
  <c r="P629" i="1"/>
  <c r="P628" i="1"/>
  <c r="P627" i="1"/>
  <c r="P626" i="1"/>
  <c r="P625" i="1"/>
  <c r="P624" i="1"/>
  <c r="P623" i="1"/>
  <c r="P622" i="1"/>
  <c r="P621" i="1"/>
  <c r="P620" i="1"/>
  <c r="P619" i="1"/>
  <c r="P618" i="1"/>
  <c r="P617" i="1"/>
  <c r="P616" i="1"/>
  <c r="P615" i="1"/>
  <c r="P614" i="1"/>
  <c r="P613" i="1"/>
  <c r="P612" i="1"/>
  <c r="P611" i="1"/>
  <c r="P610" i="1"/>
  <c r="P609" i="1"/>
  <c r="P608" i="1"/>
  <c r="P607" i="1"/>
  <c r="P606" i="1"/>
  <c r="P605" i="1"/>
  <c r="P604" i="1"/>
  <c r="P603" i="1"/>
  <c r="P602" i="1"/>
  <c r="P601" i="1"/>
  <c r="P600" i="1"/>
  <c r="P599" i="1"/>
  <c r="P598" i="1"/>
  <c r="P597" i="1"/>
  <c r="P596" i="1"/>
  <c r="P595" i="1"/>
  <c r="P594" i="1"/>
  <c r="P593" i="1"/>
  <c r="P592" i="1"/>
  <c r="P591" i="1"/>
  <c r="P590" i="1"/>
  <c r="P589" i="1"/>
  <c r="P588" i="1"/>
  <c r="P587" i="1"/>
  <c r="P586" i="1"/>
  <c r="P585" i="1"/>
  <c r="P584" i="1"/>
  <c r="P583" i="1"/>
  <c r="P582" i="1"/>
  <c r="P581" i="1"/>
  <c r="P580" i="1"/>
  <c r="P579" i="1"/>
  <c r="P578" i="1"/>
  <c r="P577" i="1"/>
  <c r="P576" i="1"/>
  <c r="P575" i="1"/>
  <c r="P574" i="1"/>
  <c r="P573" i="1"/>
  <c r="P572" i="1"/>
  <c r="P571" i="1"/>
  <c r="P570" i="1"/>
  <c r="P569" i="1"/>
  <c r="P568" i="1"/>
  <c r="P567" i="1"/>
  <c r="P566" i="1"/>
  <c r="P565" i="1"/>
  <c r="P564" i="1"/>
  <c r="P563" i="1"/>
  <c r="P562" i="1"/>
  <c r="P561" i="1"/>
  <c r="P560" i="1"/>
  <c r="P559" i="1"/>
  <c r="P558" i="1"/>
  <c r="P557" i="1"/>
  <c r="P556" i="1"/>
  <c r="P555" i="1"/>
  <c r="P554" i="1"/>
  <c r="P553" i="1"/>
  <c r="P552" i="1"/>
  <c r="P551" i="1"/>
  <c r="P550" i="1"/>
  <c r="P549" i="1"/>
  <c r="P548" i="1"/>
  <c r="P547" i="1"/>
  <c r="P546" i="1"/>
  <c r="P545" i="1"/>
  <c r="P544" i="1"/>
  <c r="P543" i="1"/>
  <c r="P542" i="1"/>
  <c r="P541" i="1"/>
  <c r="P540" i="1"/>
  <c r="P539" i="1"/>
  <c r="P538" i="1"/>
  <c r="P537" i="1"/>
  <c r="P536" i="1"/>
  <c r="P535" i="1"/>
  <c r="P534" i="1"/>
  <c r="P533" i="1"/>
  <c r="P532" i="1"/>
  <c r="P531" i="1"/>
  <c r="P530" i="1"/>
  <c r="P529" i="1"/>
  <c r="P528" i="1"/>
  <c r="P527" i="1"/>
  <c r="P526" i="1"/>
  <c r="P525" i="1"/>
  <c r="P524" i="1"/>
  <c r="P523" i="1"/>
  <c r="P522" i="1"/>
  <c r="P521" i="1"/>
  <c r="P520" i="1"/>
  <c r="P519" i="1"/>
  <c r="P518" i="1"/>
  <c r="P517" i="1"/>
  <c r="P516" i="1"/>
  <c r="P515" i="1"/>
  <c r="P514" i="1"/>
  <c r="P513" i="1"/>
  <c r="P512" i="1"/>
  <c r="P511" i="1"/>
  <c r="P510" i="1"/>
  <c r="P509" i="1"/>
  <c r="P508" i="1"/>
  <c r="P507" i="1"/>
  <c r="P506" i="1"/>
  <c r="P505" i="1"/>
  <c r="P504" i="1"/>
  <c r="P503" i="1"/>
  <c r="P502" i="1"/>
  <c r="P501" i="1"/>
  <c r="P500" i="1"/>
  <c r="P499" i="1"/>
  <c r="P498" i="1"/>
  <c r="P497" i="1"/>
  <c r="P496" i="1"/>
  <c r="P495" i="1"/>
  <c r="P494" i="1"/>
  <c r="P493" i="1"/>
  <c r="P492" i="1"/>
  <c r="P491" i="1"/>
  <c r="P490" i="1"/>
  <c r="P489" i="1"/>
  <c r="P488" i="1"/>
  <c r="P487" i="1"/>
  <c r="P485" i="1"/>
  <c r="P484" i="1"/>
  <c r="P483" i="1"/>
  <c r="P482" i="1"/>
  <c r="P481" i="1"/>
  <c r="P480" i="1"/>
  <c r="P479" i="1"/>
  <c r="P478" i="1"/>
  <c r="P477" i="1"/>
  <c r="P476" i="1"/>
  <c r="P475" i="1"/>
  <c r="P474" i="1"/>
  <c r="P473" i="1"/>
  <c r="P472" i="1"/>
  <c r="P471" i="1"/>
  <c r="P470" i="1"/>
  <c r="P469" i="1"/>
  <c r="P468" i="1"/>
  <c r="P467" i="1"/>
  <c r="P466" i="1"/>
  <c r="P465" i="1"/>
  <c r="P464" i="1"/>
  <c r="P463" i="1"/>
  <c r="P462" i="1"/>
  <c r="P461" i="1"/>
  <c r="P460" i="1"/>
  <c r="P459" i="1"/>
  <c r="P458" i="1"/>
  <c r="P457" i="1"/>
  <c r="P456" i="1"/>
  <c r="P455" i="1"/>
  <c r="P454" i="1"/>
  <c r="P453" i="1"/>
  <c r="P452" i="1"/>
  <c r="P451" i="1"/>
  <c r="P450" i="1"/>
  <c r="P449" i="1"/>
  <c r="P448" i="1"/>
  <c r="P447" i="1"/>
  <c r="P446" i="1"/>
  <c r="P445" i="1"/>
  <c r="P444" i="1"/>
  <c r="P443" i="1"/>
  <c r="P442" i="1"/>
  <c r="P441" i="1"/>
  <c r="P440" i="1"/>
  <c r="P439" i="1"/>
  <c r="P438" i="1"/>
  <c r="P437" i="1"/>
  <c r="P436" i="1"/>
  <c r="P435" i="1"/>
  <c r="P434" i="1"/>
  <c r="P433" i="1"/>
  <c r="P432" i="1"/>
  <c r="P431" i="1"/>
  <c r="P430" i="1"/>
  <c r="P429" i="1"/>
  <c r="P428" i="1"/>
  <c r="P427" i="1"/>
  <c r="P426" i="1"/>
  <c r="P425" i="1"/>
  <c r="P424" i="1"/>
  <c r="P423" i="1"/>
  <c r="P422" i="1"/>
  <c r="P421" i="1"/>
  <c r="P420" i="1"/>
  <c r="P419" i="1"/>
  <c r="P418" i="1"/>
  <c r="P417" i="1"/>
  <c r="P416" i="1"/>
  <c r="P415" i="1"/>
  <c r="P414" i="1"/>
  <c r="P413" i="1"/>
  <c r="P412" i="1"/>
  <c r="P411" i="1"/>
  <c r="P410" i="1"/>
  <c r="P409" i="1"/>
  <c r="P408" i="1"/>
  <c r="P407" i="1"/>
  <c r="P406" i="1"/>
  <c r="P405" i="1"/>
  <c r="P404" i="1"/>
  <c r="P403" i="1"/>
  <c r="P402" i="1"/>
  <c r="P401" i="1"/>
  <c r="P400" i="1"/>
  <c r="P399" i="1"/>
  <c r="P398" i="1"/>
  <c r="P397" i="1"/>
  <c r="P396" i="1"/>
  <c r="P395" i="1"/>
  <c r="P394" i="1"/>
  <c r="P393" i="1"/>
  <c r="P392" i="1"/>
  <c r="P391" i="1"/>
  <c r="P390" i="1"/>
  <c r="P389" i="1"/>
  <c r="P388" i="1"/>
  <c r="P387" i="1"/>
  <c r="P386" i="1"/>
  <c r="P385" i="1"/>
  <c r="P384" i="1"/>
  <c r="P383" i="1"/>
  <c r="P382" i="1"/>
  <c r="P381" i="1"/>
  <c r="P380" i="1"/>
  <c r="P379" i="1"/>
  <c r="P378" i="1"/>
  <c r="P377" i="1"/>
  <c r="P376" i="1"/>
  <c r="P375" i="1"/>
  <c r="P374" i="1"/>
  <c r="P373" i="1"/>
  <c r="P372" i="1"/>
  <c r="P371" i="1"/>
  <c r="P370" i="1"/>
  <c r="P369" i="1"/>
  <c r="P368" i="1"/>
  <c r="P367" i="1"/>
  <c r="P366" i="1"/>
  <c r="P365" i="1"/>
  <c r="P364" i="1"/>
  <c r="P363" i="1"/>
  <c r="P362" i="1"/>
  <c r="P361" i="1"/>
  <c r="P360" i="1"/>
  <c r="P359" i="1"/>
  <c r="P358" i="1"/>
  <c r="P357" i="1"/>
  <c r="P356" i="1"/>
  <c r="P355" i="1"/>
  <c r="P354" i="1"/>
  <c r="P353" i="1"/>
  <c r="P352" i="1"/>
  <c r="P351" i="1"/>
  <c r="P350" i="1"/>
  <c r="P349" i="1"/>
  <c r="P348" i="1"/>
  <c r="P347" i="1"/>
  <c r="P346" i="1"/>
  <c r="P345" i="1"/>
  <c r="P344" i="1"/>
  <c r="P343" i="1"/>
  <c r="P342" i="1"/>
  <c r="P341" i="1"/>
  <c r="P340" i="1"/>
  <c r="P339" i="1"/>
  <c r="P338" i="1"/>
  <c r="P337" i="1"/>
  <c r="P336" i="1"/>
  <c r="P335" i="1"/>
  <c r="P334" i="1"/>
  <c r="P333" i="1"/>
  <c r="P332" i="1"/>
  <c r="P331" i="1"/>
  <c r="P330" i="1"/>
  <c r="P329" i="1"/>
  <c r="P328" i="1"/>
  <c r="P327" i="1"/>
  <c r="P326" i="1"/>
  <c r="P325" i="1"/>
  <c r="P324" i="1"/>
  <c r="P323" i="1"/>
  <c r="P322" i="1"/>
  <c r="P321" i="1"/>
  <c r="P320" i="1"/>
  <c r="P319" i="1"/>
  <c r="P318" i="1"/>
  <c r="P317" i="1"/>
  <c r="P316" i="1"/>
  <c r="P315" i="1"/>
  <c r="P314" i="1"/>
  <c r="P313" i="1"/>
  <c r="P312" i="1"/>
  <c r="P311" i="1"/>
  <c r="P310" i="1"/>
  <c r="P309" i="1"/>
  <c r="P308" i="1"/>
  <c r="P307" i="1"/>
  <c r="P306" i="1"/>
  <c r="P305" i="1"/>
  <c r="P304" i="1"/>
  <c r="P303" i="1"/>
  <c r="P302" i="1"/>
  <c r="P301" i="1"/>
  <c r="P300" i="1"/>
  <c r="P299" i="1"/>
  <c r="P298" i="1"/>
  <c r="P297" i="1"/>
  <c r="P296" i="1"/>
  <c r="P295" i="1"/>
  <c r="P294" i="1"/>
  <c r="P293" i="1"/>
  <c r="P292" i="1"/>
  <c r="P291" i="1"/>
  <c r="P290" i="1"/>
  <c r="P289" i="1"/>
  <c r="P288" i="1"/>
  <c r="P287" i="1"/>
  <c r="P286" i="1"/>
  <c r="P285" i="1"/>
  <c r="P284" i="1"/>
  <c r="P283" i="1"/>
  <c r="P282" i="1"/>
  <c r="P281" i="1"/>
  <c r="P280" i="1"/>
  <c r="P279" i="1"/>
  <c r="P278" i="1"/>
  <c r="P277" i="1"/>
  <c r="P276" i="1"/>
  <c r="P275" i="1"/>
  <c r="P274" i="1"/>
  <c r="P273" i="1"/>
  <c r="P272" i="1"/>
  <c r="P271" i="1"/>
  <c r="P270" i="1"/>
  <c r="P269" i="1"/>
  <c r="P268" i="1"/>
  <c r="P267" i="1"/>
  <c r="P266" i="1"/>
  <c r="P265" i="1"/>
  <c r="P264" i="1"/>
  <c r="P263" i="1"/>
  <c r="P262" i="1"/>
  <c r="P261" i="1"/>
  <c r="P260" i="1"/>
  <c r="P259" i="1"/>
  <c r="P258" i="1"/>
  <c r="P257" i="1"/>
  <c r="P256" i="1"/>
  <c r="P255" i="1"/>
  <c r="P254" i="1"/>
  <c r="P253" i="1"/>
  <c r="P252" i="1"/>
  <c r="P251" i="1"/>
  <c r="P250" i="1"/>
  <c r="P249" i="1"/>
  <c r="P248" i="1"/>
  <c r="P247" i="1"/>
  <c r="P246" i="1"/>
  <c r="P245" i="1"/>
  <c r="P244" i="1"/>
  <c r="P243" i="1"/>
  <c r="P242" i="1"/>
  <c r="P241" i="1"/>
  <c r="P240" i="1"/>
  <c r="P239" i="1"/>
  <c r="P238" i="1"/>
  <c r="P237" i="1"/>
  <c r="P236" i="1"/>
  <c r="P235" i="1"/>
  <c r="P234" i="1"/>
  <c r="P233" i="1"/>
  <c r="P232" i="1"/>
  <c r="P231" i="1"/>
  <c r="P230" i="1"/>
  <c r="P229" i="1"/>
  <c r="P228" i="1"/>
  <c r="P227" i="1"/>
  <c r="P226" i="1"/>
  <c r="P225" i="1"/>
  <c r="P224" i="1"/>
  <c r="P223" i="1"/>
  <c r="P222" i="1"/>
  <c r="P221" i="1"/>
  <c r="P220" i="1"/>
  <c r="P219" i="1"/>
  <c r="P218" i="1"/>
  <c r="P217" i="1"/>
  <c r="P216" i="1"/>
  <c r="P215" i="1"/>
  <c r="P214" i="1"/>
  <c r="P213" i="1"/>
  <c r="P212" i="1"/>
  <c r="P211" i="1"/>
  <c r="P210" i="1"/>
  <c r="P209" i="1"/>
  <c r="P208" i="1"/>
  <c r="P207" i="1"/>
  <c r="P206" i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F21" i="1"/>
  <c r="P21" i="1" s="1"/>
  <c r="F17" i="1"/>
  <c r="F18" i="1" s="1"/>
  <c r="F19" i="1" s="1"/>
  <c r="P19" i="1" s="1"/>
  <c r="F13" i="1"/>
  <c r="F14" i="1" s="1"/>
  <c r="F15" i="1" s="1"/>
  <c r="P15" i="1" s="1"/>
  <c r="F6" i="1"/>
  <c r="F7" i="1" s="1"/>
  <c r="F8" i="1" s="1"/>
  <c r="F9" i="1" s="1"/>
  <c r="F10" i="1" s="1"/>
  <c r="F11" i="1" s="1"/>
  <c r="P11" i="1" s="1"/>
  <c r="M777" i="1"/>
  <c r="M773" i="1"/>
  <c r="M772" i="1"/>
  <c r="M771" i="1"/>
  <c r="M769" i="1"/>
  <c r="M768" i="1"/>
  <c r="M767" i="1"/>
  <c r="M761" i="1"/>
  <c r="M760" i="1"/>
  <c r="M759" i="1"/>
  <c r="M758" i="1"/>
  <c r="M783" i="1"/>
  <c r="M782" i="1"/>
  <c r="M779" i="1"/>
  <c r="M778" i="1"/>
  <c r="M776" i="1"/>
  <c r="M775" i="1"/>
  <c r="M774" i="1"/>
  <c r="M766" i="1"/>
  <c r="M765" i="1"/>
  <c r="M757" i="1"/>
  <c r="M756" i="1"/>
  <c r="M781" i="1"/>
  <c r="M780" i="1"/>
  <c r="M764" i="1"/>
  <c r="M763" i="1"/>
  <c r="M762" i="1"/>
  <c r="M770" i="1"/>
  <c r="M754" i="1"/>
  <c r="M755" i="1"/>
  <c r="M752" i="1"/>
  <c r="M740" i="1"/>
  <c r="M739" i="1"/>
  <c r="M738" i="1"/>
  <c r="M736" i="1"/>
  <c r="M735" i="1"/>
  <c r="M734" i="1"/>
  <c r="M727" i="1"/>
  <c r="M707" i="1"/>
  <c r="M687" i="1"/>
  <c r="M684" i="1"/>
  <c r="M680" i="1"/>
  <c r="M737" i="1"/>
  <c r="M711" i="1"/>
  <c r="M695" i="1"/>
  <c r="M693" i="1"/>
  <c r="M692" i="1"/>
  <c r="M691" i="1"/>
  <c r="M690" i="1"/>
  <c r="M689" i="1"/>
  <c r="M677" i="1"/>
  <c r="M682" i="1"/>
  <c r="M681" i="1"/>
  <c r="M694" i="1"/>
  <c r="M685" i="1"/>
  <c r="M674" i="1"/>
  <c r="M753" i="1"/>
  <c r="M751" i="1"/>
  <c r="M750" i="1"/>
  <c r="M743" i="1"/>
  <c r="M683" i="1"/>
  <c r="M741" i="1"/>
  <c r="M719" i="1"/>
  <c r="M718" i="1"/>
  <c r="M717" i="1"/>
  <c r="M716" i="1"/>
  <c r="M700" i="1"/>
  <c r="M699" i="1"/>
  <c r="M686" i="1"/>
  <c r="M676" i="1"/>
  <c r="M675" i="1"/>
  <c r="M742" i="1"/>
  <c r="M732" i="1"/>
  <c r="M731" i="1"/>
  <c r="M730" i="1"/>
  <c r="M729" i="1"/>
  <c r="M728" i="1"/>
  <c r="M713" i="1"/>
  <c r="M712" i="1"/>
  <c r="M708" i="1"/>
  <c r="M688" i="1"/>
  <c r="M679" i="1"/>
  <c r="M715" i="1"/>
  <c r="M714" i="1"/>
  <c r="M697" i="1"/>
  <c r="M749" i="1"/>
  <c r="M748" i="1"/>
  <c r="M747" i="1"/>
  <c r="M746" i="1"/>
  <c r="M745" i="1"/>
  <c r="M744" i="1"/>
  <c r="M733" i="1"/>
  <c r="M704" i="1"/>
  <c r="M698" i="1"/>
  <c r="M678" i="1"/>
  <c r="M726" i="1"/>
  <c r="M725" i="1"/>
  <c r="M724" i="1"/>
  <c r="M723" i="1"/>
  <c r="M722" i="1"/>
  <c r="M721" i="1"/>
  <c r="M720" i="1"/>
  <c r="M710" i="1"/>
  <c r="M709" i="1"/>
  <c r="M706" i="1"/>
  <c r="M705" i="1"/>
  <c r="M696" i="1"/>
  <c r="M703" i="1"/>
  <c r="M702" i="1"/>
  <c r="M701" i="1"/>
  <c r="M651" i="1"/>
  <c r="M663" i="1"/>
  <c r="M662" i="1"/>
  <c r="M661" i="1"/>
  <c r="M673" i="1"/>
  <c r="M672" i="1"/>
  <c r="M671" i="1"/>
  <c r="M670" i="1"/>
  <c r="M669" i="1"/>
  <c r="M668" i="1"/>
  <c r="M667" i="1"/>
  <c r="M666" i="1"/>
  <c r="M665" i="1"/>
  <c r="M664" i="1"/>
  <c r="M660" i="1"/>
  <c r="M659" i="1"/>
  <c r="M658" i="1"/>
  <c r="M657" i="1"/>
  <c r="M656" i="1"/>
  <c r="M655" i="1"/>
  <c r="M654" i="1"/>
  <c r="M653" i="1"/>
  <c r="M652" i="1"/>
  <c r="M646" i="1"/>
  <c r="M650" i="1"/>
  <c r="M644" i="1"/>
  <c r="M647" i="1"/>
  <c r="M649" i="1"/>
  <c r="M648" i="1"/>
  <c r="M645" i="1"/>
  <c r="M643" i="1"/>
  <c r="M623" i="1"/>
  <c r="M622" i="1"/>
  <c r="M642" i="1"/>
  <c r="M641" i="1"/>
  <c r="M640" i="1"/>
  <c r="M639" i="1"/>
  <c r="M634" i="1"/>
  <c r="M621" i="1"/>
  <c r="M620" i="1"/>
  <c r="M619" i="1"/>
  <c r="M618" i="1"/>
  <c r="M617" i="1"/>
  <c r="M607" i="1"/>
  <c r="M606" i="1"/>
  <c r="M605" i="1"/>
  <c r="M604" i="1"/>
  <c r="M603" i="1"/>
  <c r="M598" i="1"/>
  <c r="M588" i="1"/>
  <c r="M587" i="1"/>
  <c r="M586" i="1"/>
  <c r="M638" i="1"/>
  <c r="M632" i="1"/>
  <c r="M631" i="1"/>
  <c r="M630" i="1"/>
  <c r="M629" i="1"/>
  <c r="M628" i="1"/>
  <c r="M627" i="1"/>
  <c r="M626" i="1"/>
  <c r="M595" i="1"/>
  <c r="M594" i="1"/>
  <c r="M593" i="1"/>
  <c r="M591" i="1"/>
  <c r="M590" i="1"/>
  <c r="M589" i="1"/>
  <c r="M637" i="1"/>
  <c r="M636" i="1"/>
  <c r="M635" i="1"/>
  <c r="M625" i="1"/>
  <c r="M624" i="1"/>
  <c r="M616" i="1"/>
  <c r="M615" i="1"/>
  <c r="M612" i="1"/>
  <c r="M599" i="1"/>
  <c r="M597" i="1"/>
  <c r="M596" i="1"/>
  <c r="M592" i="1"/>
  <c r="M614" i="1"/>
  <c r="M613" i="1"/>
  <c r="M611" i="1"/>
  <c r="M610" i="1"/>
  <c r="M609" i="1"/>
  <c r="M608" i="1"/>
  <c r="M602" i="1"/>
  <c r="M601" i="1"/>
  <c r="M600" i="1"/>
  <c r="M633" i="1"/>
  <c r="M583" i="1"/>
  <c r="M585" i="1"/>
  <c r="M584" i="1"/>
  <c r="M582" i="1"/>
  <c r="M574" i="1"/>
  <c r="M573" i="1"/>
  <c r="M572" i="1"/>
  <c r="M570" i="1"/>
  <c r="M568" i="1"/>
  <c r="M565" i="1"/>
  <c r="M563" i="1"/>
  <c r="M553" i="1"/>
  <c r="M552" i="1"/>
  <c r="M551" i="1"/>
  <c r="M550" i="1"/>
  <c r="M549" i="1"/>
  <c r="M547" i="1"/>
  <c r="M534" i="1"/>
  <c r="M581" i="1"/>
  <c r="M580" i="1"/>
  <c r="M579" i="1"/>
  <c r="M578" i="1"/>
  <c r="M577" i="1"/>
  <c r="M576" i="1"/>
  <c r="M575" i="1"/>
  <c r="M571" i="1"/>
  <c r="M569" i="1"/>
  <c r="M567" i="1"/>
  <c r="M566" i="1"/>
  <c r="M564" i="1"/>
  <c r="M562" i="1"/>
  <c r="M561" i="1"/>
  <c r="M560" i="1"/>
  <c r="M559" i="1"/>
  <c r="M558" i="1"/>
  <c r="M557" i="1"/>
  <c r="M556" i="1"/>
  <c r="M555" i="1"/>
  <c r="M554" i="1"/>
  <c r="M548" i="1"/>
  <c r="M546" i="1"/>
  <c r="M545" i="1"/>
  <c r="M544" i="1"/>
  <c r="M543" i="1"/>
  <c r="M542" i="1"/>
  <c r="M541" i="1"/>
  <c r="M540" i="1"/>
  <c r="M539" i="1"/>
  <c r="M538" i="1"/>
  <c r="M537" i="1"/>
  <c r="M536" i="1"/>
  <c r="M535" i="1"/>
  <c r="M533" i="1"/>
  <c r="M505" i="1"/>
  <c r="M532" i="1"/>
  <c r="M504" i="1"/>
  <c r="M517" i="1"/>
  <c r="M516" i="1"/>
  <c r="M531" i="1"/>
  <c r="M529" i="1"/>
  <c r="M528" i="1"/>
  <c r="M527" i="1"/>
  <c r="M526" i="1"/>
  <c r="M525" i="1"/>
  <c r="M523" i="1"/>
  <c r="M522" i="1"/>
  <c r="M521" i="1"/>
  <c r="M520" i="1"/>
  <c r="M519" i="1"/>
  <c r="M513" i="1"/>
  <c r="M512" i="1"/>
  <c r="M511" i="1"/>
  <c r="M510" i="1"/>
  <c r="M509" i="1"/>
  <c r="M508" i="1"/>
  <c r="M507" i="1"/>
  <c r="M506" i="1"/>
  <c r="M503" i="1"/>
  <c r="M502" i="1"/>
  <c r="M518" i="1"/>
  <c r="M530" i="1"/>
  <c r="M514" i="1"/>
  <c r="M524" i="1"/>
  <c r="M515" i="1"/>
  <c r="M489" i="1"/>
  <c r="M501" i="1"/>
  <c r="M500" i="1"/>
  <c r="M499" i="1"/>
  <c r="M498" i="1"/>
  <c r="M497" i="1"/>
  <c r="M496" i="1"/>
  <c r="M495" i="1"/>
  <c r="M494" i="1"/>
  <c r="M493" i="1"/>
  <c r="M492" i="1"/>
  <c r="M491" i="1"/>
  <c r="M490" i="1"/>
  <c r="M488" i="1"/>
  <c r="M487" i="1"/>
  <c r="M475" i="1"/>
  <c r="M452" i="1"/>
  <c r="M451" i="1"/>
  <c r="M439" i="1"/>
  <c r="M450" i="1"/>
  <c r="M449" i="1"/>
  <c r="M448" i="1"/>
  <c r="M447" i="1"/>
  <c r="M420" i="1"/>
  <c r="M476" i="1"/>
  <c r="M472" i="1"/>
  <c r="M469" i="1"/>
  <c r="M468" i="1"/>
  <c r="M467" i="1"/>
  <c r="M465" i="1"/>
  <c r="M463" i="1"/>
  <c r="M460" i="1"/>
  <c r="M459" i="1"/>
  <c r="M436" i="1"/>
  <c r="M435" i="1"/>
  <c r="M434" i="1"/>
  <c r="M433" i="1"/>
  <c r="M432" i="1"/>
  <c r="M431" i="1"/>
  <c r="M430" i="1"/>
  <c r="M429" i="1"/>
  <c r="M485" i="1"/>
  <c r="M484" i="1"/>
  <c r="M483" i="1"/>
  <c r="M482" i="1"/>
  <c r="M481" i="1"/>
  <c r="M480" i="1"/>
  <c r="M479" i="1"/>
  <c r="M478" i="1"/>
  <c r="M477" i="1"/>
  <c r="M474" i="1"/>
  <c r="M473" i="1"/>
  <c r="M471" i="1"/>
  <c r="M470" i="1"/>
  <c r="M466" i="1"/>
  <c r="M464" i="1"/>
  <c r="M462" i="1"/>
  <c r="M461" i="1"/>
  <c r="M458" i="1"/>
  <c r="M457" i="1"/>
  <c r="M456" i="1"/>
  <c r="M455" i="1"/>
  <c r="M454" i="1"/>
  <c r="M453" i="1"/>
  <c r="M446" i="1"/>
  <c r="M445" i="1"/>
  <c r="M444" i="1"/>
  <c r="M443" i="1"/>
  <c r="M442" i="1"/>
  <c r="M441" i="1"/>
  <c r="M440" i="1"/>
  <c r="M438" i="1"/>
  <c r="M437" i="1"/>
  <c r="M428" i="1"/>
  <c r="M427" i="1"/>
  <c r="M426" i="1"/>
  <c r="M425" i="1"/>
  <c r="M424" i="1"/>
  <c r="M423" i="1"/>
  <c r="M422" i="1"/>
  <c r="M421" i="1"/>
  <c r="M419" i="1"/>
  <c r="M418" i="1"/>
  <c r="M417" i="1"/>
  <c r="M416" i="1"/>
  <c r="M412" i="1"/>
  <c r="M415" i="1"/>
  <c r="M414" i="1"/>
  <c r="M413" i="1"/>
  <c r="M406" i="1"/>
  <c r="M402" i="1"/>
  <c r="M399" i="1"/>
  <c r="M411" i="1"/>
  <c r="M410" i="1"/>
  <c r="M409" i="1"/>
  <c r="M408" i="1"/>
  <c r="M407" i="1"/>
  <c r="M405" i="1"/>
  <c r="M404" i="1"/>
  <c r="M403" i="1"/>
  <c r="M401" i="1"/>
  <c r="M400" i="1"/>
  <c r="M391" i="1"/>
  <c r="M388" i="1"/>
  <c r="M395" i="1"/>
  <c r="M394" i="1"/>
  <c r="M393" i="1"/>
  <c r="M392" i="1"/>
  <c r="M390" i="1"/>
  <c r="M397" i="1"/>
  <c r="M396" i="1"/>
  <c r="M398" i="1"/>
  <c r="M389" i="1"/>
  <c r="M387" i="1"/>
  <c r="M383" i="1"/>
  <c r="M379" i="1"/>
  <c r="M378" i="1"/>
  <c r="M377" i="1"/>
  <c r="M386" i="1"/>
  <c r="M385" i="1"/>
  <c r="M384" i="1"/>
  <c r="M382" i="1"/>
  <c r="M381" i="1"/>
  <c r="M380" i="1"/>
  <c r="M376" i="1"/>
  <c r="M372" i="1"/>
  <c r="M375" i="1"/>
  <c r="M374" i="1"/>
  <c r="M373" i="1"/>
  <c r="M371" i="1"/>
  <c r="M370" i="1"/>
  <c r="M368" i="1"/>
  <c r="M367" i="1"/>
  <c r="M366" i="1"/>
  <c r="M365" i="1"/>
  <c r="M364" i="1"/>
  <c r="M361" i="1"/>
  <c r="M360" i="1"/>
  <c r="M355" i="1"/>
  <c r="M369" i="1"/>
  <c r="M363" i="1"/>
  <c r="M362" i="1"/>
  <c r="M358" i="1"/>
  <c r="M357" i="1"/>
  <c r="M356" i="1"/>
  <c r="M359" i="1"/>
  <c r="M354" i="1"/>
  <c r="M352" i="1"/>
  <c r="M348" i="1"/>
  <c r="M350" i="1"/>
  <c r="M349" i="1"/>
  <c r="M353" i="1"/>
  <c r="M351" i="1"/>
  <c r="M347" i="1"/>
  <c r="M346" i="1"/>
  <c r="M345" i="1"/>
  <c r="M329" i="1"/>
  <c r="M344" i="1"/>
  <c r="M336" i="1"/>
  <c r="M335" i="1"/>
  <c r="M334" i="1"/>
  <c r="M333" i="1"/>
  <c r="M332" i="1"/>
  <c r="M331" i="1"/>
  <c r="M330" i="1"/>
  <c r="M328" i="1"/>
  <c r="M327" i="1"/>
  <c r="M326" i="1"/>
  <c r="M325" i="1"/>
  <c r="M324" i="1"/>
  <c r="M323" i="1"/>
  <c r="M322" i="1"/>
  <c r="M321" i="1"/>
  <c r="M320" i="1"/>
  <c r="M319" i="1"/>
  <c r="M318" i="1"/>
  <c r="M317" i="1"/>
  <c r="M316" i="1"/>
  <c r="M315" i="1"/>
  <c r="M314" i="1"/>
  <c r="M313" i="1"/>
  <c r="M312" i="1"/>
  <c r="M311" i="1"/>
  <c r="M310" i="1"/>
  <c r="M309" i="1"/>
  <c r="M308" i="1"/>
  <c r="M307" i="1"/>
  <c r="M306" i="1"/>
  <c r="M305" i="1"/>
  <c r="M304" i="1"/>
  <c r="M303" i="1"/>
  <c r="M302" i="1"/>
  <c r="M301" i="1"/>
  <c r="M297" i="1"/>
  <c r="M296" i="1"/>
  <c r="M295" i="1"/>
  <c r="M294" i="1"/>
  <c r="M343" i="1"/>
  <c r="M342" i="1"/>
  <c r="M341" i="1"/>
  <c r="M340" i="1"/>
  <c r="M339" i="1"/>
  <c r="M338" i="1"/>
  <c r="M337" i="1"/>
  <c r="M293" i="1"/>
  <c r="M300" i="1"/>
  <c r="M299" i="1"/>
  <c r="M298" i="1"/>
  <c r="M292" i="1"/>
  <c r="M291" i="1"/>
  <c r="M289" i="1"/>
  <c r="M288" i="1"/>
  <c r="M287" i="1"/>
  <c r="M285" i="1"/>
  <c r="M284" i="1"/>
  <c r="M281" i="1"/>
  <c r="M290" i="1"/>
  <c r="M286" i="1"/>
  <c r="M283" i="1"/>
  <c r="M282" i="1"/>
  <c r="M280" i="1"/>
  <c r="M273" i="1"/>
  <c r="M272" i="1"/>
  <c r="M261" i="1"/>
  <c r="M260" i="1"/>
  <c r="M248" i="1"/>
  <c r="M279" i="1"/>
  <c r="M278" i="1"/>
  <c r="M277" i="1"/>
  <c r="M259" i="1"/>
  <c r="M246" i="1"/>
  <c r="M244" i="1"/>
  <c r="M267" i="1"/>
  <c r="M266" i="1"/>
  <c r="M264" i="1"/>
  <c r="M263" i="1"/>
  <c r="M243" i="1"/>
  <c r="M237" i="1"/>
  <c r="M220" i="1"/>
  <c r="M276" i="1"/>
  <c r="M275" i="1"/>
  <c r="M274" i="1"/>
  <c r="M265" i="1"/>
  <c r="M262" i="1"/>
  <c r="M231" i="1"/>
  <c r="M219" i="1"/>
  <c r="M218" i="1"/>
  <c r="M258" i="1"/>
  <c r="M256" i="1"/>
  <c r="M255" i="1"/>
  <c r="M254" i="1"/>
  <c r="M253" i="1"/>
  <c r="M252" i="1"/>
  <c r="M251" i="1"/>
  <c r="M250" i="1"/>
  <c r="M249" i="1"/>
  <c r="M247" i="1"/>
  <c r="M242" i="1"/>
  <c r="M241" i="1"/>
  <c r="M240" i="1"/>
  <c r="M239" i="1"/>
  <c r="M238" i="1"/>
  <c r="M236" i="1"/>
  <c r="M235" i="1"/>
  <c r="M234" i="1"/>
  <c r="M233" i="1"/>
  <c r="M232" i="1"/>
  <c r="M230" i="1"/>
  <c r="M229" i="1"/>
  <c r="M228" i="1"/>
  <c r="M227" i="1"/>
  <c r="M226" i="1"/>
  <c r="M225" i="1"/>
  <c r="M224" i="1"/>
  <c r="M223" i="1"/>
  <c r="M222" i="1"/>
  <c r="M271" i="1"/>
  <c r="M270" i="1"/>
  <c r="M269" i="1"/>
  <c r="M268" i="1"/>
  <c r="M257" i="1"/>
  <c r="M245" i="1"/>
  <c r="M221" i="1"/>
  <c r="M217" i="1"/>
  <c r="M216" i="1"/>
  <c r="M215" i="1"/>
  <c r="M213" i="1"/>
  <c r="M212" i="1"/>
  <c r="M214" i="1"/>
  <c r="M211" i="1"/>
  <c r="M210" i="1"/>
  <c r="M207" i="1"/>
  <c r="M204" i="1"/>
  <c r="M201" i="1"/>
  <c r="M200" i="1"/>
  <c r="M206" i="1"/>
  <c r="M205" i="1"/>
  <c r="M209" i="1"/>
  <c r="M208" i="1"/>
  <c r="M203" i="1"/>
  <c r="M202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68" i="1"/>
  <c r="M169" i="1"/>
  <c r="M170" i="1"/>
  <c r="M167" i="1"/>
  <c r="M166" i="1"/>
  <c r="M165" i="1"/>
  <c r="M164" i="1"/>
  <c r="M163" i="1"/>
  <c r="M162" i="1"/>
  <c r="M160" i="1"/>
  <c r="M159" i="1"/>
  <c r="M161" i="1"/>
  <c r="M152" i="1"/>
  <c r="M157" i="1"/>
  <c r="M150" i="1"/>
  <c r="M143" i="1"/>
  <c r="M142" i="1"/>
  <c r="M130" i="1"/>
  <c r="M151" i="1"/>
  <c r="M139" i="1"/>
  <c r="M120" i="1"/>
  <c r="M158" i="1"/>
  <c r="M156" i="1"/>
  <c r="M155" i="1"/>
  <c r="M154" i="1"/>
  <c r="M153" i="1"/>
  <c r="M149" i="1"/>
  <c r="M148" i="1"/>
  <c r="M147" i="1"/>
  <c r="M146" i="1"/>
  <c r="M145" i="1"/>
  <c r="M144" i="1"/>
  <c r="M141" i="1"/>
  <c r="M140" i="1"/>
  <c r="M138" i="1"/>
  <c r="M137" i="1"/>
  <c r="M136" i="1"/>
  <c r="M135" i="1"/>
  <c r="M134" i="1"/>
  <c r="M133" i="1"/>
  <c r="M132" i="1"/>
  <c r="M131" i="1"/>
  <c r="M129" i="1"/>
  <c r="M128" i="1"/>
  <c r="M127" i="1"/>
  <c r="M126" i="1"/>
  <c r="M125" i="1"/>
  <c r="M124" i="1"/>
  <c r="M123" i="1"/>
  <c r="M122" i="1"/>
  <c r="M121" i="1"/>
  <c r="M119" i="1"/>
  <c r="M118" i="1"/>
  <c r="M117" i="1"/>
  <c r="M116" i="1"/>
  <c r="M115" i="1"/>
  <c r="M114" i="1"/>
  <c r="M113" i="1"/>
  <c r="M112" i="1"/>
  <c r="M111" i="1"/>
  <c r="M109" i="1"/>
  <c r="M108" i="1"/>
  <c r="M107" i="1"/>
  <c r="M106" i="1"/>
  <c r="M110" i="1"/>
  <c r="M101" i="1"/>
  <c r="M100" i="1"/>
  <c r="M99" i="1"/>
  <c r="M98" i="1"/>
  <c r="M97" i="1"/>
  <c r="M78" i="1"/>
  <c r="M75" i="1"/>
  <c r="M105" i="1"/>
  <c r="M104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7" i="1"/>
  <c r="M76" i="1"/>
  <c r="M103" i="1"/>
  <c r="M102" i="1"/>
  <c r="M96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5" i="1"/>
  <c r="M54" i="1"/>
  <c r="M53" i="1"/>
  <c r="M52" i="1"/>
  <c r="M56" i="1"/>
  <c r="M51" i="1"/>
  <c r="M50" i="1"/>
  <c r="M49" i="1"/>
  <c r="M48" i="1"/>
  <c r="M44" i="1"/>
  <c r="M46" i="1"/>
  <c r="M45" i="1"/>
  <c r="M47" i="1"/>
  <c r="M43" i="1"/>
  <c r="M42" i="1"/>
  <c r="M37" i="1"/>
  <c r="M39" i="1"/>
  <c r="M36" i="1"/>
  <c r="M40" i="1"/>
  <c r="M38" i="1"/>
  <c r="M35" i="1"/>
  <c r="M29" i="1"/>
  <c r="M28" i="1"/>
  <c r="M25" i="1"/>
  <c r="M23" i="1"/>
  <c r="M22" i="1"/>
  <c r="M486" i="1"/>
  <c r="M32" i="1"/>
  <c r="M31" i="1"/>
  <c r="M30" i="1"/>
  <c r="M27" i="1"/>
  <c r="M26" i="1"/>
  <c r="M24" i="1"/>
  <c r="M21" i="1"/>
  <c r="M11" i="1"/>
  <c r="M10" i="1"/>
  <c r="M9" i="1"/>
  <c r="M8" i="1"/>
  <c r="M7" i="1"/>
  <c r="M6" i="1"/>
  <c r="M19" i="1"/>
  <c r="M18" i="1"/>
  <c r="M17" i="1"/>
  <c r="M15" i="1"/>
  <c r="M14" i="1"/>
  <c r="M13" i="1"/>
  <c r="P35" i="1" l="1"/>
  <c r="P14" i="1"/>
  <c r="P17" i="1"/>
  <c r="F22" i="1"/>
  <c r="F23" i="1" s="1"/>
  <c r="F24" i="1" s="1"/>
  <c r="F25" i="1" s="1"/>
  <c r="F26" i="1" s="1"/>
  <c r="F27" i="1" s="1"/>
  <c r="F28" i="1" s="1"/>
  <c r="F29" i="1" s="1"/>
  <c r="P13" i="1"/>
  <c r="P10" i="1"/>
  <c r="P36" i="1"/>
  <c r="P6" i="1"/>
  <c r="P7" i="1"/>
  <c r="P8" i="1"/>
  <c r="P18" i="1"/>
  <c r="P9" i="1"/>
  <c r="P28" i="1"/>
  <c r="P37" i="1"/>
  <c r="P25" i="1" l="1"/>
  <c r="P24" i="1"/>
  <c r="P26" i="1"/>
  <c r="P23" i="1"/>
  <c r="P27" i="1"/>
  <c r="P22" i="1"/>
  <c r="F30" i="1"/>
  <c r="F32" i="1" s="1"/>
  <c r="P29" i="1"/>
  <c r="P38" i="1"/>
  <c r="F31" i="1" l="1"/>
  <c r="P30" i="1"/>
  <c r="P39" i="1"/>
  <c r="P40" i="1"/>
  <c r="P31" i="1" l="1"/>
  <c r="P32" i="1" l="1"/>
  <c r="P486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638DC62-34B5-453F-B747-3BB6CDB6F590}" keepAlive="1" name="Consulta - diccionario_iupc_completo" description="Conexión a la consulta 'diccionario_iupc_completo' en el libro." type="5" refreshedVersion="8" background="1" saveData="1">
    <dbPr connection="Provider=Microsoft.Mashup.OleDb.1;Data Source=$Workbook$;Location=diccionario_iupc_completo;Extended Properties=&quot;&quot;" command="SELECT * FROM [diccionario_iupc_completo]"/>
  </connection>
  <connection id="2" xr16:uid="{ABE93E51-56C9-4173-8401-0C2F01261E83}" keepAlive="1" name="Consulta - Errores en diccionario_iupc_completo" description="Conexión a la consulta 'Errores en diccionario_iupc_completo' en el libro." type="5" refreshedVersion="0" background="1">
    <dbPr connection="Provider=Microsoft.Mashup.OleDb.1;Data Source=$Workbook$;Location=&quot;Errores en diccionario_iupc_completo&quot;;Extended Properties=&quot;&quot;" command="SELECT * FROM [Errores en diccionario_iupc_completo]"/>
  </connection>
</connection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<sst xmlns="http://schemas.openxmlformats.org/spreadsheetml/2006/main" count="12146" uniqueCount="6061">
  <si>
    <t xml:space="preserve">MATERIALES </t>
  </si>
  <si>
    <t>Unnamed: 1</t>
  </si>
  <si>
    <t>Unnamed: 2</t>
  </si>
  <si>
    <t>Unnamed: 3</t>
  </si>
  <si>
    <t>NIVEL 02</t>
  </si>
  <si>
    <t>NIVEL 03</t>
  </si>
  <si>
    <t>CODIGO</t>
  </si>
  <si>
    <t>IU</t>
  </si>
  <si>
    <t>ALAMBRE GALVANIZADO Nro 16</t>
  </si>
  <si>
    <t>ALAMBRE NEGRO RECOCIDO Nro 16</t>
  </si>
  <si>
    <t>ALAMBRE NEGRO RECOCIDO Nro 8</t>
  </si>
  <si>
    <t>CLAVO DE ACERO PARA CONCRETO 2 1/2 PULG</t>
  </si>
  <si>
    <t>CLAVO DE ACERO PARA CONCRETO 3 PULG</t>
  </si>
  <si>
    <t>CLAVO DE ENCHAPE (SIN CABEZA) 3/4"</t>
  </si>
  <si>
    <t>CLAVOS PARA CALAMINA ESPIRALADO 2 1/2"</t>
  </si>
  <si>
    <t>ACERO CORRUGADO G° 60 DE 1" x 9M</t>
  </si>
  <si>
    <t>ACERO CORRUGADO G° 60 DE 1/2" x 9M</t>
  </si>
  <si>
    <t>ACERO CORRUGADO G° 60 DE 1/4" x 9M</t>
  </si>
  <si>
    <t>ACERO CORRUGADO G° 60 DE 3/4" x 9M</t>
  </si>
  <si>
    <t>ACERO CORRUGADO G° 60 DE 3/8" x 9M</t>
  </si>
  <si>
    <t>ACERO CORRUGADO G° 60 DE 5/8" x 9M</t>
  </si>
  <si>
    <t>CABALLETES DE ACERO</t>
  </si>
  <si>
    <t>CANTILLON DE CONCRETO DE 20 CM</t>
  </si>
  <si>
    <t>DADO DE CONCRETO DE 2.5 CM</t>
  </si>
  <si>
    <t>DADO DE CONCRETO DE 4 CM</t>
  </si>
  <si>
    <t>DADO DE CONCRETO DE 7 CM</t>
  </si>
  <si>
    <t>BRIQUETERAS</t>
  </si>
  <si>
    <t>CILINDRO METALICO PARA POZO DE CURADO</t>
  </si>
  <si>
    <t>PUNTAL METALICO ACERO NEGRO EXTENDIBLE 3.2M</t>
  </si>
  <si>
    <t>LADRILLO DE TECHO 30X15X20</t>
  </si>
  <si>
    <t>CASETON POLIESTIRENO 15X30X3.00M D-12kg/M3</t>
  </si>
  <si>
    <t>CASETON POLIESTIRENO 20X30X3.00M D-12kg/M3</t>
  </si>
  <si>
    <t>LAMINA EN POLIESTIRENO BLANCO ACRILICO 120X180 CM</t>
  </si>
  <si>
    <t>PLANCHA DEPOLIESTIRENO EXPANDIDO DE 1" 1.20 X 2.40 METROS</t>
  </si>
  <si>
    <t>PLANCHA DEPOLIESTIRENO EXPANDIDO DE 2" 1.20 X 2.40 METROS</t>
  </si>
  <si>
    <t>PLANCHA DEPOLIESTIRENO EXPANDIDO DE 5/8" 1.20 X 2.40 METROS</t>
  </si>
  <si>
    <t>CLAVO DE DISPARO PARA DRYWALL x 100 und</t>
  </si>
  <si>
    <t>ARENA FINA DE CUNYAC</t>
  </si>
  <si>
    <t>ARENA GRUESA DE CANTERA HUAMBUTIO</t>
  </si>
  <si>
    <t>CONFITILLO VERDE PARA ASENTADO</t>
  </si>
  <si>
    <t>PIEDRA CHANCADA DE 1/2"</t>
  </si>
  <si>
    <t xml:space="preserve">PIEDRA GRANDE DE CANTERA </t>
  </si>
  <si>
    <t>LADRILLO BLOCKER 10 X 20 X 30 CM</t>
  </si>
  <si>
    <t>LADRILLO BLOCKER 12 X 20 X 30 CM</t>
  </si>
  <si>
    <t>LADRILLO KK 18 HUECOS 12X24X9 CM</t>
  </si>
  <si>
    <t>LADRILLO KK 18 HUECOS 14X24X9 CM</t>
  </si>
  <si>
    <t>CEMENTO PORTLAND TIPO IP (42.5kg)</t>
  </si>
  <si>
    <t>TIZA DE COLORES</t>
  </si>
  <si>
    <t>YESO DE 28 kg</t>
  </si>
  <si>
    <t>CRUCETAS AUTONIVELANTES PORCELANATO 1MM X 100 PIEZAS</t>
  </si>
  <si>
    <t xml:space="preserve">FRAGUA 1 kg </t>
  </si>
  <si>
    <t>FRAGUA DE PISCINA CELIMA X 5 KF</t>
  </si>
  <si>
    <t>PEGAMENTO CELIMA PROFESIONAL BLANCO FLEXIBLE PARA PORCELANATO undSA DE 25 kg</t>
  </si>
  <si>
    <t>PORCELANATO PARA JARDINERIAS EXTERIORES DE FACHADA</t>
  </si>
  <si>
    <t>PORCELANATO PARA JARDINERIAS INTERIORES DE FACHADA</t>
  </si>
  <si>
    <t>PORCELANATO PARA PARED DE BAÑOS</t>
  </si>
  <si>
    <t>PORCELANATO PARA PARED DE LAVANDERIAS</t>
  </si>
  <si>
    <t>PORCELANATO PARA PARED EN SOCALOS EMPOTRADOS</t>
  </si>
  <si>
    <t>PORCELANATO PARA PISO DE BAÑOS</t>
  </si>
  <si>
    <t>PORCELANATO PARA PISOS BALCONES (30X60CM)</t>
  </si>
  <si>
    <t>PORCELANATO PARA PISOS CUARTOS TECNICOS</t>
  </si>
  <si>
    <t>PORCELANATO PARA PISOS DE COCINAS</t>
  </si>
  <si>
    <t>PORCELANATO PARA PISOS DE LAVANDERIAS</t>
  </si>
  <si>
    <t>PORCELANATO PARA PISOS DE LOCALES COMERCIALES</t>
  </si>
  <si>
    <t>PORCELANATO PARA PISOS DE PASADIZO Y VESTIBULO PREVIO</t>
  </si>
  <si>
    <t>PORCELANATO PARA PISOS DE PATIOS</t>
  </si>
  <si>
    <t>PORCELANATO PARA PISOS DE SALA</t>
  </si>
  <si>
    <t>PORCELANATO PARA PISOS PARAPETO DE TECHOS Y ALEROS</t>
  </si>
  <si>
    <t>PORCELANATO PARA PISOS POYO DE COCINA</t>
  </si>
  <si>
    <t>PORCELANATO PARA PISOS POYO DE THERMA</t>
  </si>
  <si>
    <t>PORCELANATO PARA SALPICADEROS DE COCINA</t>
  </si>
  <si>
    <t>PORCELANATO PARA TANQUE CISTERNA</t>
  </si>
  <si>
    <t xml:space="preserve">PORCELANATO PARA TERRAZAS </t>
  </si>
  <si>
    <t>CRUCETAS CON TOPE 2 MM und X 100 PIEZAS</t>
  </si>
  <si>
    <t>DISCO DIAMANTADO CONTINUO 4 1/2" (115 MM) PARA PORCELANATO KAMASA</t>
  </si>
  <si>
    <t>ESPONGA PARA LIMPIA DE FRAGUA</t>
  </si>
  <si>
    <t>ESPONJA ALAMBRADA X 10UND</t>
  </si>
  <si>
    <t>RODEL WIDIA RUBI 16MM PARA PORCELANATO</t>
  </si>
  <si>
    <t>LIJA AL AGUA GRANO 120 MARCA 3M</t>
  </si>
  <si>
    <t>LIJA AL AGUA GRANO 1200 MARCA 3M</t>
  </si>
  <si>
    <t>LIJA AL AGUA GRANO 180 MARCA 3M</t>
  </si>
  <si>
    <t>LIJA AL AGUA GRANO 220 MARCA 3M</t>
  </si>
  <si>
    <t>LIJA AL AGUA GRANO 260 MARCA 3M</t>
  </si>
  <si>
    <t>LIJA AL AGUA GRANO 360 MARCA 3M</t>
  </si>
  <si>
    <t>LIJA AL AGUA GRANO 600 MARCA 3M</t>
  </si>
  <si>
    <t>LIJA DE ACERO #40</t>
  </si>
  <si>
    <t>LIJA DE ACERO #60</t>
  </si>
  <si>
    <t>LIJA DE ACERO #80</t>
  </si>
  <si>
    <t>LIJA DE PARQUET #20</t>
  </si>
  <si>
    <t>LIJAR PARA DISCO DE AMOLADORA 4 1/2 PULG NRO 100</t>
  </si>
  <si>
    <t>MASILLA ACRILICA (Suvinil Enduido Exterior) lata x 25 kg</t>
  </si>
  <si>
    <t>MICROCEMENTO MURO ACABADO X 5kg COLOR GRIS CEMENTO OSCURO</t>
  </si>
  <si>
    <t>MICROCEMENTO MURO BASE X 10kg COLOR GRIS CEMENTO OSCURO</t>
  </si>
  <si>
    <t>MICROCEMENTO MURO BASE X 10kg COLOR GRIS CLARO EFECTO DESENCOFRADO TABLILLAS</t>
  </si>
  <si>
    <t>OLEO MATE PATO CPP X 1 GALON</t>
  </si>
  <si>
    <t>PINTURA DE TRAFICO COLOR AMARILLO</t>
  </si>
  <si>
    <t>PINTURA DE TRAFICO COLOR NEGRO</t>
  </si>
  <si>
    <t>TALCO AMERICANO BLANCO undSA 1kg MARCA ADEX</t>
  </si>
  <si>
    <t>T-CON PUENTE DE ADERENCIA PRIMER X 5GLN</t>
  </si>
  <si>
    <t>YESO CERÁMICO COMACSA 20 kg</t>
  </si>
  <si>
    <t>PETROLEO</t>
  </si>
  <si>
    <t>IMPRIMANTE CPP X 4GLN</t>
  </si>
  <si>
    <t>PASTA MURAL MONTANA X 5GL</t>
  </si>
  <si>
    <t>PINTURA AMERICAN COLORS AZUL PLANETA X 1GL  (LOGO DE EMPRESA)</t>
  </si>
  <si>
    <t>PINTURA AMERICAN COLORS MATE AMARILLO X 1GL (LOGO DE EMPRESA)</t>
  </si>
  <si>
    <t>PINTURA AMERICAN COLORS MATE BLANCO X 4GL</t>
  </si>
  <si>
    <t>TEMPLE BLANCO 25 kg MAJESTAD</t>
  </si>
  <si>
    <t>ABRAZADERA 02 OREJAS 3" CON ACCESORIOS</t>
  </si>
  <si>
    <t>ABRAZADERA 02 OREJAS 4" CON ACCESORIOS</t>
  </si>
  <si>
    <t>ABRAZADERA PARA SALIDA DE GAS ENCIMERA DE COCINA</t>
  </si>
  <si>
    <t>ABRAZADERA TIPO GOTA 3" CON ACCESORIOS</t>
  </si>
  <si>
    <t>ABRAZADERA TIPO GOTA 4" CON ACCESORIOS</t>
  </si>
  <si>
    <t>ABRAZADERA TIPO GOTA 6" CON ACCESORIOS</t>
  </si>
  <si>
    <t>ANGULO DE ACERO 1 1/2 X 1 1/2 X 1/8 X 6M</t>
  </si>
  <si>
    <t>ANGULO DE ACERO 1"  X 1" X 1/8 X 6M</t>
  </si>
  <si>
    <t>ANGULO DE ACERO 2" X 2" X 1/8 X 6M</t>
  </si>
  <si>
    <t>ARANDELA METÁLICA CON NEOPRENO PARA TECHO # 10 X 14MM</t>
  </si>
  <si>
    <t>ARANDELAS PLANA DE 3/8PULG</t>
  </si>
  <si>
    <t>PERNO EXPANSION 3/8" x 4"</t>
  </si>
  <si>
    <t>PERNO TIRAFÓN CG2 1/4X2 1/2"</t>
  </si>
  <si>
    <t>TORNILLO CABEZA PLANA ASTER 6 X 3/8" color negro</t>
  </si>
  <si>
    <t>TORNILLO CABEZA PLANA ASTER 8X 1 1/2" color negro</t>
  </si>
  <si>
    <t>TORNILLO CABEZA PLANA ASTER 8X 1/2" color negro</t>
  </si>
  <si>
    <t>TORNILLO STOVEundT LARGO 1 1/2 PULG.</t>
  </si>
  <si>
    <t>TORNILLO STOVEundT LARGO 1 PULG.</t>
  </si>
  <si>
    <t>TORNILLO STOVEundT LARGO 2 1/2 PULG.</t>
  </si>
  <si>
    <t>TORNILLO STOVEundT LARGO 2 PULG.</t>
  </si>
  <si>
    <t>TORNILLO STOVEundT LARGO 3 PULG.</t>
  </si>
  <si>
    <t>TORNILLO WAFER PUNTA FINA 8X1/2"</t>
  </si>
  <si>
    <t>ACCESORIOS DE SERIE CORTAFUEGO (BISAGRAS 3MM, TORNILLOS SINCADOS, JUNTA INTUMESCENTE DE GRAFITO, CERRADURA DE DOBLE NUECA EMBUTIDA, MANIJA CON ALMA DE ACERO FORRADA POR FUSION)</t>
  </si>
  <si>
    <t>BROCA ACERO (HSS) 1/2"</t>
  </si>
  <si>
    <t>BROCA ACERO (HSS) 1/4"</t>
  </si>
  <si>
    <t>BROCA ACERO (HSS) 3/8"</t>
  </si>
  <si>
    <t>BROCA ACERO HSS 3/8" BAHCO</t>
  </si>
  <si>
    <t>BROCA DE 1/4"  PARA ROTOMARTILLO</t>
  </si>
  <si>
    <t>BROCA DE 3/8 PULG PARA PERCUTOR X 8</t>
  </si>
  <si>
    <t>BROCA DE 5/8 PULG PARA CONCRETO</t>
  </si>
  <si>
    <t>BROCA DE ACERO 1/4" (CON MUESTRA)</t>
  </si>
  <si>
    <t>BROCA DE ACERO 1/8" (CON MUESTRA)</t>
  </si>
  <si>
    <t>BROCA DE CONCRETO 3/16 "(CON MUESTRA)</t>
  </si>
  <si>
    <t>BROCA DE CONCRETO DE 1/2 PULG X 4PULG</t>
  </si>
  <si>
    <t>BROCA DE CONCRETO DE 1/4 PULG.</t>
  </si>
  <si>
    <t>BROCA DE PALETA DE 1/2" BOSH (CON MUESTRA)</t>
  </si>
  <si>
    <t>BROCA DE PALETA DE 3/4" BOSH (CON MUESTRA)</t>
  </si>
  <si>
    <t>BROCA DE PALETA DE 7/8" BOSH (CON MUESTRA)</t>
  </si>
  <si>
    <t>BROCA PARA CONCRETO DE 1/4 X 6 PULG (PARA TALADRO)</t>
  </si>
  <si>
    <t>BROCA PARA METAL DE 1/4"</t>
  </si>
  <si>
    <t>BROCA PARA METAL DE 3/16"</t>
  </si>
  <si>
    <t>BROCA PARA METAL DE 7/64"</t>
  </si>
  <si>
    <t>BROCA SDS PLUS 5X 9.5MM 3/8"X6"X8" BOSCH</t>
  </si>
  <si>
    <t>BROCA SDS-PLUS 5X 3/8”X10”</t>
  </si>
  <si>
    <t>COPA BROCA DIAMANTADA 2-1/2"</t>
  </si>
  <si>
    <t>CUCHILLA CUTTER UTILITY DRYWALL PROFESIONAL MPT TOOLS</t>
  </si>
  <si>
    <t>CUCHILLA PARA CEPILLO ELECTRICO BOSH X 2UND</t>
  </si>
  <si>
    <t>DISCO ABRASIVO CORTE EXPERT FOR METAL 14" X 3.0 MM</t>
  </si>
  <si>
    <t>DISCO ABRASIVO HP/ CORTE METAL 7" X 1/16 (1.6MM) DW8065 DEWALT</t>
  </si>
  <si>
    <t>DISCO CORTE METAL 14"X1/8"</t>
  </si>
  <si>
    <t>DISCO DE CORTE DIAMANTADO PARA CONCRETO 7MM MARCA BOSH</t>
  </si>
  <si>
    <t>DISCO DE CORTE PARA METAL 7" X 1/16"</t>
  </si>
  <si>
    <t>DISCO DE DESBASTE METAL 1/4x4"</t>
  </si>
  <si>
    <t>DISCO DIAMANTADO 4 1/2" ECO BOSCH</t>
  </si>
  <si>
    <t>DISCO DIAMANTADO 7" ECO BOSCH</t>
  </si>
  <si>
    <t>DISCO FLAP DE 4 1/2" GRANO 120 DW8310</t>
  </si>
  <si>
    <t>TORNILLOS AUTOPERFORANTES PUNTA BROCA 3"</t>
  </si>
  <si>
    <t>BANDEJA EN PLANCHA  GALV. (0.90) -1/27 X 508 X 1430 MM</t>
  </si>
  <si>
    <t>BASE ZINCROMATO MAESTRO - PINTURA BASE PARA METAL</t>
  </si>
  <si>
    <t>CAMPANA EXTRACTORA FDV CLASS BLACK 90</t>
  </si>
  <si>
    <t>CAMPANA EXTRACTORA FDV TWIN BLACK 60CM</t>
  </si>
  <si>
    <t>CAMPANA EXTRACTORA SLIM BLACK TURE18CO</t>
  </si>
  <si>
    <t xml:space="preserve">ELECTRODO PARA SOLDADURA CELLOCORD E-6011 </t>
  </si>
  <si>
    <t>ENCIMERA FDV BLACK 60 GLP 4 HORNILLAS</t>
  </si>
  <si>
    <t>ESMALTE SINTETICO AZUL X 01 GALON (COLOR PLANCHAS DE COPACABANA)</t>
  </si>
  <si>
    <t>ESMALTE SINTETICO GLOSS NEGRO ANYPSA</t>
  </si>
  <si>
    <t>ESPÁRRAGO NC-2 3/8" X 1.80 METRO</t>
  </si>
  <si>
    <t>EXTRACTOR DE VENTILACION EOLICO - INCLUYE BASE PLEGADA TIPO CAMPANA</t>
  </si>
  <si>
    <t>GRILLETE O GRAMPAS 3/8"</t>
  </si>
  <si>
    <t>MAESTRAZO THINNER ACRÍLICO AUTOMOTRIZ</t>
  </si>
  <si>
    <t>PINTURA BLANCO GLOSS</t>
  </si>
  <si>
    <t>PINTURA ESMALTE COLOR AZUL NAVAL EN PLANCHA PROVICIONALES</t>
  </si>
  <si>
    <t>PINTURA NEGRO GLOSS</t>
  </si>
  <si>
    <t>PINTURA SHERWIN WILLIAMS NEGRO MATE</t>
  </si>
  <si>
    <t>PLANCHA DE DRYWALLS DE 6MM GYPLACK</t>
  </si>
  <si>
    <t>Thinner 454 NF – SHERWIN AUTOMOTIVE PERU</t>
  </si>
  <si>
    <t>THINNER ACRÍLICO AUTOMOTRIZ MAESTRO REFORZADO AC - 350</t>
  </si>
  <si>
    <t>TINER ACRILICO MARCA ANIPSA X 01 GALON</t>
  </si>
  <si>
    <t>TINER ACRILICO MARCA ANIPSA X1 GALON</t>
  </si>
  <si>
    <t>TUERCA HEXAGONAL C 3/8"</t>
  </si>
  <si>
    <t>TUERCAS 3/8 PULG</t>
  </si>
  <si>
    <t>VOLANDAS PLANAS ZINCADAS 3/8 PULG</t>
  </si>
  <si>
    <t>ALUZINC TR5 0.40 mm (Calibrado)</t>
  </si>
  <si>
    <t>TEJA ANDINA DE FIBROCEMENTO ETERNIT 1.14 X 0.72 METROS</t>
  </si>
  <si>
    <t>TORNILLO AUTOAVELLANANTE PUNTA FINA 6X1-1/4 FIBROCEMENTO x 100und</t>
  </si>
  <si>
    <t>CALAMINA GALVANIZADA DE 0.30 mm x 0.83 m x 3.6 m</t>
  </si>
  <si>
    <t>PLANCHA PLEGADA GALVANIZADA ( 1/16" ) 1.5X1200X2400MM</t>
  </si>
  <si>
    <t>TUBO CUADRADO 1 1/2''X1.8MM LAC</t>
  </si>
  <si>
    <t>TUBO CUADRADO 1''X1.8MM LAC</t>
  </si>
  <si>
    <t>TUBO CUADRADO LAC A500 X 1.8 MM X 6 MT. (2" X 2")</t>
  </si>
  <si>
    <t>TUBO REDONDO 1 1/4''X1.8MM LAC</t>
  </si>
  <si>
    <t>TUBO REDONDO 1/2X1.8MM LAC</t>
  </si>
  <si>
    <t>TUBO REDONDO LAC A500 X 1.8 MM X 6 MT. (1/2" DE DIAMETRO)</t>
  </si>
  <si>
    <t>BISAGRA CAPUCHINA BRONCEADA PESADA X-TREMA 3"X3"  (X3UND)</t>
  </si>
  <si>
    <t>BISAGRA CAPUCHINA ZINCADA  4"X3"  (X3UND) (CON MUESTRA)</t>
  </si>
  <si>
    <t>BISAGRA OMEGA 3”X 3” INOX</t>
  </si>
  <si>
    <t>BISAGRA PESADA 3X4 PULG PUERTA PRINCIPAL UYUSTUN</t>
  </si>
  <si>
    <t>BISAGRA SOLDAR LISA 3/8 X 3" (X PAR)</t>
  </si>
  <si>
    <t>BISAGRA SOLDAR LISA 5/8 X 4" (X PAR)</t>
  </si>
  <si>
    <t>CHAPA ELECTRICA DE PÚERTA PRINCIPAL</t>
  </si>
  <si>
    <t>CHAPA ELECTRONICA DE PÚERTA DE INGRESO A DPTO</t>
  </si>
  <si>
    <t>KIT SIERRA COPA BROCA PLANA PARA INSTALACIÓN DE CERRADURAS (CON MUESTRA)</t>
  </si>
  <si>
    <t>PICAPORTE PLANO 2"</t>
  </si>
  <si>
    <t>PICAPORTE UYUSTOOLS PARA CANDADO 6 PULG</t>
  </si>
  <si>
    <t>TORNILLO SPACK 40X35 PARA BISAGRA DE PUERTA PRINCIPAL</t>
  </si>
  <si>
    <t>TORNILLO SPACK 5 X 80 color Negro</t>
  </si>
  <si>
    <t>BROCA DE CONCRETO 3/8 PUNTERA LARGA</t>
  </si>
  <si>
    <t>ACCESORIO DE PUNTERA DE ATORNILLADOR TIPO 2 (CON MUESTRA)</t>
  </si>
  <si>
    <t>ADAPTADOR DE PUNTERA MARCA DEWALT</t>
  </si>
  <si>
    <t>BARRA ANTIPÁNICO PARA PUERTA CORTAFUEGO TIPO PUSH</t>
  </si>
  <si>
    <t>BIZAGRA DE 5/8 X 4 PULG</t>
  </si>
  <si>
    <t>FRESA DE DESVASTO PARA RUTEADORA RECTA 1/2 X 1/2 X 2 TIMBERLINE</t>
  </si>
  <si>
    <t>HOJA DE PUERTA ARES INTERIOR ANCHO 0.65_ ALTURA 2.07_ ESPESOR 0.04</t>
  </si>
  <si>
    <t>HOJA DE PUERTA ARES INTERIOR ANCHO 0.70_ ALTURA 2.07_ ESPESOR 0.04</t>
  </si>
  <si>
    <t>HOJA DE PUERTA ARES INTERIOR ANCHO 0.75_ ALTURA 2.07_ ESPESOR 0.04</t>
  </si>
  <si>
    <t>HOJA DE PUERTA ARES INTERIOR ANCHO 0.80_ ALTURA 2.07_ ESPESOR 0.04</t>
  </si>
  <si>
    <t>HOJA DE PUERTA ARES INTERIOR ANCHO 0.85_ ALTURA 2.07_ ESPESOR 0.04</t>
  </si>
  <si>
    <t>HOJA DE PUERTA ARES VAIVEN COCINA ANCHO 0.83_ ALTURA 2.07_ ESPESOR 0.04</t>
  </si>
  <si>
    <t>HOJA DE PUERTA DE ACERO PINTURA EN POLVO EPOXI 100 MICRAS BLANCO  (VANO ANCHO 1.0m. ; ALT 2.10m.)</t>
  </si>
  <si>
    <t>HOJA DE SIERRA SANDFLEX #18</t>
  </si>
  <si>
    <t>HOJA DE SIERRA SANDFLEX #24</t>
  </si>
  <si>
    <t>LETRAS DE PUERTA PRINCIPAL 101, 102, 103, 201, 202, 203, 301, 302, 303, 401, 402, 403, 501, 502, 503, 601, 602, 603, 701, 702, 703, 801, 802, 803, 804</t>
  </si>
  <si>
    <t>LISTON DE 2 X 6 PULG X 10 PIES (Para marcos de puertas principales)</t>
  </si>
  <si>
    <t>MARCO DE PUERTA ARES TIPO BATIENTE LARGO=2.13M 3PZA _REBAJE 10X42MM ANCHO 90MM_ ACABADO NATURAL_ ESPESOR 32MM</t>
  </si>
  <si>
    <t>MARCO DE PUERTA ARES TIPO BATIENTE LARGO=2.72M 4PZS_REBAJE 10X42MM ANCHO 90MM_ACABADO NATURAL_ESPESOR 32MM</t>
  </si>
  <si>
    <t>MARCO DE PUERTA ARES TIPO VAIVEN LARGO=2.72M 4PZS _SIN REBAJE ANCHO 90MM_ACABADO NATURAL_ESPESOR 32MM x ANCHO 90MM</t>
  </si>
  <si>
    <t>MARCO DE PUERTA DE ACERO PINTURA EN POLVO EPOXI 120 MICRAS BLANCO (VANO ANCHO 1.0m. ; ALT 2.10m.)</t>
  </si>
  <si>
    <t>MARCO DE PUERTA PRINCIPAL TIPO BATIENTE LARGO=2.13M 3PZA _REBAJE 10X47MM _ ACABADO NATURAL</t>
  </si>
  <si>
    <t>MOLDURA CARACOL X 50UND (Rodon de puerta principal)</t>
  </si>
  <si>
    <t>MOLDURA DE BORDE DE MARCO DE PUERTA INTERIOR</t>
  </si>
  <si>
    <t>PAPEL TOALLA RENDIPEL PRO DOBLE HOJA 100 M</t>
  </si>
  <si>
    <t>PINTURA PIROXILINA BLANCA (DUCO) MATIZADO X4GLN</t>
  </si>
  <si>
    <t>PINTURA PIROXILINA MARRON (DUCO) MATIZADO X4GLN</t>
  </si>
  <si>
    <t>PUNTERA DE ATORNILLADOR TIPO 1 (CON MUESTRA)</t>
  </si>
  <si>
    <t>PUNTERA DE ATORNILLADOR TIPO 2 (CON MUESTRA)</t>
  </si>
  <si>
    <t>PUNTERA PH2</t>
  </si>
  <si>
    <t>TAPAJUNTA (GUIA HEMBRA + MOLDURA)</t>
  </si>
  <si>
    <t>TAPAJUNTA DE PISO EN PUERTA (HEMBRA Y MACHO)</t>
  </si>
  <si>
    <t>TOPE DE PUERTA A LA PARED</t>
  </si>
  <si>
    <t>TOPE DE PUERTA AL PISO</t>
  </si>
  <si>
    <t>CLAVOS PARA MADERA CON CABEZA DE 2"</t>
  </si>
  <si>
    <t>CLAVOS PARA MADERA CON CABEZA DE 3"</t>
  </si>
  <si>
    <t>CLAVOS PARA MADERA CON CABEZA DE 4"</t>
  </si>
  <si>
    <t>HOJA DE PUERTA PRINCIPAL (INGRESO A Dpto) ANCHO 0.90_ ALTURA 2.07_ ESPESOR 0.045_MADERA PINO</t>
  </si>
  <si>
    <t>LIJA NORTON DE MADERA  #320</t>
  </si>
  <si>
    <t>LIJA NORTON DE MADERA #120</t>
  </si>
  <si>
    <t>LIJA NORTON DE MADERA #150</t>
  </si>
  <si>
    <t>LIJA NORTON DE MADERA #220</t>
  </si>
  <si>
    <t>LIJA NORTON DE MADERA #600</t>
  </si>
  <si>
    <t>LISTONES DE MADERA TORNILLO DE 2"x1"x10´</t>
  </si>
  <si>
    <t>MADERA CORRIENTE ZAPOTE 0.25 X 3.00 M</t>
  </si>
  <si>
    <t>MADERA TORNILLO</t>
  </si>
  <si>
    <t>RENOVADOR DE MADERA NEW LOOK 260 m TEKNO (ACEITE ABRILLANTADOR)</t>
  </si>
  <si>
    <t>RODON DE MADERA TORNILLO BLANCO</t>
  </si>
  <si>
    <t>TORNILLO SPACK PARA MADERA 5.0 X80 x 1 und (PUERTAS INTERIORES)</t>
  </si>
  <si>
    <t xml:space="preserve">TORNILLO SPACK PARA MADERA 6X80 PARA MARCO DE PUERTA </t>
  </si>
  <si>
    <t>TRIPLAY FENOLICO DE 18MM</t>
  </si>
  <si>
    <t>TRIPLAY TIPO CORRIENTE 1.22 X 2.44 M.</t>
  </si>
  <si>
    <t>BARNIZ MARINO VENCEDOR X  01 GALON</t>
  </si>
  <si>
    <t>BARNIZ SHERWIN WILLIAMS  MATE</t>
  </si>
  <si>
    <t>BARNIZ TRANSPARENTE TEKNO DOBLE ACCION X 1GLN</t>
  </si>
  <si>
    <t>LACA SELLADORA DURALAX PHILAAC CON CATALIZADOR X 1GLN</t>
  </si>
  <si>
    <t>LACA SELLADORA MARCA PARACAS</t>
  </si>
  <si>
    <t>SELLADOR ACRILICO (Suvinil Complemento)</t>
  </si>
  <si>
    <t>SELLADOR CHEMALAC X 01 GNL</t>
  </si>
  <si>
    <t>SELLADOR CPP BLANCO 4GL</t>
  </si>
  <si>
    <t>SELLADOR DE ROSCAS EMPAQUETADURA ADEX</t>
  </si>
  <si>
    <t>TINTE COLOR CEDRO ECOTINTE X 1/4 LITRO</t>
  </si>
  <si>
    <t>TINTE COLOR CEREZO ECOTINTE X 1/4 LITRO</t>
  </si>
  <si>
    <t>TINTE PARACAS COLOR CAOBA 1/8 GLN</t>
  </si>
  <si>
    <t>TINTE PARACAS COLOR CEDRO 1/8 GLN</t>
  </si>
  <si>
    <t>TINTE PARACAS COLOR NOGAL 1/8 GLN</t>
  </si>
  <si>
    <t>PLACA FIBROCEMENTO SUPERBOARD ST 6MM 1.22X2.44 METROS</t>
  </si>
  <si>
    <t>CERRADURA DE EMBUTIR GINEBRA CANTOL (Manija Estándar Acero Inoxidable Ginebra 60)</t>
  </si>
  <si>
    <t>CERRADURA DE MANIJA Y CHAPA DE PUERTA CANTOL (baños)</t>
  </si>
  <si>
    <t>CERRADURA DE MANIJA Y CHAPA DE PUERTA CANTOL (Dormitorios)</t>
  </si>
  <si>
    <t>CHAPA CANTOL MANIJA (Según cuadro de acabados) color Negro</t>
  </si>
  <si>
    <t>BISAGRA CAPUCHINA / ALUMINIO INTERMEDIO color Negro</t>
  </si>
  <si>
    <t>BISAGRA DE ALUMINIO VAIVEN NEGRO</t>
  </si>
  <si>
    <t>BISAGRA ENTALLE-217 (BL-B 220 - PARED/VIDRIO 90) marca Alutemp</t>
  </si>
  <si>
    <t>TARUGO BLANCO DE VIDRIO</t>
  </si>
  <si>
    <t>DISCO DE CORTE PARA ALUMINIO 10" 100 DIENTES</t>
  </si>
  <si>
    <t>ABRAZADERA UNISTRUT DE 1 PULG PARA RIEL</t>
  </si>
  <si>
    <t>ADAPTADOR SERIE 25 X VARILLA</t>
  </si>
  <si>
    <t>CABEZAL SERIE 25 X VARILLA</t>
  </si>
  <si>
    <t>CIERRE DE EMBUTIR SERIE 25</t>
  </si>
  <si>
    <t>CONECTOR ENTALLE-X (BL-B 152 PARED/VIDRIO 90) marca Alutemp</t>
  </si>
  <si>
    <t>CUARTON DE 2  X 10 PULG X 10 PIES (PARA JAMBA)</t>
  </si>
  <si>
    <t>FELPA SISTRAL SERIE 25</t>
  </si>
  <si>
    <t xml:space="preserve">GARRUCHA DOBLE SERIE 25 </t>
  </si>
  <si>
    <t xml:space="preserve">GUIAS PLASTICAS SERIE 25 </t>
  </si>
  <si>
    <t>JAMBA PARA PUERTA PRINCIPAL</t>
  </si>
  <si>
    <t>JAMBAP/VITROVEN color Negro</t>
  </si>
  <si>
    <t>KIT F1 / ESPESOR DE VIDRIO 6MM/ ANCHO DE KIT 1.95 X 1.20 METROS/ BRILLANTE marca Alutemp</t>
  </si>
  <si>
    <t>LIMPIA VIDRIOS CON MANGO REGULABLE HOJA ANCHA</t>
  </si>
  <si>
    <t>OPERADOR P/VITROVEN color Negro</t>
  </si>
  <si>
    <t>PALANCAP/VITROVEN color Negro</t>
  </si>
  <si>
    <t>PARANTE SERIE 25 X VARILLA</t>
  </si>
  <si>
    <t>PERFIL CELOCIA (8824) CORP. LIMATAMBO COLOR NEGRO</t>
  </si>
  <si>
    <t>PERFIL DE PVC TRANSLUCIDO (BL-B 500 CIRCULAR ) PARA VIDRIO DE 8MM marca Alutemp</t>
  </si>
  <si>
    <t>PERFIL DE PVC TRANSLUCIDO (BL-B 501 ALETA RIGIDA ) PARA VIDRIO DE 8MM marca Alutemp</t>
  </si>
  <si>
    <t>PERFIL DE PVC TRANSLUCIDO (BL-B 504 ALETA FLEXIBLE ) PARA VIDRIO DE 8MM marca Alutemp</t>
  </si>
  <si>
    <t>PERFIL PVC DE HERMETICIDAD CON ALA RIGIDA</t>
  </si>
  <si>
    <t>PERFIL PVC DE HERMETICIDAD CON LA CENTRAL</t>
  </si>
  <si>
    <t>PORTAVIDRIOS VITROVEN color Negro</t>
  </si>
  <si>
    <t>REMACHES P/VITROVEN color Negro</t>
  </si>
  <si>
    <t>RIEL INFERIOR SERIE 25 X VARILLA</t>
  </si>
  <si>
    <t>RIEL SUPERIOR SERIE 25 X VARILLA</t>
  </si>
  <si>
    <t>RIEL UNISTRUT BAJO DE 2.4 m</t>
  </si>
  <si>
    <t>SUJETADOR DE VIDRIO PARA BARANDAS DE ACERO (pipas)</t>
  </si>
  <si>
    <t>TEMPLADORES OJO Y GANCHO 3/16" x 3-3/4"</t>
  </si>
  <si>
    <t>TRASLAPO SERIE 25 X VARILLA</t>
  </si>
  <si>
    <t>U ALTA PARA VIDRIO DE 8 MM</t>
  </si>
  <si>
    <t>VIDRIO CRUDO CATEDRAL 4MM</t>
  </si>
  <si>
    <t>VIDRIO LAMINADO 6MM PAVONADO X M2</t>
  </si>
  <si>
    <t>VIDRIO LAMINADO 6MM TRANSLUSIDO X M2</t>
  </si>
  <si>
    <t>VIDRIO LAMINADO 8MM INCOLORO PAVONADO PUERTAS DE INGRESO A EDIFICIO</t>
  </si>
  <si>
    <t>VIDRIO TEMPLADO INCOLORO 6MM</t>
  </si>
  <si>
    <t>VIDRIO TEMPLADO INCOLORO 8MM</t>
  </si>
  <si>
    <t>VINILP/VITROVEN color Negro</t>
  </si>
  <si>
    <t>VOLANDA PARA RIEL 3/8 PULG</t>
  </si>
  <si>
    <t>ZOCALO SERIE 25 X VARILLA</t>
  </si>
  <si>
    <t>ZOCALO DE MADERA TORNILLO BLANCO</t>
  </si>
  <si>
    <t>PARANTE 38X38X0.45MMX3.00M TUPEMESA</t>
  </si>
  <si>
    <t>RIEL 39X25X0.45MMX3.00M TUPEMESA</t>
  </si>
  <si>
    <t>ANGULO DE ALUMINIO 1 1/2 X 1 1/2 X 5.95M INTERMEDIO color Negro</t>
  </si>
  <si>
    <t>ANGULO DE ALUMINIO 5/8? X 5.95M/ CON PORTAFELPA color Negro</t>
  </si>
  <si>
    <t>ANGULO DE ALUMINIO ESPIGERO X 5.95M INTERMEDIO color Negro</t>
  </si>
  <si>
    <t>JAMBA DE ALUMINIO X VARILLA</t>
  </si>
  <si>
    <t>PERFIL ANTIDESLIZANTE L PARA ESCALERAS ALUMINIO X 6 M</t>
  </si>
  <si>
    <t>PERFIL U ALTA PARA VIDRIO 6MM color Negro</t>
  </si>
  <si>
    <t>PERFIL U PARA VIDRIO 6MM color Natural</t>
  </si>
  <si>
    <t>REGLA DE ALUMINIO 1 1/2" x 3 1/4" x 1.30 MM x 6 METROS (5.95m) INTERMEDIO color Negro</t>
  </si>
  <si>
    <t>REGLA DE ALUMINIO 3" x 1" x 1.30 MM x 6 METROS (5.95m) INTERMEDIO color Negro</t>
  </si>
  <si>
    <t>RIEL DE ALUMINIO RECORTADO COLOR NEGRO</t>
  </si>
  <si>
    <t>TOPE DE PUERTA  DE ALUMINIO 8015 color Negro</t>
  </si>
  <si>
    <t>APLICADOR PARA SIKA ANCHORFIX 3001</t>
  </si>
  <si>
    <t>CHEMA REMOVEDOR DE CONCRETO</t>
  </si>
  <si>
    <t>EPOXICO PARA ANCLAJE DE CONCRETO TIPO PISTOLA (Sika AnchorFix®-3001)</t>
  </si>
  <si>
    <t>IMPERMEABILIZANTE CHEMA-SEAL GRIS 1 GALÓN + COMPLEMENTO LIQUIDO DE 1/2 LITRO</t>
  </si>
  <si>
    <t>IMPERMEABILIZANTE DE CONCRETO SIKA-1 EN POLVO 1KG</t>
  </si>
  <si>
    <t>IMPERMEABILIZANTE PARA CONCRETO Y MORTERO SIKA-1 EN POLVO X 1 kg</t>
  </si>
  <si>
    <t>MASILLA MASIFLEX 600gr SIKA INCLUYE CATALIZADOR</t>
  </si>
  <si>
    <t>SIKA BOOM ESPUMA EXPANSIVA</t>
  </si>
  <si>
    <t>SIKA DUR 32 ADERENTE DE JUNTA FRIA</t>
  </si>
  <si>
    <t>SIKA FLEX SALCHICHA BLANCO</t>
  </si>
  <si>
    <t>SIKA TOP LASTIC X 15kg</t>
  </si>
  <si>
    <t>SIKACEM® ACELERANTE PE O SIKA®-3 + ENVACE DOSIFICADOR X m</t>
  </si>
  <si>
    <t>SIKAFILL TECHO X 5GNL</t>
  </si>
  <si>
    <t>SIKAFLEX- 118  EXTREME GRAB ADHESIVO ELÁSTICO DE ALTO AGARRE PARA LA CONSTRUCCIÓN</t>
  </si>
  <si>
    <t>SIKAGROUT®-1102</t>
  </si>
  <si>
    <t>SIKAREP®-350 (MORTERO DE REPARACION)</t>
  </si>
  <si>
    <t>SIKA-SIL X TUBO</t>
  </si>
  <si>
    <t>SILICONA COLOR BLANCO SIKA-SIL</t>
  </si>
  <si>
    <t>SILICONA NEGRA 300m</t>
  </si>
  <si>
    <t xml:space="preserve">SILICONA NEUTRA </t>
  </si>
  <si>
    <t>SILICONA SANISIL 280 m BLANCO</t>
  </si>
  <si>
    <t>SILICONA TRANSPARENTE EN TUBO</t>
  </si>
  <si>
    <t>TELA NO TEJIDA POLIÉSTER PARA UTILIZARLA CON MEMBRANAS LÍQUIDAS SIKA</t>
  </si>
  <si>
    <t>ADHESIVO Y SELLADOR DE JUNTAS SIKAFLEX 11FC PLUS 600m (SALCHICHA)</t>
  </si>
  <si>
    <t>T-CON SELLADOR PLUS HF SELLADOR PLUS HF X 5GLN</t>
  </si>
  <si>
    <t>ACOPLE CROMADO DE 1/2"</t>
  </si>
  <si>
    <t>CABECERA DE DUCHA MONOCOMANDO</t>
  </si>
  <si>
    <t>CANOPLA PARA GRIFERIA BRONCE CROMADO</t>
  </si>
  <si>
    <t>DUCHA MONOCOMANDO VAINSA - MOD. GLAMOUR</t>
  </si>
  <si>
    <t>ESQUINERO DE KIT DE DUCHA</t>
  </si>
  <si>
    <t>GRIFERIA  DE 1/2 PULG DE LAVARROPA CROMADO CON CANOPLA</t>
  </si>
  <si>
    <t>GRIFERIA FDV SMART PRO 2.0 PARA POZA DE COCINA</t>
  </si>
  <si>
    <t>GRIFERIA FDV SMART PRO 3.0 PARA POZA DE COCINA</t>
  </si>
  <si>
    <t>GRIFERIA PARA LAVATORIO DE BAÑO GLAMOUR 8" VAINSA PICO BAJO</t>
  </si>
  <si>
    <t>GRIFERIA PARA LAVATORIO DE BAÑO MONOCOMANDO VAINSA Dpto 701 - LAVATORIO BAJO MODELO GLAMOUR</t>
  </si>
  <si>
    <t>GRIFERIA PARA LAVATORIO DE BAÑO PIAVE 8" VAINSA</t>
  </si>
  <si>
    <t>GRIFERIA TEMPRA TREund MEZCLADORA MONOCOMANDO A LA PARED PARA LAVATORIO</t>
  </si>
  <si>
    <t>INODORO STELLA DE VAINSA</t>
  </si>
  <si>
    <t>KIT INSTALACION DE INODORO (PERNO DE ANCLAJE, TARUGO Y TAPITA BLANCA)</t>
  </si>
  <si>
    <t>LAVADERO DE COCINA PARA EMPOTRAR CON REBOSE RECORD EMPOTRABLE 44X54X22 CM</t>
  </si>
  <si>
    <t>LAVADERO DE COCINA PARA EMPOTRAR CON REBOSE TEKA  BE 40X34 CM</t>
  </si>
  <si>
    <t>LAVADERO DE COCINA PARA EMPOTRAR CON REBOSE TEKA EMPOTRABLE 40X40X20 CM</t>
  </si>
  <si>
    <t>LAVADERO DE COCINA PARA EMPOTRAR SIN REBOSE TEKA EMPOTRABLE 30.18-8 S/R DOBLE POZA</t>
  </si>
  <si>
    <t>LAVADERO DE LAVANDERIAS CELIMA AMAZONAS BLANCO ESTANDAR</t>
  </si>
  <si>
    <t>LAVADERO DE LAVANDERIAS CELIMA AMAZONAS BLANCO PLUS</t>
  </si>
  <si>
    <t>LAVATORIO PARA BAÑO BAJO ENCIMERA DE EMPOTRAR NUEVO SARATOGA II BLANCO</t>
  </si>
  <si>
    <t>LAVATORIO PARA BAÑO BAJO ENCIMERA OVALIN TREund MIMBELL</t>
  </si>
  <si>
    <t xml:space="preserve">LAVATORIO PARA BAÑO SOBRE ENCIMERA KLIPEN </t>
  </si>
  <si>
    <t>LAVATORIO PARA BAÑO SOBRE ENCIMERA MODENA DE VAINSA</t>
  </si>
  <si>
    <t>LIJA CIRCULAR CON PEGATINA DE 7 PULG #120</t>
  </si>
  <si>
    <t>MANIJAS Y ACCESORIOS DE DUCHA MONOCOMANDO</t>
  </si>
  <si>
    <t>MANIJAS Y ACCESORIOS DE DUCHA VAINSA</t>
  </si>
  <si>
    <t>MEZCLADORA DE DUCHAS -monocomando tempra</t>
  </si>
  <si>
    <t>NIPLE CROMADO DE 1/2" X 1/2"</t>
  </si>
  <si>
    <t>PERFIL PVC DE HERMETICIDAD PARA MAMPARA DE DUCHA ( REDONDO)</t>
  </si>
  <si>
    <t>PLATINA ASTM A36 1 1/4´ X 3/16´´X 6M</t>
  </si>
  <si>
    <t>PLATINAS DE 1"1/4X2.4MM</t>
  </si>
  <si>
    <t>TINA DE BAÑO + KIT DE INSTALACION</t>
  </si>
  <si>
    <t>TOPE DE GOMA PARA MAMPARAS DE DUCHA</t>
  </si>
  <si>
    <t>TUBO DE ABASTO 1/2" X 1/2" X 35CM P/ LAVATORIO</t>
  </si>
  <si>
    <t>TUBO DE ABASTO 1/2" X 7/8" X35CM P/INODORO ONE PIECE</t>
  </si>
  <si>
    <t>VIDRIO TEMPLADO DE 8MM PARA MAMPARA DE DUCHA</t>
  </si>
  <si>
    <t>BROCA PARA CERAMICO DE 1/4 (PUNTA FLECHA )</t>
  </si>
  <si>
    <t>CERAMICO PARA PISOS DE DEPOSITOS</t>
  </si>
  <si>
    <t>CERAMICO PARA PISOS DE ESCALERA DE EVACUACION</t>
  </si>
  <si>
    <t>PEGAMENTO OATEY DORADO 1/4</t>
  </si>
  <si>
    <t>PEGAMENTO OATEY X1/4GLN NEGRO</t>
  </si>
  <si>
    <t>SIKACERAM INTERIORES PEGAMENTO PARA MAYÓLICAS, CERÁMICOS Y AZULEJOS EN INTERIORES</t>
  </si>
  <si>
    <t>YESO CERAMICO 20kg HADES</t>
  </si>
  <si>
    <t>CAJA DE PASO METALICO CON CHAPA 30 X 30 X 15 CM. (PARA HACER FABRICAR)</t>
  </si>
  <si>
    <t>CAJA DE PASO METALICO CON CHAPA 35 X 35 X 15 CM. (PARA HACER FABRICAR)</t>
  </si>
  <si>
    <t>LLAVE DE PASO THC PPR CROMADO DE 20MM MANIJA COLOR AZUL</t>
  </si>
  <si>
    <t>LLAVE DE PASO THC PPR CROMADO DE 20MM MANIJA COLOR ROJO</t>
  </si>
  <si>
    <t>LLAVE DE PASO THC PPR DESMONTABLE DE 20MM MANIJA COLOR AZUL</t>
  </si>
  <si>
    <t>LLAVE DE PASO THC PPR DESMONTABLE DE 25MM MANIJA VERDE</t>
  </si>
  <si>
    <t>ACOPLE BRONCE CROMADO 1/2" CORTO</t>
  </si>
  <si>
    <t>CAJA DE PASO DE 10 x 10 x 4 pulg METALICO</t>
  </si>
  <si>
    <t>CAJA DE PASO DE 8X8X4 PULG. METAL</t>
  </si>
  <si>
    <t>CODO THC BETA PP-RCT DE 20MM X 90°</t>
  </si>
  <si>
    <t>CODO THC BETA PP-RCT DE 25MM X 90°</t>
  </si>
  <si>
    <t>CODO THC BETA PP-RCT DE 32MM X 90°</t>
  </si>
  <si>
    <t>CURVA DE SOBREPASASJE THC DE 20mm</t>
  </si>
  <si>
    <t>CURVA DE SOBREPASASJE THC DE 25mm</t>
  </si>
  <si>
    <t>KIT DE BAÑO (TOALLERO, PAPELERO, ETC.)</t>
  </si>
  <si>
    <t>REDUCCION COPLA THC BETA  PP-RCT DE 25MM A 20MM</t>
  </si>
  <si>
    <t>REDUCCION COPLA THC BETA  PP-RCT DE 32MM A 25MM</t>
  </si>
  <si>
    <t>TEE THC BETA PP-RCT DE 20MM</t>
  </si>
  <si>
    <t>TEE THC BETA PP-RCT DE 25MM</t>
  </si>
  <si>
    <t>TUBO THC BETA  DE 20MM CLASE 12.5  PP-RCT (5.80 m)</t>
  </si>
  <si>
    <t>TUBO THC BETA  DE 20MM CLASE 16  PP-RCT (5.80 m)</t>
  </si>
  <si>
    <t>TUBO THC BETA  DE 25MM CLASE 12.5  PP-RCT (5.80 m)</t>
  </si>
  <si>
    <t>TUBO THC BETA  DE 32MM CLASE 12.5  PP-RCT (5.80 mS)</t>
  </si>
  <si>
    <t>UNION COPLA THC BETA PP-RCT DE 20MM</t>
  </si>
  <si>
    <t>UNION COPLA THC BETA PP-RCT DE 25MM</t>
  </si>
  <si>
    <t>UNION COPLA THC BETA PP-RCT DE 32MM</t>
  </si>
  <si>
    <t xml:space="preserve">UNION UNIVERSAL PPR THC 20MM </t>
  </si>
  <si>
    <t>ANILLO DE CERA PARA  INODORO CON GUIA</t>
  </si>
  <si>
    <t>DESAGÜE DE LAVATORIO TIPO PUSH CON REBOSE 11/4 (3,18 CM) X 10" (25CM)</t>
  </si>
  <si>
    <t>KIT DE INSTALACION,DESAGUE Y TRAMPA PARA POZA DE LAVADERO DE COCINA</t>
  </si>
  <si>
    <t>KIT DE INSTALACION,DESAGUE, TRAMPA,PERNO DE ANCLAJE, TARUGO Y TAPITA BLANCA PARA AMAZONAS LAVARROPA</t>
  </si>
  <si>
    <t>TRAMPA P DE POLIPROPILENO 1 1/4 - 1 1/2 CON CONECTOR PARA LAVARORIO DE BAÑO</t>
  </si>
  <si>
    <t>CAJA DE REGISTRO DE AGUA POTABLE 30X60 CM</t>
  </si>
  <si>
    <t>CAJA DE REGISTRO PVC POLIPROPILENO</t>
  </si>
  <si>
    <t>CODO 2"X45º PVC SAL</t>
  </si>
  <si>
    <t>CODO 2"X90º PVC SAL</t>
  </si>
  <si>
    <t>CODO 3"X45º PVC SAP</t>
  </si>
  <si>
    <t>CODO 3"X90º PVC SAL</t>
  </si>
  <si>
    <t>CODO 4"X45º PVC SAP</t>
  </si>
  <si>
    <t>CODO 4"X90º PVC SAP</t>
  </si>
  <si>
    <t>CODO 6"X45º PVC SAP</t>
  </si>
  <si>
    <t>CODO DE VENTILACION 4"X2" PVC SAL</t>
  </si>
  <si>
    <t>REDUCCION 3"X2" PVC SAL</t>
  </si>
  <si>
    <t>REDUCCION 4"X3" PVC SAP</t>
  </si>
  <si>
    <t>REDUCCION 6"X3" PVC SAP</t>
  </si>
  <si>
    <t>REDUCCION 6"X4" PVC SAP</t>
  </si>
  <si>
    <t>REGISTRO REDONDO CROMADO 2'' PESADO</t>
  </si>
  <si>
    <t>REGISTRO REDONDO CROMADO 3'' PESADO</t>
  </si>
  <si>
    <t>REGISTRO REDONDO CROMADO 4'' PESADO</t>
  </si>
  <si>
    <t>SOMBRERO DE VENTILACION DE DESAGUE 2"</t>
  </si>
  <si>
    <t>SOMBRERO DE VENTILACION DE DESAGUE 3"</t>
  </si>
  <si>
    <t>SOMBRERO DE VENTILACION DE DESAGUE 4"</t>
  </si>
  <si>
    <t>SUMIDERO REDONDO CROMADO 2'' PESADO</t>
  </si>
  <si>
    <t>SUMIDERO REDONDO CROMADO 3'' PESADO</t>
  </si>
  <si>
    <t>TAPA DE ACERO GALVANIZADO REFORZADO PARA CAJA DE REGISTRO DE AGUA POTABLE 30X60 CM (CON LOGO DE AGUA POTABLE)</t>
  </si>
  <si>
    <t>TEE 2"X2" PVC SAL</t>
  </si>
  <si>
    <t>TEE 3"X2" PVC SAL</t>
  </si>
  <si>
    <t>TEE 3"X3" PVC SAL</t>
  </si>
  <si>
    <t>TEE 4"X4" PVC SAL</t>
  </si>
  <si>
    <t>TEE SANITARIA 4"X4" PVC SAL</t>
  </si>
  <si>
    <t>TRAMPA P 2" /BLANCA PARA PISO</t>
  </si>
  <si>
    <t>UNION 2" PVC PESADO DESAGUE</t>
  </si>
  <si>
    <t>UNION 3" PVC PESADO DESAGUE</t>
  </si>
  <si>
    <t>UNION 4" PVC PESADO DESAGUE</t>
  </si>
  <si>
    <t>UNION 6" PVC PESADO DESAGUE</t>
  </si>
  <si>
    <t>VÁLVULA CHECK ANTI-RETORNO EN PVC 4" 160MM DESAGUE</t>
  </si>
  <si>
    <t>VÁLVULA CHECK ANTI-RETORNO EN PVC 6" 160MM DESAGUE</t>
  </si>
  <si>
    <t>YEE 2"X2" PVC SAL</t>
  </si>
  <si>
    <t>YEE 3"X2" PVC SAL</t>
  </si>
  <si>
    <t>YEE 3"X3" PVC SAP</t>
  </si>
  <si>
    <t>YEE 4"X2" PVC SAL</t>
  </si>
  <si>
    <t>YEE 4"X3" PVC SAP</t>
  </si>
  <si>
    <t>YEE 4"X4" PVC SAP</t>
  </si>
  <si>
    <t>YEE 6"X4" PVC SAP</t>
  </si>
  <si>
    <t>ADAPTADOR DE 4 PULG PVC DESAGUE PESADO TUBO GRIS A ANARANJADO</t>
  </si>
  <si>
    <t>ADAPTADOR DE 6 PULG PVC DESAGUE PESADO TUBO GRIS A ANARANJADO</t>
  </si>
  <si>
    <t>TUBO 2" PVC DESAGUE PESADO</t>
  </si>
  <si>
    <t>TUBO 3" PVC DESAGUE PESADO</t>
  </si>
  <si>
    <t>TUBO 4" PVC DESAGUE PESADO</t>
  </si>
  <si>
    <t>TUBO GRIS 6" PVC SAP DESAGUE PESADO</t>
  </si>
  <si>
    <t xml:space="preserve">TUBERIA CONTRA INCENDIOS en acero ASTM A53 Gr-B SCH-10 de 4” pintado 8 Mills rojo </t>
  </si>
  <si>
    <t>Valvula siamesa cromado de tipo Postes o Pared + Claper UL/FM. Incluye tapas y cadena</t>
  </si>
  <si>
    <t xml:space="preserve">VENDA TRIANGULAR </t>
  </si>
  <si>
    <t xml:space="preserve">Valvula angular / Toma de bomberos de bronce H/M A-56 C/R NTP UL/FM de 2 ½” SOON POOL. </t>
  </si>
  <si>
    <t>Valvula FIRE CHECK Swing ranurada Flowcom de 4” UL/FM</t>
  </si>
  <si>
    <t>CABLE DE COBRE DESNUDO 16Mm2</t>
  </si>
  <si>
    <t>CONECTORES DE COBRE  TIPO ANDERSON 3/4"</t>
  </si>
  <si>
    <t>VARILLA DE COBRE 3/4" 2.50M</t>
  </si>
  <si>
    <t>CABLE NH-80 2.5 Mm2 COLOR AMARILLO TIERRA</t>
  </si>
  <si>
    <t>CABLE NH-80 2.5 Mm2 COLOR AZUL</t>
  </si>
  <si>
    <t>CABLE NH-80 2.5 Mm2 COLOR BLANCO</t>
  </si>
  <si>
    <t>CABLE NH-80 2.5 Mm2 COLOR NEGRO</t>
  </si>
  <si>
    <t>CABLE NH-80 2.5 Mm2 COLOR ROJO</t>
  </si>
  <si>
    <t>CABLE NH-80 4 Mm2 COLOR AMARILLO TIERRA</t>
  </si>
  <si>
    <t>CABLE NH-80 4 Mm2 COLOR NEGRO</t>
  </si>
  <si>
    <t>CABLE NH-80 4 Mm2 COLOR ROJO</t>
  </si>
  <si>
    <t>CABLE NH-80 450/750V 6MM AMARILLO/VERDE 100 METROS</t>
  </si>
  <si>
    <t>CABLE NHX-80 _10Mm2 COLOR NEGRO _INDECO</t>
  </si>
  <si>
    <t>CABLE VULCANIZADO AWG # 16</t>
  </si>
  <si>
    <t>APLIQUE DE BRACKET EN PARED TERRAZA COMUN</t>
  </si>
  <si>
    <t>APLIQUE DE PARED BRACKET EN FACHADA</t>
  </si>
  <si>
    <t>APLIQUE DE PARED BRACKET EN LAVANDERIA DE PATIOS</t>
  </si>
  <si>
    <t>APLIQUE DE PARED BRACKET SOBRE CAMA DE DORMITORIO</t>
  </si>
  <si>
    <t>APLIQUE DE PARED BRACKET SOBRE ESPEJO DE BAÑO</t>
  </si>
  <si>
    <t>APLIQUE DE PARED EN PELDAÑOS DE ESCALERAS DE DUPLEX</t>
  </si>
  <si>
    <t>INTERRUPTOR TERMOMAGNETICO 2X32A PROVICIONALES</t>
  </si>
  <si>
    <t>INTERRUPTOR TERMOMAGNETICO 3X32A PROVICIONALES</t>
  </si>
  <si>
    <t>PANEL DOWNLIGHT ADOSABLE REDONDO 18W (PLAFON)</t>
  </si>
  <si>
    <t>SPOT DICROICO LED REDONDO 7W LUZ CÁLIDA PARA EMPOTRAR (INCLUYE SOCKET Y FOCO LED)</t>
  </si>
  <si>
    <t>CABLE NYY TRIPLE 3-1X70Mm2, 1KV PVC/PVC, CLASE 2</t>
  </si>
  <si>
    <t>ACIDO DISOLVENTE PARA ZONDEO DE TUBO DE CABLEADO</t>
  </si>
  <si>
    <t>BENTONITA SODICA X30kg</t>
  </si>
  <si>
    <t>BORNE DE TIERRA 16Mm2</t>
  </si>
  <si>
    <t>BORNERA A TIERRA PARA RIEL DIN</t>
  </si>
  <si>
    <t>CABLE ACERADO 1/2"</t>
  </si>
  <si>
    <t>CABLE ACERADO 3/8"</t>
  </si>
  <si>
    <t>CAJA OCTOGONAL DE PVC</t>
  </si>
  <si>
    <t>CAJA RECTANGULAR DE PVC</t>
  </si>
  <si>
    <t>CEMENTO CONDUCTIVO THORCENN</t>
  </si>
  <si>
    <t>CERA PARA CABLEADO</t>
  </si>
  <si>
    <t>CINTILLO X100UND</t>
  </si>
  <si>
    <t>CONECTOR 1 1/4" PVC SEL</t>
  </si>
  <si>
    <t>CONECTOR 1" PVC SEL</t>
  </si>
  <si>
    <t>CONECTOR 3/4" PVC SEL</t>
  </si>
  <si>
    <t>CONECTORES DE 2" PVC SEL</t>
  </si>
  <si>
    <t>CURVA 1 1/4" PVC SEL</t>
  </si>
  <si>
    <t>CURVA 1" PVC SEL</t>
  </si>
  <si>
    <t>CURVAS 3/4" PVC SEL</t>
  </si>
  <si>
    <t>CURVAS DE 2" PVC SEL</t>
  </si>
  <si>
    <t>FOCO LED AHORRADOR 14W LUZ FRIA</t>
  </si>
  <si>
    <t>GUIA CANALETA PARA TIRA LED</t>
  </si>
  <si>
    <t>INTERRUPTOR DIFERENCIAL 2X40A</t>
  </si>
  <si>
    <t>INTERRUPTOR TERMOMAGNETICO 2X16A ILUMINACION</t>
  </si>
  <si>
    <t>INTERRUPTOR TERMOMAGNETICO 2X20A TOMACORRIENTE</t>
  </si>
  <si>
    <t>INTERRUPTOR TERMOMAGNETICO 2X32A HORNO ELECTRICO</t>
  </si>
  <si>
    <t>INTERRUPTOR TERMOMAGNETICO 2X40A GENERAL</t>
  </si>
  <si>
    <t>INTERRUPTORES DOBLE BTICINO  LINEA MODUS 4</t>
  </si>
  <si>
    <t>INTERRUPTORES DOBLE CONMUTADO BTICINO  LINEA MODUS 4</t>
  </si>
  <si>
    <t>INTERRUPTORES SIMPLE BTICINO LINEA MODUS 4</t>
  </si>
  <si>
    <t>INTERRUPTORES SIMPLE CONMUTADO BTICINO LINEA MODUS 4</t>
  </si>
  <si>
    <t>INTERRUPTORES TRIPLE BTICINO  LINEA MODUS 4</t>
  </si>
  <si>
    <t>INTERRUPTORES TRIPLE CONMUTADO BTICINO  LINEA MODUS 4</t>
  </si>
  <si>
    <t>LUZ DE EMERGENCIA 6W</t>
  </si>
  <si>
    <t>MENEQUES DE TOMA EMPOTRABES 16 AMP 2P + TIERRA AZUL 6H1PP44</t>
  </si>
  <si>
    <t>PEINE DE ALIMENTACION TIPO PIN MONOFASICO X 1.0M</t>
  </si>
  <si>
    <t>PLANCHA 1/32 PULG PLEGADA PARA CANALETAS DE TECHO</t>
  </si>
  <si>
    <t>PRENSA-ESTOPAS DE 3/4" MECALICA</t>
  </si>
  <si>
    <t>SENSOR DE MOVIMIENTO 360 IP20</t>
  </si>
  <si>
    <t>SENSOR DETECTOR DE HUMO</t>
  </si>
  <si>
    <t>SILICONA WHITE PARA TABLERO CON AROMA VISTONY (EL MAS GRANDE)</t>
  </si>
  <si>
    <t>SOCKET OVAL ROSCA 4 1/2"BTICINO</t>
  </si>
  <si>
    <t>TABLERO DE AREAS COMUNES SEGÚN ESPECIFICACION</t>
  </si>
  <si>
    <t>TABLERO DE ASCENSOR SEGÚN ESPECIFICACION</t>
  </si>
  <si>
    <t>TABLERO DE EQUIPONTECIALIDAD SEGÚN ESPECIFICACION</t>
  </si>
  <si>
    <t>TABLERO DE MONTACOCHE COMUNES SEGÚN ESPECIFICACION</t>
  </si>
  <si>
    <t>TABLERO MATRIZ DE EDIFICIO SEGÚN ESPECIFICACION</t>
  </si>
  <si>
    <t>TAPA CIEGA RECTANGULAR PVC 10X5CM</t>
  </si>
  <si>
    <t>TAPA CIEGA REDONDA PVC 10X10CM</t>
  </si>
  <si>
    <t>TERMINAL TIPO OJO 10Mm2</t>
  </si>
  <si>
    <t>TERMINAL TIPO PIN 10Mm2 x 100 und</t>
  </si>
  <si>
    <t>TERMINAL TIPO PIN 2.5Mm2 x 100 und</t>
  </si>
  <si>
    <t>TERMINAL TIPO PIN 4Mm2 x 100 und</t>
  </si>
  <si>
    <t>THOR GEL</t>
  </si>
  <si>
    <t>TIERRA NEGRA ORGANICA</t>
  </si>
  <si>
    <t>TOMACORRIENTE DOBLE DECORATIVO PARA COCINA + LÍNEA A TIERRA</t>
  </si>
  <si>
    <t>TOMACORRIENTE DOBLE UNIVERSAL + LÍNEA A TIERRA - BTICINO LINEA DOMINO SENCIA</t>
  </si>
  <si>
    <t>TOMACORRIENTE DOBLE UNIVERSAL + LÍNEA A TIERRA - BTICINO LINEA MODUS 4</t>
  </si>
  <si>
    <t>TOMACORRIENTE DOBLE UNIVERSAL + LÍNEA A TIERRA - BTICINO PARA EXTERIORES IP65</t>
  </si>
  <si>
    <t>TRANSFORMADOR PARA TIRA LED</t>
  </si>
  <si>
    <t>TUBO CORRUGADO METALICO DE 3/4"</t>
  </si>
  <si>
    <t>TUBO RECTANGULAR 2 X 1/2 (5219) CORP. LIMATAMBO COLOR NEGRO</t>
  </si>
  <si>
    <t>UNION 1 1/4" PVC SEL</t>
  </si>
  <si>
    <t>UNION 1" PVC SEL</t>
  </si>
  <si>
    <t>UNION 3/4" PVC SEL</t>
  </si>
  <si>
    <t>UNIONES DE 2" PVC SEL</t>
  </si>
  <si>
    <t xml:space="preserve">CAJA DE TABLERO OSB CON RIEL DIN, TIERRA Y SALIDA DE MENEQUES </t>
  </si>
  <si>
    <t>CAJA DE TABLERO CON RIEL DIN, TIERRA Y SALIDA DE MENEQUES</t>
  </si>
  <si>
    <t>TUBO DE ACERO LAC RECTANGULAR 100 X 50 X 2.0MM</t>
  </si>
  <si>
    <t>TUBO DE ACERO LAC RECTANGULAR 40 X 60 X 1.8MM</t>
  </si>
  <si>
    <t>TUBO DE ACERO NEGRO RECTANGULAR DE 1 1/2 X1 1/2 X 2MM</t>
  </si>
  <si>
    <t>TUBO DE ACERO NEGRO RECTANGULAR DE 2?X1? X 2MM</t>
  </si>
  <si>
    <t>TUBO METALICO GALVANIZADO 2 PULG LIVIANO (PARA SUBIR CABLE A POSTE)</t>
  </si>
  <si>
    <t>CAJA OCTOGONAL DE PVC PARA DICROICO</t>
  </si>
  <si>
    <t>TUBO 1 1/4" PVC SEL</t>
  </si>
  <si>
    <t>TUBO 1" PVC SEL</t>
  </si>
  <si>
    <t>TUBO 3/4" PVC SEL</t>
  </si>
  <si>
    <t>TUBO DE 2" PVC SEL</t>
  </si>
  <si>
    <t>TUBO PVC DE ELECTRICIDAD DE 1 PULG. PARA PASADOR DE ESPARRAGO ENOFRADO</t>
  </si>
  <si>
    <t>CABLE HDMI</t>
  </si>
  <si>
    <t>CABLE UTP CAT 6 x 305 m</t>
  </si>
  <si>
    <t>CONECTOR RJ-45 CAT-06</t>
  </si>
  <si>
    <t>TOMA COAXIAL DE TV BTICINO</t>
  </si>
  <si>
    <t>TRANFORMADOR PASIVO VIDEO BALUM RJ-45</t>
  </si>
  <si>
    <t>DISCO DURO DE 1TERA</t>
  </si>
  <si>
    <t>DVR GRABADOR DE VIDEO 16 CANALES K1, DISCO 1TB WD</t>
  </si>
  <si>
    <t>CAMARA FULL HD 1080</t>
  </si>
  <si>
    <t>CAMARAS DE VIGILANCIA PARA 08CAMARAS + ACCESORIOS DE INSTALCION</t>
  </si>
  <si>
    <t>DIN DON DE TIMBRE</t>
  </si>
  <si>
    <t>INTERCOMINICADOR METALICO EMPOTRABLE CON VIDEO PORTERO</t>
  </si>
  <si>
    <t>INTERCOMINICADOR METALICO EMPOTRABLE CON VIDEO PORTERO GUARDIANIA</t>
  </si>
  <si>
    <t>INTERCOMUNCADOR con video camara, para 15 departamentos</t>
  </si>
  <si>
    <t>MONITOR PARA CAMARAS DE VIGILANCIA DE 32 PULG</t>
  </si>
  <si>
    <t>MOUSE PARA MONITOR DE CAMARAS DE VIGILANCIA DE 32 PULG</t>
  </si>
  <si>
    <t>PULSADOR DE TIMBRE</t>
  </si>
  <si>
    <t>SWITCH POE 4 PUERTOS HIKVISION</t>
  </si>
  <si>
    <t>TIRA CINTA LED X 5 METROS</t>
  </si>
  <si>
    <t>ALCOHOL GRADO 70 x 1litro</t>
  </si>
  <si>
    <t xml:space="preserve">ARNES ANTICAIDA + LINEA DE VIDA </t>
  </si>
  <si>
    <t>BANCA DE PLASTICO COLOR BLANCO CON ESPALDAR</t>
  </si>
  <si>
    <t>BURLETE TOPE PROTECTOR DE ESPUMA PARA MARCO DE PUERTA X ML</t>
  </si>
  <si>
    <t xml:space="preserve">CAMILLA RÍGIDA </t>
  </si>
  <si>
    <t>CAMISA DE TRABAJO MANGA LARGA</t>
  </si>
  <si>
    <t>CAPUCHONES DE SEGURIDAD DE 1/4" - 5/8" (NARANJAS)</t>
  </si>
  <si>
    <t>CAPUCHONES DE SEGURIDAD DE 3/4" - 1 1/4" (VERDES)</t>
  </si>
  <si>
    <t xml:space="preserve">CASACA DE SEGURIDAD CON CINTA REFLECIVA </t>
  </si>
  <si>
    <t>CASCO DE SEGURIDAD</t>
  </si>
  <si>
    <t xml:space="preserve">CHALECO DE SEGURIDAD CON CINTA REFLECTIVA </t>
  </si>
  <si>
    <t>CINTA AISLANTE DE VINILO 3M</t>
  </si>
  <si>
    <t>CINTA DE DOBLE CONTACTO 24MM X 2.5 METROS</t>
  </si>
  <si>
    <t>CINTA DE SEGURIDAD COLOR ROJO</t>
  </si>
  <si>
    <t>CINTA MASKIN PEGAFAN 2"</t>
  </si>
  <si>
    <t xml:space="preserve">CINTA MASKING PEGAFAN 3/4'' </t>
  </si>
  <si>
    <t>CINTA MASKIT PEGAFAN 1"</t>
  </si>
  <si>
    <t xml:space="preserve">CINTA ROJA DE DELIMITACION </t>
  </si>
  <si>
    <t>CINTA STRETCH FILM DE 15''</t>
  </si>
  <si>
    <t>CINTA TEFLON 1/2 PULG</t>
  </si>
  <si>
    <t>COLA ULTRARAPIDA TEKNO X 4kg (BALDE)</t>
  </si>
  <si>
    <t xml:space="preserve">CONOS </t>
  </si>
  <si>
    <t xml:space="preserve">CORTAVIENTO </t>
  </si>
  <si>
    <t>DERTERGENTE SAPOLIO X 13.5 kg</t>
  </si>
  <si>
    <t>DETERGENTES EN POLVO AGRANAEL</t>
  </si>
  <si>
    <t>ESCOBA MARCA ESCOBILLON GRANDE</t>
  </si>
  <si>
    <t>EXTINTOR PQS ABC 6KG</t>
  </si>
  <si>
    <t>FRASCO DE ALCOHOL MEDIANO 250 ML.</t>
  </si>
  <si>
    <t>GUANTE DE JEBE TALLA L</t>
  </si>
  <si>
    <t>GUANTE DE JEBE TALLA M</t>
  </si>
  <si>
    <t>GUANTE DE JEBE TALLA S</t>
  </si>
  <si>
    <t xml:space="preserve">GUANTES DE HILO CON PALMA DE GOMA </t>
  </si>
  <si>
    <t>INTERRUPTOR TERMOMAGNETICO TETRAPOLAR DE 4 X 20A</t>
  </si>
  <si>
    <t>KIT DE CAMILLA RIGIDA - INMOVILIZADOR - CORREA SPIDER - COLLARIN CERVICAL</t>
  </si>
  <si>
    <t xml:space="preserve">LENTES OSCUROS/CLAROS DE SEGURIDAD </t>
  </si>
  <si>
    <t xml:space="preserve">MALLA FAENA EN ROLLO NARANJA 50 YD. </t>
  </si>
  <si>
    <t>MOCHILA DE BOTIQUIN</t>
  </si>
  <si>
    <t xml:space="preserve">PANTALON DE TRABAJO CON CINTA REFLECTIVA </t>
  </si>
  <si>
    <t>PAÑOS DE MICROFIBRA VERDE LIMON</t>
  </si>
  <si>
    <t xml:space="preserve">PAQUETE DE GASAS ESTERILIZADAS DE 10CM X 10CM </t>
  </si>
  <si>
    <t xml:space="preserve">PAQUETE DE GUANTES QUIRURGICOS </t>
  </si>
  <si>
    <t>PAQUETES DE GASA TIPO JALONET (PARA QUEMADURAS)</t>
  </si>
  <si>
    <t xml:space="preserve">POLO DE TRABAJO CON MANGA LARGA </t>
  </si>
  <si>
    <t>RAFIA  INDUTRIAL RIGIDA PARA GUIAS SEÑAL DEBIL COLOR AZUL</t>
  </si>
  <si>
    <t>SEÑALIZACION DE ADVERTENCIA (AMARILLA)</t>
  </si>
  <si>
    <t>SEÑALIZACION DE OBLIGACION (AZUL)</t>
  </si>
  <si>
    <t>SEÑALIZACION DE PROHIBICION (ROJA)</t>
  </si>
  <si>
    <t>SEÑALIZACION DE SALVAMENTO (VERDE)</t>
  </si>
  <si>
    <t>SEÑALIZACION DE TRAFICO TEMPORAL</t>
  </si>
  <si>
    <t>SHAMPOO PARA BEBE JOHNSON’S BABY CON DOSIFICADOR ENVASE DE 1L</t>
  </si>
  <si>
    <t>TABLERO DE 16 POLOS</t>
  </si>
  <si>
    <t>TABLERO DE 6 POLOS PARA DEPOSITOS</t>
  </si>
  <si>
    <t>TAPON 2" PVC DESAGUE</t>
  </si>
  <si>
    <t>TAPON 3" PVC DESAGUE</t>
  </si>
  <si>
    <t>TAPON 4" PVC DESAGUE</t>
  </si>
  <si>
    <t>TAPON 6" PVC DESAGUE</t>
  </si>
  <si>
    <t>TAPON ADAPTADOR INSERTO MACHO ROSCA PPR DE 20MM</t>
  </si>
  <si>
    <t>TAPON HEMBRA THC BETA PP-RCT DE 32MM</t>
  </si>
  <si>
    <t>TAPON MACHO PPR 20MM</t>
  </si>
  <si>
    <t xml:space="preserve">TAPONES U OREJERAS AUDITIVAS </t>
  </si>
  <si>
    <t>TRANSFORMADOR PARA CINTA LED DE 12V/12.5A/150W</t>
  </si>
  <si>
    <t>TRAPO INDUSTRIAL (WAYPE) FINO</t>
  </si>
  <si>
    <t>TRAPO INDUSTRIAL COLOR X5 kg KRL</t>
  </si>
  <si>
    <t>WAIPE INDUSTRIAL FINO</t>
  </si>
  <si>
    <t>ZAPATOS DE SEGURIDAD REFORZADOS CON PUNTA DE ACERO DIELECTRICOS</t>
  </si>
  <si>
    <t>CILINDRO CRIBADO CON MALLA RACHEL</t>
  </si>
  <si>
    <t>MALLA GALLINERO</t>
  </si>
  <si>
    <t xml:space="preserve">MALLA OLIMPICA </t>
  </si>
  <si>
    <t>MALLA RACHELL VERDE  (4.20m x 100m)</t>
  </si>
  <si>
    <t>CINTA DE PAPEL PARA DRYWALL 2" / 250 X 75 M</t>
  </si>
  <si>
    <t>MASILLA PARA DRYWALL GYPLAC LISTA PARA USAR 27 KG BALDE</t>
  </si>
  <si>
    <t>TOMA TELEFONO RJ11</t>
  </si>
  <si>
    <t>PERNO CARNE 3/8  X 2 PULG</t>
  </si>
  <si>
    <t>PERNOS DE EXPANSION 3/8 x 4"</t>
  </si>
  <si>
    <t>TARUGO NARANJA DE 3/8 PULG</t>
  </si>
  <si>
    <t>TARUGO PVC 3/8" NARANJA</t>
  </si>
  <si>
    <t>GASOLINA REGULAR 90 OCTANOS</t>
  </si>
  <si>
    <t>ESCUADRA METALICA, WINCHA, PLOMADA DE PUNTA FINA, NIVEL DE MANO, LAPIZ DE COLOR, CORRECTOR</t>
  </si>
  <si>
    <t>ÁNGULO ESQUINERO 30X30 X 0.30 MM X 3M</t>
  </si>
  <si>
    <t>APLICADOR SALCHICHA</t>
  </si>
  <si>
    <t>AUTOPERFORANTE HEXAGONAL PUNTA ESPADA S 10X4 1/2 4 und</t>
  </si>
  <si>
    <t xml:space="preserve">BARRAS RETRACTILES  </t>
  </si>
  <si>
    <t>CAJA DE FOSFOROS</t>
  </si>
  <si>
    <t>CAMPANA EXTRACTORA 60CM EXTRAIBLE EASYFLOW FDV</t>
  </si>
  <si>
    <t>CAMPANA EXTRACTORA 90CM NEW CRYSTAL FDV</t>
  </si>
  <si>
    <t>CAMPANA EXTRACTORA DECORATIVA NEW CRISTAL 60CM</t>
  </si>
  <si>
    <t>CAMPANA EXTRACTORA FDV CLASS 60CM- fuera de uso</t>
  </si>
  <si>
    <t>CARTEL INFORMATIVO DE OBRA Y PUBLICITARIO</t>
  </si>
  <si>
    <t>CEMENTO DE CONTACTO TEROCHAC MARCA MADEPREN</t>
  </si>
  <si>
    <t>CHEMA EXPAND X 850 GR.</t>
  </si>
  <si>
    <t>CHEMASILLA ACRILICA X 1/4 GLN</t>
  </si>
  <si>
    <t>CODO PPR INSERTO HEMBRA DE 20MM X90°</t>
  </si>
  <si>
    <t>COPA DIAMANTADA DE 1"1/2 CON SU ADAPTADOR PARA TALADRO</t>
  </si>
  <si>
    <t>DRIZA DE NYLON 5/8" X 100M</t>
  </si>
  <si>
    <t>DUCTO DE ELIMIACION DE DESMONTE</t>
  </si>
  <si>
    <t>ENCIMERA FDV CRYSTAL 4G GLP GAS GN -fuera de uso</t>
  </si>
  <si>
    <t>ENCIMERA FDV DELUXE CHEF 75 GLP - fuera de uso</t>
  </si>
  <si>
    <t>ENCIMERA INDUCCION SOLCO050 (SOLE)  - fuera de uso</t>
  </si>
  <si>
    <t>ESCOBILLA DE ACERO</t>
  </si>
  <si>
    <t>ESPEJOS DE BAÑO</t>
  </si>
  <si>
    <t>ETCHING PRIMER + ACTIVADOR (LÍNEA AUTOMOTRIZ, Primer, SHERWIN WILLIAMS)</t>
  </si>
  <si>
    <t>FDV SIGNATURE 5 HORNILLAS 90cm</t>
  </si>
  <si>
    <t>FLEJE DE ACERO INOXIDABLE 3/4"</t>
  </si>
  <si>
    <t>FRASCO DE AGUA OXIGENADA MEDIANO 120 ML.</t>
  </si>
  <si>
    <t>FRASCO DE SOLUCION DE CLORURO DE SODIO AL 0.9% X 1L.</t>
  </si>
  <si>
    <t>FRASCO DE YODOPOVIDOMA 120 ML. SOLUCION ANTISÉPTICO</t>
  </si>
  <si>
    <t>FRASCOS DE COLIRIO DE 10 ML.</t>
  </si>
  <si>
    <t>FRAZADA</t>
  </si>
  <si>
    <t>FT - Felpa F10 color Negro</t>
  </si>
  <si>
    <t>FULMINANTE MARRÓN CAL. 22 x 100 und</t>
  </si>
  <si>
    <t>GARRUCHA DOBLE R-22 COLOR NEGRO</t>
  </si>
  <si>
    <t>GRAPA FORJADA 1/2"</t>
  </si>
  <si>
    <t>HEBILLA DE ACERO INOX 1/2"</t>
  </si>
  <si>
    <t>HORNO FDV ELITE TOUCH AIR FRYER</t>
  </si>
  <si>
    <t>HORNO FDV ELITE TOUCH- fuera de uso</t>
  </si>
  <si>
    <t>IMPRESIÓN DE VINILICOS Y MOLDES (COORDINACIÓN CON ARQ. RODRIGO)</t>
  </si>
  <si>
    <t>LETRAS DE DPTO</t>
  </si>
  <si>
    <t>MANGUERA DE GAS</t>
  </si>
  <si>
    <t>MANÓMETRO DE PRESIÓN  2” DE DIÁMETRO ROSCA DE 1/2” EN BRONCE PRESIÓN MÁXIMA DE 150 PSI / 10 BAR</t>
  </si>
  <si>
    <t>NOGALINA GRANULADA MAX ALEMANA X 1kg</t>
  </si>
  <si>
    <t>PALETAS BAJA LENGUA (PARA ENTABLILLADO DE DEDOS)</t>
  </si>
  <si>
    <t>PANELES DE MENSAJES VARIABLES</t>
  </si>
  <si>
    <t>PAPEL CRAP (EMPAPELADO)</t>
  </si>
  <si>
    <t>PAQUETE DE ALGODÓN X 100 GR.</t>
  </si>
  <si>
    <t>PAQUETES DE APÓSITOS</t>
  </si>
  <si>
    <t>PERILLA (BL-B 400 BRILLANTE) marca Alutemp</t>
  </si>
  <si>
    <t xml:space="preserve">PINZA </t>
  </si>
  <si>
    <t>PISTOLA DE CALOR GRADUAL MARCA BOSH</t>
  </si>
  <si>
    <t>PITON ADAPTADOR DE SALIDA A GAS PARA COCINA ENCIMENRA</t>
  </si>
  <si>
    <t>PLANCHA DE POLIESTILENO DE 1/2 PULG</t>
  </si>
  <si>
    <t>PLANTA PARA MACETERO DE INGRESO</t>
  </si>
  <si>
    <t>PLASTICO DOBLE CARA AZUL-NEGRO 4m X 50m</t>
  </si>
  <si>
    <t>PLUMON INDELEBLE GRUESO COLOR AZUL</t>
  </si>
  <si>
    <t>PUNTAS DE ACERO S2 25MM PH2 X25MM</t>
  </si>
  <si>
    <t>PUNTAS PARA ATORNILLAR PH2 25MMPUNTAS PARA ATORNILLAR PH2 25MM</t>
  </si>
  <si>
    <t>ROLLIZO DE EUCALIPTO DE 5 - 6 PULG X 6 METROS</t>
  </si>
  <si>
    <t>ROLLO DE ESPARADRAPO 5CM X 4.5M</t>
  </si>
  <si>
    <t xml:space="preserve">ROLLO DE VENDA ELASTICA DE 3 PULG. X 5 YARDAS </t>
  </si>
  <si>
    <t xml:space="preserve">ROLLO DE VENDA ELASTICA DE 4 PULG. X 5 YARDAS </t>
  </si>
  <si>
    <t>SHER POLIURETANO PRIMER - Sherwin Williams - Automotriz</t>
  </si>
  <si>
    <t xml:space="preserve">Suministro de soporteria mecánica, antisísmica, conexiones de acoplamiento y cambio de </t>
  </si>
  <si>
    <t>TACOS DE EXPAXION 3/8 PULG</t>
  </si>
  <si>
    <t>TAPAJUNTA (GUIA + TAPA)</t>
  </si>
  <si>
    <t>TELA ARPILLERA LAMINADA NEGRA 4X100 m 110G</t>
  </si>
  <si>
    <t>THINER AUTOMOTRIZ PARA ACABADO</t>
  </si>
  <si>
    <t xml:space="preserve">TIJERA PUNTA ROMA </t>
  </si>
  <si>
    <t>UNION GRIS 3" PVC  SAL</t>
  </si>
  <si>
    <t>VARILLA ROSCADA 3/8 PULG X 1.8m (Esparagos)</t>
  </si>
  <si>
    <t>DURALATEX CPP AMARILLO OCRE X 1GL</t>
  </si>
  <si>
    <t>DURALATEX CPP BLANCO ALABASTRO X 4GL</t>
  </si>
  <si>
    <t>DURALATEX CPP BLANCO X 4 GALONES</t>
  </si>
  <si>
    <t>LATEX PATO CPP BLANCO X 4 GALONES</t>
  </si>
  <si>
    <t>PLANCHA LISA NEGRA A-36 DE 3/16"  +  (Servicio de Cortado en 10x10cm todo)</t>
  </si>
  <si>
    <t>kg</t>
  </si>
  <si>
    <t>caja</t>
  </si>
  <si>
    <t>und</t>
  </si>
  <si>
    <t>m³</t>
  </si>
  <si>
    <t>m²</t>
  </si>
  <si>
    <t>m2</t>
  </si>
  <si>
    <t>m</t>
  </si>
  <si>
    <t>gln</t>
  </si>
  <si>
    <t>rll</t>
  </si>
  <si>
    <t>p²</t>
  </si>
  <si>
    <t>varilla</t>
  </si>
  <si>
    <t>gbl</t>
  </si>
  <si>
    <t>rollo</t>
  </si>
  <si>
    <t>jgo</t>
  </si>
  <si>
    <t>02</t>
  </si>
  <si>
    <t>21</t>
  </si>
  <si>
    <t>03</t>
  </si>
  <si>
    <t>51</t>
  </si>
  <si>
    <t>31</t>
  </si>
  <si>
    <t>93</t>
  </si>
  <si>
    <t>37</t>
  </si>
  <si>
    <t>94</t>
  </si>
  <si>
    <t>17</t>
  </si>
  <si>
    <t>60</t>
  </si>
  <si>
    <t>88</t>
  </si>
  <si>
    <t>59</t>
  </si>
  <si>
    <t>04</t>
  </si>
  <si>
    <t>05</t>
  </si>
  <si>
    <t>86</t>
  </si>
  <si>
    <t>48</t>
  </si>
  <si>
    <t>81</t>
  </si>
  <si>
    <t>24</t>
  </si>
  <si>
    <t>41</t>
  </si>
  <si>
    <t>11</t>
  </si>
  <si>
    <t>54</t>
  </si>
  <si>
    <t>55</t>
  </si>
  <si>
    <t>30</t>
  </si>
  <si>
    <t>43</t>
  </si>
  <si>
    <t>06</t>
  </si>
  <si>
    <t>53</t>
  </si>
  <si>
    <t>87</t>
  </si>
  <si>
    <t>61</t>
  </si>
  <si>
    <t>26</t>
  </si>
  <si>
    <t>84</t>
  </si>
  <si>
    <t>44</t>
  </si>
  <si>
    <t>52</t>
  </si>
  <si>
    <t>79</t>
  </si>
  <si>
    <t>10</t>
  </si>
  <si>
    <t>90</t>
  </si>
  <si>
    <t>72</t>
  </si>
  <si>
    <t>07</t>
  </si>
  <si>
    <t>12</t>
  </si>
  <si>
    <t>19</t>
  </si>
  <si>
    <t>95</t>
  </si>
  <si>
    <t>83</t>
  </si>
  <si>
    <t>34</t>
  </si>
  <si>
    <t>27</t>
  </si>
  <si>
    <t>DESCRIPCION</t>
  </si>
  <si>
    <t>UND</t>
  </si>
  <si>
    <t xml:space="preserve">PRECIO </t>
  </si>
  <si>
    <t>GRUPO</t>
  </si>
  <si>
    <t>ACERO DE CONSTRUCCION LISO</t>
  </si>
  <si>
    <t>CLAVO</t>
  </si>
  <si>
    <t>Nro</t>
  </si>
  <si>
    <t>ELEMENTO</t>
  </si>
  <si>
    <t>IUPC</t>
  </si>
  <si>
    <t>Column1</t>
  </si>
  <si>
    <t>Aditivo inhibidor de corrosión</t>
  </si>
  <si>
    <t/>
  </si>
  <si>
    <t>Abrazadera de acero</t>
  </si>
  <si>
    <t>Aditivo para concreto</t>
  </si>
  <si>
    <t>Abrazadera de hierro</t>
  </si>
  <si>
    <t>Aditivo plastificante</t>
  </si>
  <si>
    <t>Abrazadera de hierro dúctil</t>
  </si>
  <si>
    <t>Aditivo retardante</t>
  </si>
  <si>
    <t>Abrazadera de polipropileno</t>
  </si>
  <si>
    <t>Aditivo superplastificante</t>
  </si>
  <si>
    <t>Abrazadera de PVC</t>
  </si>
  <si>
    <t>Adobe</t>
  </si>
  <si>
    <t>Acabadora de concreto</t>
  </si>
  <si>
    <t>Adoquin de concreto</t>
  </si>
  <si>
    <t>Accesorio CPVC</t>
  </si>
  <si>
    <t>Afirmado</t>
  </si>
  <si>
    <t>Accesorio de tubería de acero</t>
  </si>
  <si>
    <t>Afirmado para subbase</t>
  </si>
  <si>
    <t>Accesorio para tubería de cobre</t>
  </si>
  <si>
    <t>Agitador hiperbólico</t>
  </si>
  <si>
    <t>Accesorio para tuberia de hierro dúctil</t>
  </si>
  <si>
    <t>Agitador sumergible</t>
  </si>
  <si>
    <t>Accesorio para tuberia de hierro fundido</t>
  </si>
  <si>
    <t>Agregado fino</t>
  </si>
  <si>
    <t>Accesorio PVC sanitaria</t>
  </si>
  <si>
    <t>Agregado grueso</t>
  </si>
  <si>
    <t>Accesorio PVC SAP elèctrica</t>
  </si>
  <si>
    <t>Agua</t>
  </si>
  <si>
    <t>Accesorio PVC SEL eléctrica</t>
  </si>
  <si>
    <t>Aire acondicionado</t>
  </si>
  <si>
    <t>Accesorio PVC telefónico</t>
  </si>
  <si>
    <t>Aislador carrete</t>
  </si>
  <si>
    <t>Accesorio PVC-O para redes de agua</t>
  </si>
  <si>
    <t>Aislador de porcelana vidriada</t>
  </si>
  <si>
    <t>Accesorio PVC-U CR para agua fria</t>
  </si>
  <si>
    <t>Aislador eléctrico</t>
  </si>
  <si>
    <t>Accesorio PVC-U para drenaje y alcantarillado.</t>
  </si>
  <si>
    <t>Aislador eléctrico de pin</t>
  </si>
  <si>
    <t>Accesorio PVC-U para redes de agua</t>
  </si>
  <si>
    <t>Aislador polimérico</t>
  </si>
  <si>
    <t>Accesorio PVC-U SP para agua fría</t>
  </si>
  <si>
    <t>Aislador sismico</t>
  </si>
  <si>
    <t>Accesorios de continuidad de pantalla</t>
  </si>
  <si>
    <t>Aislador tipo pin</t>
  </si>
  <si>
    <t>Accesorios de tuberia de PRFV</t>
  </si>
  <si>
    <t>Aislamiento elastomero</t>
  </si>
  <si>
    <t>Accesorios telefónicos de PVC</t>
  </si>
  <si>
    <t>Alambre</t>
  </si>
  <si>
    <t>Accesorios tuberia HDPE</t>
  </si>
  <si>
    <t>Alambre de acero</t>
  </si>
  <si>
    <t>Accesorios tuberia PP-R</t>
  </si>
  <si>
    <t>Alambre de aluminio</t>
  </si>
  <si>
    <t>Access point</t>
  </si>
  <si>
    <t>Alambre de cobre</t>
  </si>
  <si>
    <t>Aceite</t>
  </si>
  <si>
    <t>Alambre de cobre desnudo</t>
  </si>
  <si>
    <t>Aceite aislante</t>
  </si>
  <si>
    <t>Alambre de púas</t>
  </si>
  <si>
    <t>Aceite dieléctrico</t>
  </si>
  <si>
    <t>Alambre de púas zincado</t>
  </si>
  <si>
    <t>Aceite linaza</t>
  </si>
  <si>
    <t>Alambre galvanizado</t>
  </si>
  <si>
    <t>Aceite lubricante</t>
  </si>
  <si>
    <t>Alambre negro</t>
  </si>
  <si>
    <t>Aceite para transformadores</t>
  </si>
  <si>
    <t>Alambre negro recocido</t>
  </si>
  <si>
    <t>Acelerógrafo</t>
  </si>
  <si>
    <t>Alambre para devanado de cobre</t>
  </si>
  <si>
    <t>Acero corrugado ASTM A496</t>
  </si>
  <si>
    <t>Alambre pretensor</t>
  </si>
  <si>
    <t>Acero corrugado ASTM A615</t>
  </si>
  <si>
    <t>Alambre y cable CAAI de aluminio</t>
  </si>
  <si>
    <t>Acero corrugado ASTM A706</t>
  </si>
  <si>
    <t>Alambre y cable CAI de aluminio</t>
  </si>
  <si>
    <t>Acero corrugado dimensionado</t>
  </si>
  <si>
    <t>Alambre y cable CPI</t>
  </si>
  <si>
    <t>Acero de construcción corrugado</t>
  </si>
  <si>
    <t>Alambre y cable CPI (WP)</t>
  </si>
  <si>
    <t>Acero liso redondo</t>
  </si>
  <si>
    <t>Alambre y cable GPT</t>
  </si>
  <si>
    <t>Acero para pretensado</t>
  </si>
  <si>
    <t>Alambre y cable LSOH</t>
  </si>
  <si>
    <t>Acero roscado acero galvanizado</t>
  </si>
  <si>
    <t>Alambre y cable LSOHX</t>
  </si>
  <si>
    <t>Acero roscado acero negro</t>
  </si>
  <si>
    <t>Alambre y cable NH</t>
  </si>
  <si>
    <t>Acero roscado zincado</t>
  </si>
  <si>
    <t>Alambre y cable NHX</t>
  </si>
  <si>
    <t>Acetileno</t>
  </si>
  <si>
    <t>Alambre y cable THW</t>
  </si>
  <si>
    <t>Ácido muriatico</t>
  </si>
  <si>
    <t>Alambre y cable tipo TW</t>
  </si>
  <si>
    <t>Acople de acero</t>
  </si>
  <si>
    <t>Alambre y cable tipo TW y THW</t>
  </si>
  <si>
    <t>Acrilico</t>
  </si>
  <si>
    <t>Alambre y cable tipo WP</t>
  </si>
  <si>
    <t>Adaptador brida campana de hierro dúctil</t>
  </si>
  <si>
    <t>Alambrón</t>
  </si>
  <si>
    <t>Adaptador de acero</t>
  </si>
  <si>
    <t>Alambrón para trefilado</t>
  </si>
  <si>
    <t>Adaptador integral para barra helicoidal</t>
  </si>
  <si>
    <t>Alarma audible</t>
  </si>
  <si>
    <t>Adhesivo epóxico multipropósito</t>
  </si>
  <si>
    <t>Alcantarilla metálica</t>
  </si>
  <si>
    <t>Aditivo acelerante de fragua</t>
  </si>
  <si>
    <t>Alcantarilla TMC</t>
  </si>
  <si>
    <t>Aditivo curador</t>
  </si>
  <si>
    <t>Alcantarilla TMC circular</t>
  </si>
  <si>
    <t>Aditivo endurecedor de superficies</t>
  </si>
  <si>
    <t>Alcantarilla TMC media caña</t>
  </si>
  <si>
    <t>Aditivo impermeabilizante</t>
  </si>
  <si>
    <t>Alcayata</t>
  </si>
  <si>
    <t>Aditivo incorporador de aire</t>
  </si>
  <si>
    <t>Alcohol</t>
  </si>
  <si>
    <t>Aldaba</t>
  </si>
  <si>
    <t>Alfombra</t>
  </si>
  <si>
    <t>Alicate</t>
  </si>
  <si>
    <t>Alisadora de concreto</t>
  </si>
  <si>
    <t>Alquiler de baños portátiles</t>
  </si>
  <si>
    <t>Alquiler de oficina</t>
  </si>
  <si>
    <t>Alquitran</t>
  </si>
  <si>
    <t>Altavoz</t>
  </si>
  <si>
    <t>Amasadora de asfalto</t>
  </si>
  <si>
    <t>Amolador</t>
  </si>
  <si>
    <t>Amortiguador sismico</t>
  </si>
  <si>
    <t>Amperimetro</t>
  </si>
  <si>
    <t>Anclaje de acero</t>
  </si>
  <si>
    <t>Anclaje de acero tipo J</t>
  </si>
  <si>
    <t>Anclaje de acero tipo L</t>
  </si>
  <si>
    <t>Anclaje para pretensado</t>
  </si>
  <si>
    <t>Andamio metálico</t>
  </si>
  <si>
    <t>Andamio prefabricado</t>
  </si>
  <si>
    <t>Anemometro</t>
  </si>
  <si>
    <t>Anfo</t>
  </si>
  <si>
    <t>Anfo pesado</t>
  </si>
  <si>
    <t>Angulo de acero al carbono</t>
  </si>
  <si>
    <t>Angulo de aluminio</t>
  </si>
  <si>
    <t>Angulo perimetral</t>
  </si>
  <si>
    <t>Anillo de cera para inodoro</t>
  </si>
  <si>
    <t>Anillo de jebe</t>
  </si>
  <si>
    <t>Anillo de jebe para tubería</t>
  </si>
  <si>
    <t>Anillo de jebe presión para agua potable</t>
  </si>
  <si>
    <t>Anillo de jebe presión para alcantarillado</t>
  </si>
  <si>
    <t>Antena de telemetria</t>
  </si>
  <si>
    <t>Anticorrosivo</t>
  </si>
  <si>
    <t>Aparato sanitario</t>
  </si>
  <si>
    <t>Apisonadora</t>
  </si>
  <si>
    <t>Apoyos neopreno</t>
  </si>
  <si>
    <t>Arandela</t>
  </si>
  <si>
    <t>Arandela de cuero</t>
  </si>
  <si>
    <t>Arandela de fierro</t>
  </si>
  <si>
    <t>Arandela de presión</t>
  </si>
  <si>
    <t>Årbol</t>
  </si>
  <si>
    <t>Arcilla</t>
  </si>
  <si>
    <t>Arco de sierra</t>
  </si>
  <si>
    <t>Arena fina</t>
  </si>
  <si>
    <t>Arena fina de rio</t>
  </si>
  <si>
    <t>Arena gruesa</t>
  </si>
  <si>
    <t>Arena gruesa de rio</t>
  </si>
  <si>
    <t>Armella</t>
  </si>
  <si>
    <t>Armés de seguridad</t>
  </si>
  <si>
    <t>Arrancador para Lámpara de vapor de mercurio</t>
  </si>
  <si>
    <t>Arrancador para Lámpara de vapor de sodio</t>
  </si>
  <si>
    <t>Artefacto de alumbrado exterior</t>
  </si>
  <si>
    <t>Artefacto de alumbrado interior</t>
  </si>
  <si>
    <t>Artefacto fluorescente</t>
  </si>
  <si>
    <t>Artefacto LED</t>
  </si>
  <si>
    <t>Artefacto tipo farol</t>
  </si>
  <si>
    <t>Ascensor</t>
  </si>
  <si>
    <t>Asfalto</t>
  </si>
  <si>
    <t>Asfalto industrial sólido</t>
  </si>
  <si>
    <t>Asfalto liquido</t>
  </si>
  <si>
    <t>Asfalto liquido MC</t>
  </si>
  <si>
    <t>Asfalto liquido RC</t>
  </si>
  <si>
    <t>Asfalto liquido SC</t>
  </si>
  <si>
    <t>Asiendo de ducha de acero</t>
  </si>
  <si>
    <t>Asiento para inodoro</t>
  </si>
  <si>
    <t>Asignación excepcional</t>
  </si>
  <si>
    <t>Aspersor de PVC</t>
  </si>
  <si>
    <t>Aspirador</t>
  </si>
  <si>
    <t>Atornillador eléctrico</t>
  </si>
  <si>
    <t>Autohormiguera</t>
  </si>
  <si>
    <t>Automóvil</t>
  </si>
  <si>
    <t>Ayudante</t>
  </si>
  <si>
    <t>Azulejo</t>
  </si>
  <si>
    <t>Badilejo</t>
  </si>
  <si>
    <t>Balanza</t>
  </si>
  <si>
    <t>Balde</t>
  </si>
  <si>
    <t>Balde de pruebas hidráulicas</t>
  </si>
  <si>
    <t>Baldosa acústica</t>
  </si>
  <si>
    <t>Baldosa acústica de fibra mineral</t>
  </si>
  <si>
    <t>Baldosa de PVC</t>
  </si>
  <si>
    <t>Baldosa de vidrio</t>
  </si>
  <si>
    <t>Baldosa de yeso multiplaca</t>
  </si>
  <si>
    <t>Baldosa vinilica</t>
  </si>
  <si>
    <t>Baldosin semigres</t>
  </si>
  <si>
    <t>Baliza</t>
  </si>
  <si>
    <t>Bambú</t>
  </si>
  <si>
    <t>Banco de baterías</t>
  </si>
  <si>
    <t>Banco de ducto de concreto</t>
  </si>
  <si>
    <t>Banda elástica elastomérica</t>
  </si>
  <si>
    <t>Bandeja de fibra de vidrio</t>
  </si>
  <si>
    <t>Bandeja de fibra óptica</t>
  </si>
  <si>
    <t>Bandeja portacable de acero galvanizado</t>
  </si>
  <si>
    <t>Baranda modular</t>
  </si>
  <si>
    <t>Baritina</t>
  </si>
  <si>
    <t>Bamiz</t>
  </si>
  <si>
    <t>Barniz marino</t>
  </si>
  <si>
    <t>Bamiz poliuretano</t>
  </si>
  <si>
    <t>Barra angular abatible de acero para SSHH</t>
  </si>
  <si>
    <t>Barra angular de acero para SSHH</t>
  </si>
  <si>
    <t>Barra antipánico</t>
  </si>
  <si>
    <t>Barra cuadrada de acero al carbono</t>
  </si>
  <si>
    <t>Barra de acero liso</t>
  </si>
  <si>
    <t>Barra equipotencial de cobre</t>
  </si>
  <si>
    <t>Barra helicoidal</t>
  </si>
  <si>
    <t>Barra recta de acero para SSHH</t>
  </si>
  <si>
    <t>Barra retráctil</t>
  </si>
  <si>
    <t>Barredora mecánica</t>
  </si>
  <si>
    <t>Barreno</t>
  </si>
  <si>
    <t>Barrera de concreto</t>
  </si>
  <si>
    <t>Barrera de contención metálico</t>
  </si>
  <si>
    <t>Barrera de tráfico</t>
  </si>
  <si>
    <t>Barro</t>
  </si>
  <si>
    <t>Bastón desnivelador topográfico</t>
  </si>
  <si>
    <t>Batea</t>
  </si>
  <si>
    <t>Bateria</t>
  </si>
  <si>
    <t>Bentonita</t>
  </si>
  <si>
    <t>Berbiqui</t>
  </si>
  <si>
    <t>Bidet</t>
  </si>
  <si>
    <t>Biodepurador de polietileno</t>
  </si>
  <si>
    <t>Biodiesel</t>
  </si>
  <si>
    <t>Biodigestor de polietileno</t>
  </si>
  <si>
    <t>Bisagra de acero</t>
  </si>
  <si>
    <t>Bisagra de acero tipo capuchina</t>
  </si>
  <si>
    <t>Bisagra de extensión</t>
  </si>
  <si>
    <t>Bisagra importada</t>
  </si>
  <si>
    <t>Bisagra nacional</t>
  </si>
  <si>
    <t>Bisagra roller</t>
  </si>
  <si>
    <t>Bisagra vaiven</t>
  </si>
  <si>
    <t>Bita</t>
  </si>
  <si>
    <t>Bloque de 50 pares para armario</t>
  </si>
  <si>
    <t>Bloque de concreto</t>
  </si>
  <si>
    <t>Bloque de concreto para muros</t>
  </si>
  <si>
    <t>Bloque de concreto para techos</t>
  </si>
  <si>
    <t>Bloque de poliestireno expandido</t>
  </si>
  <si>
    <t>Bloque de vidrio</t>
  </si>
  <si>
    <t>Bloqueador solar</t>
  </si>
  <si>
    <t>Bobina de acero LAF</t>
  </si>
  <si>
    <t>Bolardo</t>
  </si>
  <si>
    <t>Bomba centrifuga</t>
  </si>
  <si>
    <t>Bomba contraincendios</t>
  </si>
  <si>
    <t>Bomba de agua Diesel</t>
  </si>
  <si>
    <t>Bomba de agua solar</t>
  </si>
  <si>
    <t>Bomba de agua tipo turbina</t>
  </si>
  <si>
    <t>Bomba de cavidad progresiva</t>
  </si>
  <si>
    <t>Bomba de concentrado</t>
  </si>
  <si>
    <t>Bomba de concreto</t>
  </si>
  <si>
    <t>Bomba de inyección de cemento</t>
  </si>
  <si>
    <t>Bomba de lodos</t>
  </si>
  <si>
    <t>Bomba dosificadora</t>
  </si>
  <si>
    <t>Bomba neumática para vaciado de concreto</t>
  </si>
  <si>
    <t>Bomba para sistema contraincendios</t>
  </si>
  <si>
    <t>Bomba sumergible</t>
  </si>
  <si>
    <t>Bonificaciones mano de obra</t>
  </si>
  <si>
    <t>Bome</t>
  </si>
  <si>
    <t>Bone de cobre</t>
  </si>
  <si>
    <t>Botas de jebe</t>
  </si>
  <si>
    <t>Bote</t>
  </si>
  <si>
    <t>Botin de seguridad</t>
  </si>
  <si>
    <t>Botiquin</t>
  </si>
  <si>
    <t>Botón con campanilla</t>
  </si>
  <si>
    <t>Boya</t>
  </si>
  <si>
    <t>Braquete</t>
  </si>
  <si>
    <t>Brea</t>
  </si>
  <si>
    <t>Brea industrial</t>
  </si>
  <si>
    <t>Brea liquida</t>
  </si>
  <si>
    <t>Brick cerámico</t>
  </si>
  <si>
    <t>Brida de acero</t>
  </si>
  <si>
    <t>Brida de acero LAC</t>
  </si>
  <si>
    <t>Brida de hierro dúctil</t>
  </si>
  <si>
    <t>Brida rompe aguas de acero LAC</t>
  </si>
  <si>
    <t>Brida rompe aguas de hierro dúctil</t>
  </si>
  <si>
    <t>Broca</t>
  </si>
  <si>
    <t>Brocha</t>
  </si>
  <si>
    <t>Bronce</t>
  </si>
  <si>
    <t>Buje CPVC</t>
  </si>
  <si>
    <t>Bujía</t>
  </si>
  <si>
    <t>Bureta</t>
  </si>
  <si>
    <t>Bushing de acero</t>
  </si>
  <si>
    <t>Bushing de fierro galvanizado</t>
  </si>
  <si>
    <t>Bushing de PVC</t>
  </si>
  <si>
    <t>Bushing PVC-U CR para agua fria</t>
  </si>
  <si>
    <t>Buzón de concreto prefabricado</t>
  </si>
  <si>
    <t>Buzón eléctrico</t>
  </si>
  <si>
    <t>Buzón para ducto de basura</t>
  </si>
  <si>
    <t>Buzone termoplástico</t>
  </si>
  <si>
    <t>Caballete de madera</t>
  </si>
  <si>
    <t>Cable CCT-B</t>
  </si>
  <si>
    <t>Cable coaxial</t>
  </si>
  <si>
    <t>Cable de acero</t>
  </si>
  <si>
    <t>Cable de acero con recubrimiento de cobre</t>
  </si>
  <si>
    <t>Cable de acero para concreto pretensado</t>
  </si>
  <si>
    <t>Cable de cobre desnudo</t>
  </si>
  <si>
    <t>Cable de control multipar</t>
  </si>
  <si>
    <t>Cable de fibra óptica</t>
  </si>
  <si>
    <t>Cable de guarda</t>
  </si>
  <si>
    <t>Cable de red</t>
  </si>
  <si>
    <t>Cable ethernet</t>
  </si>
  <si>
    <t>Cable FPLR</t>
  </si>
  <si>
    <t>Cable HDMI</t>
  </si>
  <si>
    <t>Cable mensajero</t>
  </si>
  <si>
    <t>Cable multiconductor para control y señalización.</t>
  </si>
  <si>
    <t>Cable multipar</t>
  </si>
  <si>
    <t>Cable N2XOH</t>
  </si>
  <si>
    <t>Cable N2XSY</t>
  </si>
  <si>
    <t>Cable N2XY</t>
  </si>
  <si>
    <t>Cable NKBA</t>
  </si>
  <si>
    <t>Cable NKY</t>
  </si>
  <si>
    <t>Cable NPT</t>
  </si>
  <si>
    <t>Cable NYY</t>
  </si>
  <si>
    <t>Cable para control y señalización</t>
  </si>
  <si>
    <t>Cable para seguridad y alarma</t>
  </si>
  <si>
    <t>Cable para teléfono</t>
  </si>
  <si>
    <t>Cable patch cord</t>
  </si>
  <si>
    <t>Cable PEAT</t>
  </si>
  <si>
    <t>Cable PECSAT</t>
  </si>
  <si>
    <t>Cable PROFIBUS</t>
  </si>
  <si>
    <t>Cable SFTP</t>
  </si>
  <si>
    <t>Cable telefónico</t>
  </si>
  <si>
    <t>Cable tipo boa</t>
  </si>
  <si>
    <t>Cable TW y THW</t>
  </si>
  <si>
    <t>Cable UTP</t>
  </si>
  <si>
    <t>Cable WP</t>
  </si>
  <si>
    <t>Cable XPT</t>
  </si>
  <si>
    <t>Cabo</t>
  </si>
  <si>
    <t>Cabria</t>
  </si>
  <si>
    <t>Cachaco de concreto</t>
  </si>
  <si>
    <t>Cachaco de PVC</t>
  </si>
  <si>
    <t>Cadena</t>
  </si>
  <si>
    <t>Cadena de acero</t>
  </si>
  <si>
    <t>Caja cabina eléctrica</t>
  </si>
  <si>
    <t>Caja condulet.</t>
  </si>
  <si>
    <t>Caja cuadrada eléctrica</t>
  </si>
  <si>
    <t>Caja de conexión de agua y desagüe</t>
  </si>
  <si>
    <t>Caja de conexiones de fierro fundido</t>
  </si>
  <si>
    <t>Caja de fierro galvanizado eléctrica</t>
  </si>
  <si>
    <t>Caja de herramientas</t>
  </si>
  <si>
    <t>Caja de madera para tablero eléctrico</t>
  </si>
  <si>
    <t>Caja de pase galvanizada</t>
  </si>
  <si>
    <t>Caja de pase PVC</t>
  </si>
  <si>
    <t>Caja de pozo a tierra de concreto</t>
  </si>
  <si>
    <t>Caja de registro de agua</t>
  </si>
  <si>
    <t>Caja de registro de desague</t>
  </si>
  <si>
    <t>Caja eléctrica</t>
  </si>
  <si>
    <t>Caja galvanizada</t>
  </si>
  <si>
    <t>Caja metálica para tablero eléctrico</t>
  </si>
  <si>
    <t>Caja octogonal liviana eléctrica</t>
  </si>
  <si>
    <t>Caja para medidor de agua de fierro fundido</t>
  </si>
  <si>
    <t>Caja para medidor de fierro</t>
  </si>
  <si>
    <t>Caja portafusibles</t>
  </si>
  <si>
    <t>Caja portamedidor polimérico.</t>
  </si>
  <si>
    <t>Caja prefabricada</t>
  </si>
  <si>
    <t>Caja prefabricada grifo</t>
  </si>
  <si>
    <t>Caja protección concreto prefabricada</t>
  </si>
  <si>
    <t>Caja rectangular liviana eléctrica</t>
  </si>
  <si>
    <t>Caja sumidero</t>
  </si>
  <si>
    <t>Caja sumidero de concreto</t>
  </si>
  <si>
    <t>Caja terminal de 10 20 pares.</t>
  </si>
  <si>
    <t>Caja termoplástica</t>
  </si>
  <si>
    <t>Cal</t>
  </si>
  <si>
    <t>Calamina de aluminio</t>
  </si>
  <si>
    <t>Calamina de Zinc</t>
  </si>
  <si>
    <t>Caldera</t>
  </si>
  <si>
    <t>Calentador de aceite</t>
  </si>
  <si>
    <t>Calentador de agua</t>
  </si>
  <si>
    <t>Calentador eléctrico</t>
  </si>
  <si>
    <t>Calibrador Pie de Rey</t>
  </si>
  <si>
    <t>Câmara bullet IP</t>
  </si>
  <si>
    <t>Câmara de seguridad</t>
  </si>
  <si>
    <t>Câmara domo IP</t>
  </si>
  <si>
    <t>Cámara neumática</t>
  </si>
  <si>
    <t>Cámara PTZ IP</t>
  </si>
  <si>
    <t>Cambia via</t>
  </si>
  <si>
    <t>Camilla de seguridad</t>
  </si>
  <si>
    <t>Camión</t>
  </si>
  <si>
    <t>Camión baranda</t>
  </si>
  <si>
    <t>Camión cistema</t>
  </si>
  <si>
    <t>Camión concretero</t>
  </si>
  <si>
    <t>Camión hidrojet</t>
  </si>
  <si>
    <t>Camión imprimador</t>
  </si>
  <si>
    <t>Camión plataforma</t>
  </si>
  <si>
    <t>Camión tractor</t>
  </si>
  <si>
    <t>Camión volquete</t>
  </si>
  <si>
    <t>Camioneta</t>
  </si>
  <si>
    <t>Campana extractora</t>
  </si>
  <si>
    <t>Campana timbre eléctrico</t>
  </si>
  <si>
    <t>Campanilla timbre</t>
  </si>
  <si>
    <t>Canal C de acero al carbono</t>
  </si>
  <si>
    <t>Canal de aluminio</t>
  </si>
  <si>
    <t>Canal de concreto</t>
  </si>
  <si>
    <t>Canal de medición Parshall de fibra de vidrio</t>
  </si>
  <si>
    <t>Canal U de acero al carbono</t>
  </si>
  <si>
    <t>Canaleta de aluminio</t>
  </si>
  <si>
    <t>Canaleta de PVC</t>
  </si>
  <si>
    <t>Canaleta fibro-cemento</t>
  </si>
  <si>
    <t>Canaleta galvanizada</t>
  </si>
  <si>
    <t>Canaleta zinc</t>
  </si>
  <si>
    <t>Canalón fibro-cemento</t>
  </si>
  <si>
    <t>Canastilla de bronce</t>
  </si>
  <si>
    <t>Canastilla de latón</t>
  </si>
  <si>
    <t>Canastilla de PVC</t>
  </si>
  <si>
    <t>Candado</t>
  </si>
  <si>
    <t>Canguilón.</t>
  </si>
  <si>
    <t>Canopla</t>
  </si>
  <si>
    <t>Canto rodado</t>
  </si>
  <si>
    <t>Cantonera de acero</t>
  </si>
  <si>
    <t>Cantonera de aluminio</t>
  </si>
  <si>
    <t>Cantonera de PVC</t>
  </si>
  <si>
    <t>Caña Guayaquil</t>
  </si>
  <si>
    <t>Capacitación profesional</t>
  </si>
  <si>
    <t>Capataz</t>
  </si>
  <si>
    <t>Captafaro</t>
  </si>
  <si>
    <t>Carbón mineral</t>
  </si>
  <si>
    <t>Carbón vegetal</t>
  </si>
  <si>
    <t>Cargador frontal</t>
  </si>
  <si>
    <t>Cargador retroexcavador.</t>
  </si>
  <si>
    <t>Cargador sobre llantas</t>
  </si>
  <si>
    <t>Cargador sobre orugas</t>
  </si>
  <si>
    <t>Carretilla</t>
  </si>
  <si>
    <t>Cartón</t>
  </si>
  <si>
    <t>Casco de seguridad</t>
  </si>
  <si>
    <t>Casco minero</t>
  </si>
  <si>
    <t>Cascote</t>
  </si>
  <si>
    <t>Cascote de arcilla</t>
  </si>
  <si>
    <t>Casquete Spot Light</t>
  </si>
  <si>
    <t>Catalizador epóxico</t>
  </si>
  <si>
    <t>Cautin eléctrico</t>
  </si>
  <si>
    <t>Celda de protección con seccionador</t>
  </si>
  <si>
    <t>Cemento asfaltico</t>
  </si>
  <si>
    <t>Cemento blanco</t>
  </si>
  <si>
    <t>Cemento blanco tipo !</t>
  </si>
  <si>
    <t>Cemento con aditivo</t>
  </si>
  <si>
    <t>Cemento conductivo</t>
  </si>
  <si>
    <t>Cemento hidráulico</t>
  </si>
  <si>
    <t>Cemento hidráulico tipo GU</t>
  </si>
  <si>
    <t>Cemento hidráulico tipo HE</t>
  </si>
  <si>
    <t>Cemento hidraulico tipo HS</t>
  </si>
  <si>
    <t>Cemento hidràulico tipo HS (MH).</t>
  </si>
  <si>
    <t>Cemento hidraulico tipo Ico.</t>
  </si>
  <si>
    <t>Cemento hidraulico tipo IP</t>
  </si>
  <si>
    <t>Cemento hidráulico tipo IP(M).</t>
  </si>
  <si>
    <t>Cemento hidráulico tipo LH</t>
  </si>
  <si>
    <t>Cemento hidràulico tipo MH</t>
  </si>
  <si>
    <t>Cemento hidráulico tipo MS</t>
  </si>
  <si>
    <t>Cemento hidráulico tipo MS (MH)</t>
  </si>
  <si>
    <t>Cemento hidráulico tipo V</t>
  </si>
  <si>
    <t>Cemento portland</t>
  </si>
  <si>
    <t>Cemento Portland tipo !</t>
  </si>
  <si>
    <t>Cemento Portland tipo II</t>
  </si>
  <si>
    <t>Cemento Portland tipo V</t>
  </si>
  <si>
    <t>Centro de distribución Clusters</t>
  </si>
  <si>
    <t>Cepilladora de madera</t>
  </si>
  <si>
    <t>Cepilladora de pisos</t>
  </si>
  <si>
    <t>Cepillo</t>
  </si>
  <si>
    <t>Cera</t>
  </si>
  <si>
    <t>Ceràmica esmaltada y sin esmaltar.</t>
  </si>
  <si>
    <t>Ceràmico</t>
  </si>
  <si>
    <t>Cerámico para piso</t>
  </si>
  <si>
    <t>Cerámico piscina</t>
  </si>
  <si>
    <t>Cerámico piso pared</t>
  </si>
  <si>
    <t>Cerradura de embutir</t>
  </si>
  <si>
    <t>Cerradura de manija</t>
  </si>
  <si>
    <t>Cerradura de perilla</t>
  </si>
  <si>
    <t>Cerradura de sobreponer</t>
  </si>
  <si>
    <t>Cerradura digital</t>
  </si>
  <si>
    <t>Cerradura eléctrica</t>
  </si>
  <si>
    <t>Cerradura inteligente</t>
  </si>
  <si>
    <t>Cerradura tipo tranca</t>
  </si>
  <si>
    <t>Cerrajeria</t>
  </si>
  <si>
    <t>Cerrajeria importada</t>
  </si>
  <si>
    <t>Cerrajeria nacional</t>
  </si>
  <si>
    <t>Cerrojo</t>
  </si>
  <si>
    <t>Cerrojo digital</t>
  </si>
  <si>
    <t>Cerrojo sapito</t>
  </si>
  <si>
    <t>Césped</t>
  </si>
  <si>
    <t>Chalana</t>
  </si>
  <si>
    <t>Chaleco de seguridad</t>
  </si>
  <si>
    <t>Chancadora</t>
  </si>
  <si>
    <t>Chancadora cónica</t>
  </si>
  <si>
    <t>Chapa</t>
  </si>
  <si>
    <t>Chapa importada</t>
  </si>
  <si>
    <t>Chapa nacional</t>
  </si>
  <si>
    <t>Chata flotante</t>
  </si>
  <si>
    <t>Chata flotante de acero</t>
  </si>
  <si>
    <t>Cierrapuertas</t>
  </si>
  <si>
    <t>Cilindro</t>
  </si>
  <si>
    <t>Cilindro de concreto</t>
  </si>
  <si>
    <t>Cimbra metálica</t>
  </si>
  <si>
    <t>Cincel</t>
  </si>
  <si>
    <t>Cinta aislante</t>
  </si>
  <si>
    <t>Cinta aislante eléctrica</t>
  </si>
  <si>
    <t>Cinta antideslizante</t>
  </si>
  <si>
    <t>Cinta autoadhesiva para drywall</t>
  </si>
  <si>
    <t>Cinta de papel para drywall</t>
  </si>
  <si>
    <t>Cinta plástica de seguridad</t>
  </si>
  <si>
    <t>Cinta teflón</t>
  </si>
  <si>
    <t>Cizalla manual</t>
  </si>
  <si>
    <t>Clavo</t>
  </si>
  <si>
    <t>Clavo de acero con cabeza</t>
  </si>
  <si>
    <t>Clavo de acero galvanizado</t>
  </si>
  <si>
    <t>Clavo de acero para calamina</t>
  </si>
  <si>
    <t>Clavo de acero sin cabeza</t>
  </si>
  <si>
    <t>Cloro</t>
  </si>
  <si>
    <t>Cobre</t>
  </si>
  <si>
    <t>Cocina asfáltica</t>
  </si>
  <si>
    <t>Cocina de asfalto</t>
  </si>
  <si>
    <t>Codo CPVC</t>
  </si>
  <si>
    <t>Codo de acero</t>
  </si>
  <si>
    <t>Codo de cobre</t>
  </si>
  <si>
    <t>Codo de fierro fundido</t>
  </si>
  <si>
    <t>Codo de fierro negro y/o galvanizado</t>
  </si>
  <si>
    <t>Codo de hierro ductil</t>
  </si>
  <si>
    <t>Codo HDPE</t>
  </si>
  <si>
    <t>Codo PVC agua</t>
  </si>
  <si>
    <t>Codo PVC SAL desagüe</t>
  </si>
  <si>
    <t>Codo PVC sanitaria</t>
  </si>
  <si>
    <t>Codo PVC SAP eléctrica</t>
  </si>
  <si>
    <t>Codo PVC-U CR para agua fria</t>
  </si>
  <si>
    <t>Codo PVC-U para drenaje y alcantarillado.</t>
  </si>
  <si>
    <t>Codo PVC-U SP para agua fria</t>
  </si>
  <si>
    <t>Codo ventilación PVC desagüe</t>
  </si>
  <si>
    <t>Cola</t>
  </si>
  <si>
    <t>Cola sintética</t>
  </si>
  <si>
    <t>Collar enchufe de hierro dúctil</t>
  </si>
  <si>
    <t>Collarin cervical</t>
  </si>
  <si>
    <t>Colorimetro</t>
  </si>
  <si>
    <t>Comba</t>
  </si>
  <si>
    <t>Comba de inyección de cemento</t>
  </si>
  <si>
    <t>Compactador de solidos</t>
  </si>
  <si>
    <t>Compactador manual</t>
  </si>
  <si>
    <t>Compactadora de rodillos</t>
  </si>
  <si>
    <t>Compactadora vibratoria</t>
  </si>
  <si>
    <t>Compost</t>
  </si>
  <si>
    <t>Compresora de aire eléctrica</t>
  </si>
  <si>
    <t>Compresora Diesel</t>
  </si>
  <si>
    <t>Compresora horizontal</t>
  </si>
  <si>
    <t>Compresora neumática</t>
  </si>
  <si>
    <t>Compuerta de fibra de vidrio</t>
  </si>
  <si>
    <t>Compuerta metálica</t>
  </si>
  <si>
    <t>Concentrador de grasas</t>
  </si>
  <si>
    <t>Concreto en bolsa</t>
  </si>
  <si>
    <t>Concreto premezclado</t>
  </si>
  <si>
    <t>Concreto premezclado en planta</t>
  </si>
  <si>
    <t>Condensador</t>
  </si>
  <si>
    <t>Conductor aéreo</t>
  </si>
  <si>
    <t>Conductor autoportante de aluminio</t>
  </si>
  <si>
    <t>Conductor de aleación de aluminio</t>
  </si>
  <si>
    <t>Conductor de aluminio</t>
  </si>
  <si>
    <t>Conductor de cobre desnudo</t>
  </si>
  <si>
    <t>Conductor desnudo de aluminio</t>
  </si>
  <si>
    <t>Conductor N2XSY</t>
  </si>
  <si>
    <t>Conector de cobre</t>
  </si>
  <si>
    <t>Conector eléctrico</t>
  </si>
  <si>
    <t>Conector para cordón de ignición</t>
  </si>
  <si>
    <t>Conector PVC SAP eléctrica</t>
  </si>
  <si>
    <t>Conector PVC SEL eléctrica</t>
  </si>
  <si>
    <t>Conector RJ</t>
  </si>
  <si>
    <t>Conexión PVC</t>
  </si>
  <si>
    <t>Confitillo</t>
  </si>
  <si>
    <t>Confitillo de arcilla</t>
  </si>
  <si>
    <t>Confitillo o cascajo de ladrillo</t>
  </si>
  <si>
    <t>Conmutador</t>
  </si>
  <si>
    <t>Cono de seguridad</t>
  </si>
  <si>
    <t>Contactor</t>
  </si>
  <si>
    <t>Contenedor de fibra de vidrio</t>
  </si>
  <si>
    <t>Contracarril</t>
  </si>
  <si>
    <t>Contrapaso de madera</t>
  </si>
  <si>
    <t>Contrazócalo de aluminio</t>
  </si>
  <si>
    <t>Contrazócalo de cerámico</t>
  </si>
  <si>
    <t>Contrazócalo de madera</t>
  </si>
  <si>
    <t>Contrazócalo de PVC</t>
  </si>
  <si>
    <t>Contrazócalo de vinilico</t>
  </si>
  <si>
    <t>Contrazócalo HDF</t>
  </si>
  <si>
    <t>Contrazócalo loseta</t>
  </si>
  <si>
    <t>Contrazócalo terrazo</t>
  </si>
  <si>
    <t>Contrazócalo veneciano</t>
  </si>
  <si>
    <t>Controlador de carga</t>
  </si>
  <si>
    <t>Controlador inteligente</t>
  </si>
  <si>
    <t>Corcho</t>
  </si>
  <si>
    <t>Cordel</t>
  </si>
  <si>
    <t>Cordón de ignición</t>
  </si>
  <si>
    <t>Cordón de respaldo</t>
  </si>
  <si>
    <t>Cordón detonante</t>
  </si>
  <si>
    <t>Comamusa</t>
  </si>
  <si>
    <t>Correa de acero al carbono</t>
  </si>
  <si>
    <t>Cortadora de concreto</t>
  </si>
  <si>
    <t>Cortadora de fierro de construcción</t>
  </si>
  <si>
    <t>Cortadora de mayólica</t>
  </si>
  <si>
    <t>Cortadora de pavimento</t>
  </si>
  <si>
    <t>Cortina de tela</t>
  </si>
  <si>
    <t>Cortina tipo persiana</t>
  </si>
  <si>
    <t>Crawler Drill</t>
  </si>
  <si>
    <t>Criba</t>
  </si>
  <si>
    <t>Cristal templado</t>
  </si>
  <si>
    <t>Cronómetro</t>
  </si>
  <si>
    <t>Cruceta asimétrica de concreto</t>
  </si>
  <si>
    <t>Cruceta de concreto</t>
  </si>
  <si>
    <t>Cruceta de madera</t>
  </si>
  <si>
    <t>Cruceta para cerámicos</t>
  </si>
  <si>
    <t>Cruceta simétrica de concreto</t>
  </si>
  <si>
    <t>Cruz de amiostre de andamio</t>
  </si>
  <si>
    <t>Cruz de fierro fundido</t>
  </si>
  <si>
    <t>Cruz de fierro galvanizado.</t>
  </si>
  <si>
    <t>Cruz de PVC</t>
  </si>
  <si>
    <t>Cuarzo</t>
  </si>
  <si>
    <t>Cuchara bivalva</t>
  </si>
  <si>
    <t>Cuchilla</t>
  </si>
  <si>
    <t>Cumbrera de fibrocemento</t>
  </si>
  <si>
    <t>Cuña de madera</t>
  </si>
  <si>
    <t>Curva de PVC eléctrica</t>
  </si>
  <si>
    <t>Curva HDPE</t>
  </si>
  <si>
    <t>Curva PVC SAP elèctrica</t>
  </si>
  <si>
    <t>Curva PVC SEL eléctrica</t>
  </si>
  <si>
    <t>Curva PVC-U para redes de agua</t>
  </si>
  <si>
    <t>Dado de ajuste</t>
  </si>
  <si>
    <t>Datalogger con sensor de presión</t>
  </si>
  <si>
    <t>Deck de PVC</t>
  </si>
  <si>
    <t>Deck HDF</t>
  </si>
  <si>
    <t>Decorpanel</t>
  </si>
  <si>
    <t>Defensas de caucho</t>
  </si>
  <si>
    <t>Derecho de autorizaciones</t>
  </si>
  <si>
    <t>Derecho de cantera</t>
  </si>
  <si>
    <t>Desagüe push up</t>
  </si>
  <si>
    <t>Desagüe tapón y cadena</t>
  </si>
  <si>
    <t>Deshumidificador eléctrico</t>
  </si>
  <si>
    <t>Desmoldador para encofrado</t>
  </si>
  <si>
    <t>Desnatador</t>
  </si>
  <si>
    <t>Destomillador</t>
  </si>
  <si>
    <t>Desvió de PVC para desagüe</t>
  </si>
  <si>
    <t>Detector de humo</t>
  </si>
  <si>
    <t>Detector térmico</t>
  </si>
  <si>
    <t>Detonador eléctrico</t>
  </si>
  <si>
    <t>Detonador no eléctrico</t>
  </si>
  <si>
    <t>Detonantem</t>
  </si>
  <si>
    <t>Diesel</t>
  </si>
  <si>
    <t>Difusor de aire</t>
  </si>
  <si>
    <t>Digestor</t>
  </si>
  <si>
    <t>Dimmer</t>
  </si>
  <si>
    <t>Dinamita</t>
  </si>
  <si>
    <t>Dinamita gelatina</t>
  </si>
  <si>
    <t>Dinamita pulverulenta</t>
  </si>
  <si>
    <t>Dinamita semigelatina</t>
  </si>
  <si>
    <t>Dinamo</t>
  </si>
  <si>
    <t>Dintel prefabricado de concreto</t>
  </si>
  <si>
    <t>Disco de corte</t>
  </si>
  <si>
    <t>Disco de desbaste</t>
  </si>
  <si>
    <t>Disco duro</t>
  </si>
  <si>
    <t>Disipador sismico</t>
  </si>
  <si>
    <t>Disolvente de pintura</t>
  </si>
  <si>
    <t>Disolvente epóxico</t>
  </si>
  <si>
    <t>Dispensador de jabón</t>
  </si>
  <si>
    <t>Dispensador de papel</t>
  </si>
  <si>
    <t>Dobladora de fierro</t>
  </si>
  <si>
    <t>Dobladora de tubos</t>
  </si>
  <si>
    <t>Dólar</t>
  </si>
  <si>
    <t>Dosificadora de concreto</t>
  </si>
  <si>
    <t>Dosis quimica ecogel</t>
  </si>
  <si>
    <t>Dowel de acero corrugado</t>
  </si>
  <si>
    <t>Dremel</t>
  </si>
  <si>
    <t>Ducha</t>
  </si>
  <si>
    <t>Ducha para bidet</t>
  </si>
  <si>
    <t>Ducto de concreto</t>
  </si>
  <si>
    <t>Ducto de plancha de acero galvanizado</t>
  </si>
  <si>
    <t>Ducto de plancha de fierro galvanizado</t>
  </si>
  <si>
    <t>Ducto telefónico de PVC</t>
  </si>
  <si>
    <t>Durmiente de concreto</t>
  </si>
  <si>
    <t>Durmiente de madera</t>
  </si>
  <si>
    <t>Eclisa</t>
  </si>
  <si>
    <t>Eco enfriador</t>
  </si>
  <si>
    <t>Electrobomba</t>
  </si>
  <si>
    <t>Electrodo</t>
  </si>
  <si>
    <t>Electrodo de acero recubierto de cobre</t>
  </si>
  <si>
    <t>Electrodo de cobre</t>
  </si>
  <si>
    <t>Elemento de arcilla para celosia</t>
  </si>
  <si>
    <t>Elemento de concreto para celosia</t>
  </si>
  <si>
    <t>Elementos fibro-cemento para celosias</t>
  </si>
  <si>
    <t>Elevador de dos baldes</t>
  </si>
  <si>
    <t>Elevador eléctrico</t>
  </si>
  <si>
    <t>Empaquetadura</t>
  </si>
  <si>
    <t>Empaquetadura de jebe</t>
  </si>
  <si>
    <t>Emulsión bitumen</t>
  </si>
  <si>
    <t>Emulsión explosiva</t>
  </si>
  <si>
    <t>Enchape cerámico</t>
  </si>
  <si>
    <t>Enchufe</t>
  </si>
  <si>
    <t>Encofrado metálico</t>
  </si>
  <si>
    <t>Encofrado prefabricado</t>
  </si>
  <si>
    <t>Encuentro fibro-cemento</t>
  </si>
  <si>
    <t>Endurecedor de pisos</t>
  </si>
  <si>
    <t>Energia eléctrica</t>
  </si>
  <si>
    <t>Ensayo de laboratorio</t>
  </si>
  <si>
    <t>Epóxico</t>
  </si>
  <si>
    <t>Equipo de cloración</t>
  </si>
  <si>
    <t>Equipo de granallado</t>
  </si>
  <si>
    <t>Equipo de oxicorte</t>
  </si>
  <si>
    <t>Equipo de presurización</t>
  </si>
  <si>
    <t>Equipo de protección colectiva</t>
  </si>
  <si>
    <t>Equipo de protección personal</t>
  </si>
  <si>
    <t>Equipo de termofusión</t>
  </si>
  <si>
    <t>Equipo UV para desinfección</t>
  </si>
  <si>
    <t>Escalera</t>
  </si>
  <si>
    <t>Escalera mecánica eléctrica</t>
  </si>
  <si>
    <t>Escalera modular</t>
  </si>
  <si>
    <t>Escalera telescópica</t>
  </si>
  <si>
    <t>Escantillón</t>
  </si>
  <si>
    <t>Esclusa</t>
  </si>
  <si>
    <t>Esclusa metálica</t>
  </si>
  <si>
    <t>Escoba</t>
  </si>
  <si>
    <t>Escofina</t>
  </si>
  <si>
    <t>Esmalte</t>
  </si>
  <si>
    <t>Esmeril</t>
  </si>
  <si>
    <t>Esparcidora de agregados</t>
  </si>
  <si>
    <t>Esparcidora de asfalto</t>
  </si>
  <si>
    <t>Esparcidora de asfalto en frio</t>
  </si>
  <si>
    <t>Esparcidora de concreto</t>
  </si>
  <si>
    <t>Espátula</t>
  </si>
  <si>
    <t>Espejo</t>
  </si>
  <si>
    <t>Espiga de acero</t>
  </si>
  <si>
    <t>Espira sensor</t>
  </si>
  <si>
    <t>Esponja</t>
  </si>
  <si>
    <t>Espuma expansiva</t>
  </si>
  <si>
    <t>Esquinero</t>
  </si>
  <si>
    <t>Esquinero de acero galvanizado</t>
  </si>
  <si>
    <t>Estabilizadora de suelos</t>
  </si>
  <si>
    <t>Estaca de madera</t>
  </si>
  <si>
    <t>Estación de toma de datos (ETD)</t>
  </si>
  <si>
    <t>Estación meteorológica</t>
  </si>
  <si>
    <t>Estación total</t>
  </si>
  <si>
    <t>Estera</t>
  </si>
  <si>
    <t>Estopa</t>
  </si>
  <si>
    <t>Estrobo</t>
  </si>
  <si>
    <t>Estufa</t>
  </si>
  <si>
    <t>Estufa a gas</t>
  </si>
  <si>
    <t>Eucalipto</t>
  </si>
  <si>
    <t>Examen medico</t>
  </si>
  <si>
    <t>Excavadora sobre llantas</t>
  </si>
  <si>
    <t>Excavadora sobre orugas</t>
  </si>
  <si>
    <t>Expanded metal</t>
  </si>
  <si>
    <t>Extensómetro</t>
  </si>
  <si>
    <t>Extintor</t>
  </si>
  <si>
    <t>Extractor de aire</t>
  </si>
  <si>
    <t>Fachaleta</t>
  </si>
  <si>
    <t>Faja lumbar</t>
  </si>
  <si>
    <t>Faja transportadora</t>
  </si>
  <si>
    <t>Fanal</t>
  </si>
  <si>
    <t>Farol</t>
  </si>
  <si>
    <t>Farola</t>
  </si>
  <si>
    <t>Fertilizante</t>
  </si>
  <si>
    <t>Fibra cemento</t>
  </si>
  <si>
    <t>Fibra de acero</t>
  </si>
  <si>
    <t>Fibra de vidrio</t>
  </si>
  <si>
    <t>Fibra óptica</t>
  </si>
  <si>
    <t>Fieltro</t>
  </si>
  <si>
    <t>Fierro corrugado</t>
  </si>
  <si>
    <t>Fierro liso</t>
  </si>
  <si>
    <t>Filler mineral</t>
  </si>
  <si>
    <t>Filtro de grava</t>
  </si>
  <si>
    <t>Flete acuático</t>
  </si>
  <si>
    <t>Flete aéreo</t>
  </si>
  <si>
    <t>Flete fluvial</t>
  </si>
  <si>
    <t>Flete terrestre</t>
  </si>
  <si>
    <t>Flexómetro</t>
  </si>
  <si>
    <t>Fluxómetro mecánico para inodoro</t>
  </si>
  <si>
    <t>Fluxómetro mecánico para urinario</t>
  </si>
  <si>
    <t>Formador de empaquetadura</t>
  </si>
  <si>
    <t>Formica</t>
  </si>
  <si>
    <t>Formón</t>
  </si>
  <si>
    <t>Fragua para rellenar juntas</t>
  </si>
  <si>
    <t>Fresadora</t>
  </si>
  <si>
    <t>Fresadora eléctrica</t>
  </si>
  <si>
    <t>Frotacho</t>
  </si>
  <si>
    <t>Fulminante</t>
  </si>
  <si>
    <t>Fulminante común</t>
  </si>
  <si>
    <t>Fusible eléctrico</t>
  </si>
  <si>
    <t>Gabinete metálico</t>
  </si>
  <si>
    <t>Gancho</t>
  </si>
  <si>
    <t>Ganguil</t>
  </si>
  <si>
    <t>Garlopa</t>
  </si>
  <si>
    <t>Garrucha</t>
  </si>
  <si>
    <t>Gas</t>
  </si>
  <si>
    <t>Gas licuado de petróleo (GLP)</t>
  </si>
  <si>
    <t>Gas natural</t>
  </si>
  <si>
    <t>Gas natural vehicular</t>
  </si>
  <si>
    <t>Gasohol</t>
  </si>
  <si>
    <t>Gasolina</t>
  </si>
  <si>
    <t>Gastos generales</t>
  </si>
  <si>
    <t>Gel Conductivo</t>
  </si>
  <si>
    <t>Gelatina</t>
  </si>
  <si>
    <t>Generador</t>
  </si>
  <si>
    <t>Generador eléctrico portátil</t>
  </si>
  <si>
    <t>Geobolsa</t>
  </si>
  <si>
    <t>Geocompuesto</t>
  </si>
  <si>
    <t>Geomalla</t>
  </si>
  <si>
    <t>Geomembrana</t>
  </si>
  <si>
    <t>Geotextil</t>
  </si>
  <si>
    <t>Gotero HDPE</t>
  </si>
  <si>
    <t>GPS diferencial</t>
  </si>
  <si>
    <t>Grabador de red NVR</t>
  </si>
  <si>
    <t>Grafito</t>
  </si>
  <si>
    <t>Granalla de acero</t>
  </si>
  <si>
    <t>Granito</t>
  </si>
  <si>
    <t>Grapa</t>
  </si>
  <si>
    <t>Grasa</t>
  </si>
  <si>
    <t>Grasa base calcio</t>
  </si>
  <si>
    <t>Grasa base litio</t>
  </si>
  <si>
    <t>Grasa lubricante</t>
  </si>
  <si>
    <t>Grass</t>
  </si>
  <si>
    <t>Grava</t>
  </si>
  <si>
    <t>Gravilla</t>
  </si>
  <si>
    <t>Gres cerámico</t>
  </si>
  <si>
    <t>Griferia</t>
  </si>
  <si>
    <t>Griferia importada aparatos sanitarios</t>
  </si>
  <si>
    <t>Griferia nacional aparatos sanitarios</t>
  </si>
  <si>
    <t>Grifo contra incendio</t>
  </si>
  <si>
    <t>Grifo jardin</t>
  </si>
  <si>
    <t>Grifo jardin de bronce</t>
  </si>
  <si>
    <t>Grifo jardin de latón</t>
  </si>
  <si>
    <t>Grillete de sujeción</t>
  </si>
  <si>
    <t>Grouting</t>
  </si>
  <si>
    <t>Grúa</t>
  </si>
  <si>
    <t>Grupo electrógeno</t>
  </si>
  <si>
    <t>Grupo electrógeno de obra</t>
  </si>
  <si>
    <t>Guantes</t>
  </si>
  <si>
    <t>Guarda cabo</t>
  </si>
  <si>
    <t>Guarda riel</t>
  </si>
  <si>
    <t>Guarda via</t>
  </si>
  <si>
    <t>Guardacabo</t>
  </si>
  <si>
    <t>Guardarrail</t>
  </si>
  <si>
    <t>Guardavia metálico</t>
  </si>
  <si>
    <t>Guillotina para planchas de acero</t>
  </si>
  <si>
    <t>Gutapercha</t>
  </si>
  <si>
    <t>Hacha</t>
  </si>
  <si>
    <t>Herramienta de construcción</t>
  </si>
  <si>
    <t>Herramienta manual</t>
  </si>
  <si>
    <t>Hidrante contraincendios</t>
  </si>
  <si>
    <t>Hidrogel</t>
  </si>
  <si>
    <t>Hidrolavadora</t>
  </si>
  <si>
    <t>Hincador de postes</t>
  </si>
  <si>
    <t>Hipoclorito de calcio</t>
  </si>
  <si>
    <t>Hojalata</t>
  </si>
  <si>
    <t>Hormigón</t>
  </si>
  <si>
    <t>Hormigón de rio</t>
  </si>
  <si>
    <t>Homo de secado</t>
  </si>
  <si>
    <t>Humidificador eléctrico</t>
  </si>
  <si>
    <t>Humus</t>
  </si>
  <si>
    <t>Impermeabilizante</t>
  </si>
  <si>
    <t>Impresiones y copias</t>
  </si>
  <si>
    <t>Imprimante (pintura)</t>
  </si>
  <si>
    <t>Imprimante acrilico</t>
  </si>
  <si>
    <t>Imprimante asfaltico</t>
  </si>
  <si>
    <t>Indice de Precios al Consumidor (INEI)</t>
  </si>
  <si>
    <t>Inodoro</t>
  </si>
  <si>
    <t>Inodoro dos piezas</t>
  </si>
  <si>
    <t>Inodoro one piece</t>
  </si>
  <si>
    <t>Inodoro tanque alto</t>
  </si>
  <si>
    <t>Inodoro tanque bajo</t>
  </si>
  <si>
    <t>Inserto decorado cerámico</t>
  </si>
  <si>
    <t>Instrumento topográfico</t>
  </si>
  <si>
    <t>Intercomunicador</t>
  </si>
  <si>
    <t>Internet</t>
  </si>
  <si>
    <t>Interruptor</t>
  </si>
  <si>
    <t>Interruptor automático</t>
  </si>
  <si>
    <t>Interruptor conmutador</t>
  </si>
  <si>
    <t>Interruptor de 3 vias</t>
  </si>
  <si>
    <t>Interruptor de bakelita</t>
  </si>
  <si>
    <t>Interruptor de cuchilla</t>
  </si>
  <si>
    <t>Interruptor diferencial</t>
  </si>
  <si>
    <t>Interruptor eléctrico</t>
  </si>
  <si>
    <t>Interruptor no fuse eléctrico</t>
  </si>
  <si>
    <t>Interruptor térmico</t>
  </si>
  <si>
    <t>Interruptor termomagnético</t>
  </si>
  <si>
    <t>Interruptor unipolar</t>
  </si>
  <si>
    <t>Inversor</t>
  </si>
  <si>
    <t>Jabón</t>
  </si>
  <si>
    <t>Jabonera</t>
  </si>
  <si>
    <t>Jalón topografico</t>
  </si>
  <si>
    <t>Jamba de madera</t>
  </si>
  <si>
    <t>Juegos de fibra de vidrio</t>
  </si>
  <si>
    <t>Jumbo hidráulico de perforación</t>
  </si>
  <si>
    <t>Junta de PVC</t>
  </si>
  <si>
    <t>Junta water stop cobre</t>
  </si>
  <si>
    <t>Junta water stop fierro galvanizado</t>
  </si>
  <si>
    <t>Junta water stop neopreno</t>
  </si>
  <si>
    <t>Junta water stop PVC</t>
  </si>
  <si>
    <t>Laca</t>
  </si>
  <si>
    <t>Laca desmoldeante</t>
  </si>
  <si>
    <t>Laca selladora</t>
  </si>
  <si>
    <t>Ladrillo bovedilla</t>
  </si>
  <si>
    <t>Ladrillo caravista</t>
  </si>
  <si>
    <t>Ladrillo de arcilla</t>
  </si>
  <si>
    <t>Ladrillo de arcilla tipo tabique</t>
  </si>
  <si>
    <t>Ladrillo de concreto</t>
  </si>
  <si>
    <t>Ladrillo de poliestireno expandido</t>
  </si>
  <si>
    <t>Ladrillo hueco</t>
  </si>
  <si>
    <t>Ladrillo king kong</t>
  </si>
  <si>
    <t>Ladrillo pandereta</t>
  </si>
  <si>
    <t>Ladrillo pastelero</t>
  </si>
  <si>
    <t>Ladrillo refractario</t>
  </si>
  <si>
    <t>Ladrillo silico calcáreo</t>
  </si>
  <si>
    <t>Ladrillo tubular</t>
  </si>
  <si>
    <t>Laja</t>
  </si>
  <si>
    <t>Lámina reflectante</t>
  </si>
  <si>
    <t>Lampa</t>
  </si>
  <si>
    <t>Lámpara</t>
  </si>
  <si>
    <t>Lämpara de halogenuro metálico</t>
  </si>
  <si>
    <t>Lámpara de vapor de mercurio</t>
  </si>
  <si>
    <t>Lámpara de vapor de sodio</t>
  </si>
  <si>
    <t>Lámpara halógena</t>
  </si>
  <si>
    <t>Lámpara tipo bulbo</t>
  </si>
  <si>
    <t>Lámpara tipo globo</t>
  </si>
  <si>
    <t>Lana de fibra de vidrio</t>
  </si>
  <si>
    <t>Lana de roca</t>
  </si>
  <si>
    <t>Lana mineral de roca</t>
  </si>
  <si>
    <t>Lancha</t>
  </si>
  <si>
    <t>Lanchón</t>
  </si>
  <si>
    <t>Lata</t>
  </si>
  <si>
    <t>Latón</t>
  </si>
  <si>
    <t>Lavadero</t>
  </si>
  <si>
    <t>Lavadero de acero inoxidable</t>
  </si>
  <si>
    <t>Lavadero de cocina</t>
  </si>
  <si>
    <t>Lavadero de fibra de vidrio</t>
  </si>
  <si>
    <t>Lavadero de fierro enlozado</t>
  </si>
  <si>
    <t>Lavadero de granito</t>
  </si>
  <si>
    <t>Lavadero de loza</t>
  </si>
  <si>
    <t>Lavadero prefabricado</t>
  </si>
  <si>
    <t>Lavador de arenas</t>
  </si>
  <si>
    <t>Lavatorio</t>
  </si>
  <si>
    <t>Lavatorio con mueble</t>
  </si>
  <si>
    <t>Lavatorio de fierro enlozado</t>
  </si>
  <si>
    <t>Lavatorio de loza</t>
  </si>
  <si>
    <t>Lavatorio fierro aporcelanado</t>
  </si>
  <si>
    <t>Lejia</t>
  </si>
  <si>
    <t>Lentes de seguridad</t>
  </si>
  <si>
    <t>Leña</t>
  </si>
  <si>
    <t>Leyes sociales de mano de obra</t>
  </si>
  <si>
    <t>Licencia de Software</t>
  </si>
  <si>
    <t>Lija</t>
  </si>
  <si>
    <t>Lijadora eléctrica</t>
  </si>
  <si>
    <t>Lima</t>
  </si>
  <si>
    <t>Linea de vida</t>
  </si>
  <si>
    <t>Lintema</t>
  </si>
  <si>
    <t>Liquido curador.</t>
  </si>
  <si>
    <t>Listelo de aluminio</t>
  </si>
  <si>
    <t>Listón de madera</t>
  </si>
  <si>
    <t>Llana</t>
  </si>
  <si>
    <t>Llanta</t>
  </si>
  <si>
    <t>Llave de ajuste</t>
  </si>
  <si>
    <t>Llave de impacto eléctrico</t>
  </si>
  <si>
    <t>Llave para ducha</t>
  </si>
  <si>
    <t>Llave para lavatorio</t>
  </si>
  <si>
    <t>Llave para urinario</t>
  </si>
  <si>
    <t>Llave sensor para lavatorio</t>
  </si>
  <si>
    <t>Llave temporizada para ducha</t>
  </si>
  <si>
    <t>Llave temporizada para lavatorio</t>
  </si>
  <si>
    <t>Llave temporizada para urinario</t>
  </si>
  <si>
    <t>Locomotora</t>
  </si>
  <si>
    <t>Lona</t>
  </si>
  <si>
    <t>Loseta</t>
  </si>
  <si>
    <t>Loseta asfáltica</t>
  </si>
  <si>
    <t>Loseta de cemento</t>
  </si>
  <si>
    <t>Loseta de concreto</t>
  </si>
  <si>
    <t>Loseta de mármol</t>
  </si>
  <si>
    <t>Loseta podotáctil</t>
  </si>
  <si>
    <t>Loseta veneciana</t>
  </si>
  <si>
    <t>Loseta vinilica</t>
  </si>
  <si>
    <t>Losetón</t>
  </si>
  <si>
    <t>Losetones</t>
  </si>
  <si>
    <t>Lubricante</t>
  </si>
  <si>
    <t>Lubricante para tubería</t>
  </si>
  <si>
    <t>Luminancimetro</t>
  </si>
  <si>
    <t>Luminaria</t>
  </si>
  <si>
    <t>Luminaria de alumbrado publico</t>
  </si>
  <si>
    <t>Luminaria de emergencia</t>
  </si>
  <si>
    <t>Luminaria de panel</t>
  </si>
  <si>
    <t>Luminaria downlight.</t>
  </si>
  <si>
    <t>Luminaria hermética</t>
  </si>
  <si>
    <t>Luminaria high bay</t>
  </si>
  <si>
    <t>Luminaria para Lampara de vapor de mercurio</t>
  </si>
  <si>
    <t>Luminaria para Lámpara de vapor de sodio</t>
  </si>
  <si>
    <t>Luminaria spotlight</t>
  </si>
  <si>
    <t>Luminaria tipo LED para alumbrado publico</t>
  </si>
  <si>
    <t>Luminaria tipo rejilla</t>
  </si>
  <si>
    <t>Luz de balizaje</t>
  </si>
  <si>
    <t>Luz de emergencia</t>
  </si>
  <si>
    <t>Maceta</t>
  </si>
  <si>
    <t>Maceta de arcilla</t>
  </si>
  <si>
    <t>Machihembrado de madera</t>
  </si>
  <si>
    <t>Macromedidor de agua</t>
  </si>
  <si>
    <t>Macromedidor electromecánico</t>
  </si>
  <si>
    <t>Madera achihua</t>
  </si>
  <si>
    <t>Madera aguanillo</t>
  </si>
  <si>
    <t>Madera aguano masha</t>
  </si>
  <si>
    <t>Madera ana caspi</t>
  </si>
  <si>
    <t>Madera azúcar huayo</t>
  </si>
  <si>
    <t>Madera bolaina blanca</t>
  </si>
  <si>
    <t>Madera cachimbo colorado</t>
  </si>
  <si>
    <t>Madera caoba</t>
  </si>
  <si>
    <t>Madera capinuri</t>
  </si>
  <si>
    <t>Madera capirona</t>
  </si>
  <si>
    <t>Madera caraña</t>
  </si>
  <si>
    <t>Madera casho moena (canela moena)</t>
  </si>
  <si>
    <t>Madera catahua amarilla</t>
  </si>
  <si>
    <t>Madera copaiba</t>
  </si>
  <si>
    <t>Madera cumala</t>
  </si>
  <si>
    <t>Madera diablo fuerte</t>
  </si>
  <si>
    <t>Madera en tiras para piso</t>
  </si>
  <si>
    <t>Madera estoraque</t>
  </si>
  <si>
    <t>Madera eucalipto</t>
  </si>
  <si>
    <t>Madera higuerilla</t>
  </si>
  <si>
    <t>Madera huacapu</t>
  </si>
  <si>
    <t>Madera huayruro</t>
  </si>
  <si>
    <t>Madera huimba</t>
  </si>
  <si>
    <t>Madera importada para encofrado y carpinteria</t>
  </si>
  <si>
    <t>Madera ishpingo</t>
  </si>
  <si>
    <t>Madera lagarto caspi</t>
  </si>
  <si>
    <t>Madera lupuna</t>
  </si>
  <si>
    <t>Madera machihembrada</t>
  </si>
  <si>
    <t>Madera machimango</t>
  </si>
  <si>
    <t>Madera manchinga</t>
  </si>
  <si>
    <t>Madera mashonaste</t>
  </si>
  <si>
    <t>Madera misa</t>
  </si>
  <si>
    <t>Madera moena amarilla</t>
  </si>
  <si>
    <t>Madera moena rosada</t>
  </si>
  <si>
    <t>Madera nacional de uso estructural</t>
  </si>
  <si>
    <t>Madera nacional de uso no estructural</t>
  </si>
  <si>
    <t>Madera nacional en tiras para piso</t>
  </si>
  <si>
    <t>Madera nacional para encofrado y carpinteria</t>
  </si>
  <si>
    <t>Madera nacional tratada</t>
  </si>
  <si>
    <t>Madera nogal</t>
  </si>
  <si>
    <t>Madera oje renaco</t>
  </si>
  <si>
    <t>Madera panguana</t>
  </si>
  <si>
    <t>Madera pashaco</t>
  </si>
  <si>
    <t>Madera paujilruro blanco</t>
  </si>
  <si>
    <t>Madera pino amarillo del sur</t>
  </si>
  <si>
    <t>Madera pino importada</t>
  </si>
  <si>
    <t>Madera pino insigne</t>
  </si>
  <si>
    <t>Madera pino nacional</t>
  </si>
  <si>
    <t>Madera pino oregon.</t>
  </si>
  <si>
    <t>Madera pino radiata</t>
  </si>
  <si>
    <t>Madera pino tadea</t>
  </si>
  <si>
    <t>Madera prensada nacional</t>
  </si>
  <si>
    <t>Madera pumaquiro</t>
  </si>
  <si>
    <t>Madera quillosisa o cedrillo</t>
  </si>
  <si>
    <t>Madera quillovara</t>
  </si>
  <si>
    <t>Madera quinilla colorada</t>
  </si>
  <si>
    <t>Madera roble</t>
  </si>
  <si>
    <t>Madera rollizo</t>
  </si>
  <si>
    <t>Madera sapote</t>
  </si>
  <si>
    <t>Madera shihuahuaco marrón</t>
  </si>
  <si>
    <t>Madera terciada nacional</t>
  </si>
  <si>
    <t>Madera terciada para encofrado</t>
  </si>
  <si>
    <t>Madera terciada para encofrado y carpinteria</t>
  </si>
  <si>
    <t>Madera tornillo</t>
  </si>
  <si>
    <t>Madera utucuro</t>
  </si>
  <si>
    <t>Madera yacushapana</t>
  </si>
  <si>
    <t>Malla de acero</t>
  </si>
  <si>
    <t>Malla de acero tejida olimpica</t>
  </si>
  <si>
    <t>Malla de plástico</t>
  </si>
  <si>
    <t>Malla de seguridad</t>
  </si>
  <si>
    <t>Malla electrosoldada</t>
  </si>
  <si>
    <t>Malla expanded metal</t>
  </si>
  <si>
    <t>Malla gavión de acero</t>
  </si>
  <si>
    <t>Malla plástica</t>
  </si>
  <si>
    <t>Malla raschel</t>
  </si>
  <si>
    <t>Malla soldada galvanizada</t>
  </si>
  <si>
    <t>Malla talud de acero</t>
  </si>
  <si>
    <t>Malla tejida olimpica galvanizada</t>
  </si>
  <si>
    <t>Malla triple torsión de acero</t>
  </si>
  <si>
    <t>Mandril</t>
  </si>
  <si>
    <t>Manga</t>
  </si>
  <si>
    <t>Manga de polietileno</t>
  </si>
  <si>
    <t>Manguera</t>
  </si>
  <si>
    <t>Manifold de acero</t>
  </si>
  <si>
    <t>Manija</t>
  </si>
  <si>
    <t>Manipulador telescópico (Telehandler)</t>
  </si>
  <si>
    <t>Manómetro</t>
  </si>
  <si>
    <t>Manta de aislamiento elastómero</t>
  </si>
  <si>
    <t>Manto plástico</t>
  </si>
  <si>
    <t>Mapresa nacional</t>
  </si>
  <si>
    <t>Marco de fierro</t>
  </si>
  <si>
    <t>Marco de mampara de aluminio</t>
  </si>
  <si>
    <t>Marco de ventana de aluminio</t>
  </si>
  <si>
    <t>Marco y tapa de concreto</t>
  </si>
  <si>
    <t>Marco y tapa de concreto reforzado</t>
  </si>
  <si>
    <t>Marco y tapa de fierro</t>
  </si>
  <si>
    <t>Marco y tapa de fierro fundido</t>
  </si>
  <si>
    <t>Marco y tapa termoplástica</t>
  </si>
  <si>
    <t>Mármol</t>
  </si>
  <si>
    <t>Mármol reconstituido</t>
  </si>
  <si>
    <t>Martillo</t>
  </si>
  <si>
    <t>Martillo a vapor</t>
  </si>
  <si>
    <t>Martillo eléctrico demoledor</t>
  </si>
  <si>
    <t>Martillo hincapilotes</t>
  </si>
  <si>
    <t>Martillo neumático</t>
  </si>
  <si>
    <t>Martinete</t>
  </si>
  <si>
    <t>Masa aislante</t>
  </si>
  <si>
    <t>Máscara protectora</t>
  </si>
  <si>
    <t>Mascarilla</t>
  </si>
  <si>
    <t>Masilla</t>
  </si>
  <si>
    <t>Masilla para drywall</t>
  </si>
  <si>
    <t>Material filtrante</t>
  </si>
  <si>
    <t>Material para base</t>
  </si>
  <si>
    <t>Material para subbase</t>
  </si>
  <si>
    <t>Mayólica</t>
  </si>
  <si>
    <t>Mayólica importada</t>
  </si>
  <si>
    <t>Mayólica nacional</t>
  </si>
  <si>
    <t>Mecha</t>
  </si>
  <si>
    <t>Mecha de seguridad</t>
  </si>
  <si>
    <t>Medidor</t>
  </si>
  <si>
    <t>Medidor de agua</t>
  </si>
  <si>
    <t>Medidor de caudal de acero</t>
  </si>
  <si>
    <t>Medidor de caudal de hierro dúctil</t>
  </si>
  <si>
    <t>Medidor de caudal de hierro fundido</t>
  </si>
  <si>
    <t>Medidor de caudal electromagnético</t>
  </si>
  <si>
    <t>Medidor de energia</t>
  </si>
  <si>
    <t>Medidor de Oxigeno</t>
  </si>
  <si>
    <t>Medidor electrónico de tensión</t>
  </si>
  <si>
    <t>Medidor para conexión domiciliaria</t>
  </si>
  <si>
    <t>Megómetro</t>
  </si>
  <si>
    <t>Membrana impermeable de asfalto</t>
  </si>
  <si>
    <t>Ménsula de concreto</t>
  </si>
  <si>
    <t>Mezclador de tanque digestor</t>
  </si>
  <si>
    <t>Mezcladora de concreto</t>
  </si>
  <si>
    <t>Mezcladora monocomando para ducha</t>
  </si>
  <si>
    <t>Mezcladora monocomando para lavatorio</t>
  </si>
  <si>
    <t>Mezcladora para ducha</t>
  </si>
  <si>
    <t>Mezcladora para lavatorio</t>
  </si>
  <si>
    <t>Microaspersor de PVC</t>
  </si>
  <si>
    <t>Microcemento</t>
  </si>
  <si>
    <t>Microesferas de vidrio</t>
  </si>
  <si>
    <t>Microfibra sintética</t>
  </si>
  <si>
    <t>Migajón</t>
  </si>
  <si>
    <t>Minicargador</t>
  </si>
  <si>
    <t>Minicargador multipropósito</t>
  </si>
  <si>
    <t>Mira topográfica</t>
  </si>
  <si>
    <t>Mochila micropulverizadora</t>
  </si>
  <si>
    <t>Módulo de acumulación de LiFePO4</t>
  </si>
  <si>
    <t>Módulo fotovoltaico</t>
  </si>
  <si>
    <t>Monitor de CO2</t>
  </si>
  <si>
    <t>Monitor de transito</t>
  </si>
  <si>
    <t>Monitoreo ambiental</t>
  </si>
  <si>
    <t>Monitoreo arqueológico</t>
  </si>
  <si>
    <t>Monitoreo biológico</t>
  </si>
  <si>
    <t>Monitoreo de calidad</t>
  </si>
  <si>
    <t>Monitoreo de calidad de agua</t>
  </si>
  <si>
    <t>Monitoreo de calidad de aire</t>
  </si>
  <si>
    <t>Monitoreo de calidad de ruido</t>
  </si>
  <si>
    <t>Monitoreo de calidad de suelo</t>
  </si>
  <si>
    <t>Monorrail</t>
  </si>
  <si>
    <t>Monta vehiculos</t>
  </si>
  <si>
    <t>Montacargas</t>
  </si>
  <si>
    <t>Mortero en bolsa</t>
  </si>
  <si>
    <t>Mortero epóxico</t>
  </si>
  <si>
    <t>Mortero reforzado con fibras</t>
  </si>
  <si>
    <t>Mosaico</t>
  </si>
  <si>
    <t>Motobornba</t>
  </si>
  <si>
    <t>Motoniveladora</t>
  </si>
  <si>
    <t>Motoperforador</t>
  </si>
  <si>
    <t>Motor eléctrico</t>
  </si>
  <si>
    <t>Motosierra</t>
  </si>
  <si>
    <t>Motosoldadora</t>
  </si>
  <si>
    <t>Mototrailla</t>
  </si>
  <si>
    <t>Mototrailla autocargable</t>
  </si>
  <si>
    <t>Mototrailla cargable</t>
  </si>
  <si>
    <t>Multiplicador sensible al detonador</t>
  </si>
  <si>
    <t>Muraleta cerámica</t>
  </si>
  <si>
    <t>Neopreno</t>
  </si>
  <si>
    <t>Network Video Recorder (NVR)</t>
  </si>
  <si>
    <t>Niple cromado</t>
  </si>
  <si>
    <t>Niple de acero</t>
  </si>
  <si>
    <t>Niple de bronce</t>
  </si>
  <si>
    <t>Niple de cobre</t>
  </si>
  <si>
    <t>Niple de CPVC</t>
  </si>
  <si>
    <t>Niple de fierro galvanizado</t>
  </si>
  <si>
    <t>Niple de fierro negro</t>
  </si>
  <si>
    <t>Niple de PVC</t>
  </si>
  <si>
    <t>Niple de PVC-U CR para agua fria</t>
  </si>
  <si>
    <t>Nitrato de amonio</t>
  </si>
  <si>
    <t>Nivel de ingeniero</t>
  </si>
  <si>
    <t>Nivel electrónico de precisión (tipo Alphameter)</t>
  </si>
  <si>
    <t>Nivel óptico</t>
  </si>
  <si>
    <t>Nivel topográfico</t>
  </si>
  <si>
    <t>Ocre</t>
  </si>
  <si>
    <t>Oficial</t>
  </si>
  <si>
    <t>Omega de acero galvanizado</t>
  </si>
  <si>
    <t>Operador de equipo mediano</t>
  </si>
  <si>
    <t>Operador de equipo pesado</t>
  </si>
  <si>
    <t>Operador electromecánico</t>
  </si>
  <si>
    <t>Operario</t>
  </si>
  <si>
    <t>Operario de alta especialización</t>
  </si>
  <si>
    <t>Operario soldador homologado</t>
  </si>
  <si>
    <t>Operario topógrafo</t>
  </si>
  <si>
    <t>Ovalin</t>
  </si>
  <si>
    <t>Over</t>
  </si>
  <si>
    <t>Overol</t>
  </si>
  <si>
    <t>Oxigeno</t>
  </si>
  <si>
    <t>Pabilo</t>
  </si>
  <si>
    <t>Pago por disposición final de residuos sólidos</t>
  </si>
  <si>
    <t>Paja</t>
  </si>
  <si>
    <t>Pala</t>
  </si>
  <si>
    <t>Pala hidráulica</t>
  </si>
  <si>
    <t>Pala mecánica</t>
  </si>
  <si>
    <t>Palomilla simple</t>
  </si>
  <si>
    <t>Panel cortafuego</t>
  </si>
  <si>
    <t>Panel de concreto prefabricado</t>
  </si>
  <si>
    <t>Panel de entibado metálico</t>
  </si>
  <si>
    <t>Panel de lana de fibra de vidrio</t>
  </si>
  <si>
    <t>Panel de lana mineral de roca</t>
  </si>
  <si>
    <t>Panel de poliestireno</t>
  </si>
  <si>
    <t>Panel de poliuretano</t>
  </si>
  <si>
    <t>Panel de velocidad</t>
  </si>
  <si>
    <t>Panel solar</t>
  </si>
  <si>
    <t>Panel termoaislante</t>
  </si>
  <si>
    <t>Pantalla de iluminación</t>
  </si>
  <si>
    <t>Pantalón y saco impermeable</t>
  </si>
  <si>
    <t>Papel</t>
  </si>
  <si>
    <t>Papelera</t>
  </si>
  <si>
    <t>Papelera cromada</t>
  </si>
  <si>
    <t>Papelera de loza</t>
  </si>
  <si>
    <t>Parante de acero galvanizado</t>
  </si>
  <si>
    <t>Pararrayos</t>
  </si>
  <si>
    <t>Parasol de aluminio</t>
  </si>
  <si>
    <t>Parihuela</t>
  </si>
  <si>
    <t>Parquet</t>
  </si>
  <si>
    <t>Parquet bålsamo</t>
  </si>
  <si>
    <t>Parquet chonta quiro</t>
  </si>
  <si>
    <t>Parquet coricaspi</t>
  </si>
  <si>
    <t>Parquet de madera</t>
  </si>
  <si>
    <t>Parquet diablo fuerte</t>
  </si>
  <si>
    <t>Parquet guayacan</t>
  </si>
  <si>
    <t>Parquet hualtaco</t>
  </si>
  <si>
    <t>Parquet oreja de león</t>
  </si>
  <si>
    <t>Parquet quinilla</t>
  </si>
  <si>
    <t>Pasador tipo horquilla</t>
  </si>
  <si>
    <t>Pasamano de aluminio</t>
  </si>
  <si>
    <t>Pasamano de madera</t>
  </si>
  <si>
    <t>Pasarela móvil</t>
  </si>
  <si>
    <t>Paso de madera</t>
  </si>
  <si>
    <t>Pasta fina</t>
  </si>
  <si>
    <t>Pastoral de acero</t>
  </si>
  <si>
    <t>Pastoral de concreto</t>
  </si>
  <si>
    <t>Pastoral para poste de fierro</t>
  </si>
  <si>
    <t>Patch panel</t>
  </si>
  <si>
    <t>Pavimentación de asfalto sobre neumático</t>
  </si>
  <si>
    <t>Pavimentación de asfalto sobre oruga</t>
  </si>
  <si>
    <t>Pavimentadora de concreto.</t>
  </si>
  <si>
    <t>Pavimentadora sobre neumáticoS</t>
  </si>
  <si>
    <t>Pavimentadora sobre orugas</t>
  </si>
  <si>
    <t>Pegamento asfaltico</t>
  </si>
  <si>
    <t>Pegamento blanco flexible para cerámicos</t>
  </si>
  <si>
    <t>Pegamento epóxico</t>
  </si>
  <si>
    <t>Pegamento gris para cerámicos</t>
  </si>
  <si>
    <t>Pegamento para adherir block</t>
  </si>
  <si>
    <t>Pegamento para plástico PVC</t>
  </si>
  <si>
    <t>Pegamento para PVC</t>
  </si>
  <si>
    <t>Pegamento para tuberia de PVC eléctrica</t>
  </si>
  <si>
    <t>Peón</t>
  </si>
  <si>
    <t>Pepelma</t>
  </si>
  <si>
    <t>Percha</t>
  </si>
  <si>
    <t>Perfil de acero al carbono</t>
  </si>
  <si>
    <t>Perfil de acero galvanizado</t>
  </si>
  <si>
    <t>Perfil de acero inoxidable</t>
  </si>
  <si>
    <t>Perfil de acero pesado</t>
  </si>
  <si>
    <t>Perfil de acero liviano</t>
  </si>
  <si>
    <t>Perfil de aluminio</t>
  </si>
  <si>
    <t>Perfil omega de acero galvanizado</t>
  </si>
  <si>
    <t>Perfil ranurado de acero galvanizado</t>
  </si>
  <si>
    <t>Perfil T principal</t>
  </si>
  <si>
    <t>Perfil T secundario</t>
  </si>
  <si>
    <t>Perfil T terciario</t>
  </si>
  <si>
    <t>Perfil W de acero al carbono</t>
  </si>
  <si>
    <t>Perforadora sobre orugas</t>
  </si>
  <si>
    <t>Pemo de convergencia corrugado</t>
  </si>
  <si>
    <t>Perno hexagonal zincado</t>
  </si>
  <si>
    <t>Petróleo diésel</t>
  </si>
  <si>
    <t>Picaporte</t>
  </si>
  <si>
    <t>Pico</t>
  </si>
  <si>
    <t>Picota</t>
  </si>
  <si>
    <t>Piedra</t>
  </si>
  <si>
    <t>Piedra chancada</t>
  </si>
  <si>
    <t>Piedra grande</t>
  </si>
  <si>
    <t>Piedra grande de rio</t>
  </si>
  <si>
    <t>Piedra mediana</t>
  </si>
  <si>
    <t>Piedra mediana de cantera o de rio</t>
  </si>
  <si>
    <t>Piedra seleccionada de rio</t>
  </si>
  <si>
    <t>Pin de expansión</t>
  </si>
  <si>
    <t>Pintarrayas</t>
  </si>
  <si>
    <t>Pintura anticorrosiva</t>
  </si>
  <si>
    <t>Pintura base epóxica</t>
  </si>
  <si>
    <t>Pintura bituminosa</t>
  </si>
  <si>
    <t>Pintura de resina epóxica</t>
  </si>
  <si>
    <t>Pintura epóxica</t>
  </si>
  <si>
    <t>Pintura esmalte</t>
  </si>
  <si>
    <t>Pintura esmalte super gloss</t>
  </si>
  <si>
    <t>Pintura látex</t>
  </si>
  <si>
    <t>Pintura latex acrilico</t>
  </si>
  <si>
    <t>Pintura látex vinilico</t>
  </si>
  <si>
    <t>Pintura oleo</t>
  </si>
  <si>
    <t>Pintura oleo mate sintético</t>
  </si>
  <si>
    <t>Pintura para trafico</t>
  </si>
  <si>
    <t>Pintura poliuretano</t>
  </si>
  <si>
    <t>Pintura super gloss</t>
  </si>
  <si>
    <t>Pintura temple</t>
  </si>
  <si>
    <t>Pintura zincromato</t>
  </si>
  <si>
    <t>Pinza hidráulica</t>
  </si>
  <si>
    <t>Piso ceràmico</t>
  </si>
  <si>
    <t>Piso laminado HDF</t>
  </si>
  <si>
    <t>Piso PVC</t>
  </si>
  <si>
    <t>Piso técnico</t>
  </si>
  <si>
    <t>Piso vinilico</t>
  </si>
  <si>
    <t>Pisón manual</t>
  </si>
  <si>
    <t>Pisón mecánico</t>
  </si>
  <si>
    <t>Pistola de calor</t>
  </si>
  <si>
    <t>Pistola de clavos</t>
  </si>
  <si>
    <t>Pistola de silicona</t>
  </si>
  <si>
    <t>Placa ciega</t>
  </si>
  <si>
    <t>Placa colaborante de acero galvanizado</t>
  </si>
  <si>
    <t>Placa de acero corrugado</t>
  </si>
  <si>
    <t>Placa de aluminio</t>
  </si>
  <si>
    <t>Placa de bakelita SAL eléctrica</t>
  </si>
  <si>
    <t>Placa de fibrocemento</t>
  </si>
  <si>
    <t>Placa de PVC SAL eléctrica</t>
  </si>
  <si>
    <t>Placa de salida para ethernet</t>
  </si>
  <si>
    <t>Placa de salida para teléfono</t>
  </si>
  <si>
    <t>Placa de salida para TV</t>
  </si>
  <si>
    <t>Placa de tecnopolimero</t>
  </si>
  <si>
    <t>Placa de vinilona de poliéster</t>
  </si>
  <si>
    <t>Placa de yeso (drywall)</t>
  </si>
  <si>
    <t>Placa metálica corrugada</t>
  </si>
  <si>
    <t>Placa para interruptor</t>
  </si>
  <si>
    <t>Placa para salida de fuerza</t>
  </si>
  <si>
    <t>Placa para salida de terma</t>
  </si>
  <si>
    <t>Placa para tomacorriente</t>
  </si>
  <si>
    <t>Placa salida therma</t>
  </si>
  <si>
    <t>Placa salida TV-teléfono</t>
  </si>
  <si>
    <t>Placa silico calcáreo</t>
  </si>
  <si>
    <t>Plancha compactadora</t>
  </si>
  <si>
    <t>Plancha curva de aluzinc</t>
  </si>
  <si>
    <t>Plancha de acero inoxidable</t>
  </si>
  <si>
    <t>Plancha de acero LAC</t>
  </si>
  <si>
    <t>Plancha de acero LAC estriada</t>
  </si>
  <si>
    <t>Plancha de acero LAC lisa</t>
  </si>
  <si>
    <t>Plancha de acero LAF</t>
  </si>
  <si>
    <t>Plancha de acero mediana LAC</t>
  </si>
  <si>
    <t>Plancha de acrilico</t>
  </si>
  <si>
    <t>Plancha de aluminio</t>
  </si>
  <si>
    <t>Plancha de aluzinc</t>
  </si>
  <si>
    <t>Plancha de aluzinc para techos</t>
  </si>
  <si>
    <t>Plancha de cobre</t>
  </si>
  <si>
    <t>Plancha de fibra de vidrio</t>
  </si>
  <si>
    <t>Plancha de fibro-cemento</t>
  </si>
  <si>
    <t>Plancha de policarbonato</t>
  </si>
  <si>
    <t>Plancha de poliestireno</t>
  </si>
  <si>
    <t>Plancha de polipropileno</t>
  </si>
  <si>
    <t>Plancha de poliuretano</t>
  </si>
  <si>
    <t>Plancha de PVC</t>
  </si>
  <si>
    <t>Plancha de tecno???</t>
  </si>
  <si>
    <t>Plancha galvanizada</t>
  </si>
  <si>
    <t>Plancha magnética de grano orientado</t>
  </si>
  <si>
    <t>Plancha ondulada de fibrocemento</t>
  </si>
  <si>
    <t>Plancha termoacústica de PVC</t>
  </si>
  <si>
    <t>Plancha zincada lisa</t>
  </si>
  <si>
    <t>Plancha zincada ondulada (calamina)</t>
  </si>
  <si>
    <t>Planta de asfalto</t>
  </si>
  <si>
    <t>Planta de asfalto en caliente</t>
  </si>
  <si>
    <t>Planta de asfalto en frio</t>
  </si>
  <si>
    <t>Planta eléctrica</t>
  </si>
  <si>
    <t>Plataforma remolque</t>
  </si>
  <si>
    <t>Platina de acero al carbono</t>
  </si>
  <si>
    <t>Platina de acero galvanizado</t>
  </si>
  <si>
    <t>Platina de aluminio</t>
  </si>
  <si>
    <t>Platina de Cobre</t>
  </si>
  <si>
    <t>Platina de cobre electrolitico</t>
  </si>
  <si>
    <t>Plomada</t>
  </si>
  <si>
    <t>Plomo</t>
  </si>
  <si>
    <t>Pluma de izado</t>
  </si>
  <si>
    <t>Polea de acero</t>
  </si>
  <si>
    <t>Policarbonato</t>
  </si>
  <si>
    <t>Poliestireno</t>
  </si>
  <si>
    <t>Poliestireno expandido</t>
  </si>
  <si>
    <t>Poliuretano</t>
  </si>
  <si>
    <t>Poliuretano expandido</t>
  </si>
  <si>
    <t>Pólvora</t>
  </si>
  <si>
    <t>Porcelana</t>
  </si>
  <si>
    <t>Porcelanato</t>
  </si>
  <si>
    <t>Porcelánico</t>
  </si>
  <si>
    <t>Porta lámpara</t>
  </si>
  <si>
    <t>Porta Lámpara plafón</t>
  </si>
  <si>
    <t>Porta papel</t>
  </si>
  <si>
    <t>Portacepillos</t>
  </si>
  <si>
    <t>Portafusible</t>
  </si>
  <si>
    <t>Portero automático</t>
  </si>
  <si>
    <t>Poste de acero</t>
  </si>
  <si>
    <t>Poste de concreto centrifugado</t>
  </si>
  <si>
    <t>Poste de fibra de vidrio</t>
  </si>
  <si>
    <t>Poste de fierro</t>
  </si>
  <si>
    <t>Poste de madera importada</t>
  </si>
  <si>
    <t>Poste de madera nacional</t>
  </si>
  <si>
    <t>Poste PFV</t>
  </si>
  <si>
    <t>Poste PRFV</t>
  </si>
  <si>
    <t>Poza de acero inoxidable</t>
  </si>
  <si>
    <t>Prensa empalmadora</t>
  </si>
  <si>
    <t>Prensa hidráulica</t>
  </si>
  <si>
    <t>Preservante de madera</t>
  </si>
  <si>
    <t>Pretensado</t>
  </si>
  <si>
    <t>Prisma reflectivo</t>
  </si>
  <si>
    <t>Probeta de ensayos</t>
  </si>
  <si>
    <t>Protector auditivo</t>
  </si>
  <si>
    <t>Prueba de calidad</t>
  </si>
  <si>
    <t>Prueba de carga</t>
  </si>
  <si>
    <t>Prueba de comunicación para Scada</t>
  </si>
  <si>
    <t>Prueba eléctricas</t>
  </si>
  <si>
    <t>Prueba hidráulica</t>
  </si>
  <si>
    <t>Puente de adherencia epóxico</t>
  </si>
  <si>
    <t>Pulidora eléctrica</t>
  </si>
  <si>
    <t>Pulsador</t>
  </si>
  <si>
    <t>Pulsador de alarma contraincendios</t>
  </si>
  <si>
    <t>Pulverizadora de pintura airless</t>
  </si>
  <si>
    <t>Punta muerta</t>
  </si>
  <si>
    <t>Puntal de acero</t>
  </si>
  <si>
    <t>Puntal metálico telescópico</t>
  </si>
  <si>
    <t>Punzón</t>
  </si>
  <si>
    <t>Purificador de agua</t>
  </si>
  <si>
    <t>Purificador de aire</t>
  </si>
  <si>
    <t>Purificador y alcalinizador.</t>
  </si>
  <si>
    <t>Quemador de biogas</t>
  </si>
  <si>
    <t>Ramal y de PVC desagüe</t>
  </si>
  <si>
    <t>Rampa mecánica eléctrica</t>
  </si>
  <si>
    <t>Rastillo</t>
  </si>
  <si>
    <t>Reactor P/HPL</t>
  </si>
  <si>
    <t>Reactor PV /sodio</t>
  </si>
  <si>
    <t>Reactor para fluorescente</t>
  </si>
  <si>
    <t>Reactor para Lámpara de vapor de mercurio</t>
  </si>
  <si>
    <t>Reactor para Lámpara de vapor de sodio</t>
  </si>
  <si>
    <t>Receptor GPS</t>
  </si>
  <si>
    <t>Recicladora en frio</t>
  </si>
  <si>
    <t>Recubrimiento bituminoso</t>
  </si>
  <si>
    <t>Recubrimiento cementicio impermeabilizante</t>
  </si>
  <si>
    <t>Reducción CPVC</t>
  </si>
  <si>
    <t>Reducción de acero</t>
  </si>
  <si>
    <t>Reducción de cobre</t>
  </si>
  <si>
    <t>Reducción de hierro</t>
  </si>
  <si>
    <t>Reducción de hierro dúctil</t>
  </si>
  <si>
    <t>Reducción de hierro fundido</t>
  </si>
  <si>
    <t>Reducción de PVC</t>
  </si>
  <si>
    <t>Reducción de PVC sanitaria</t>
  </si>
  <si>
    <t>Reducción de PVC-U CR para agua fria</t>
  </si>
  <si>
    <t>Reducción de PVC-U SP para agua fria</t>
  </si>
  <si>
    <t>Reducción galvanizada</t>
  </si>
  <si>
    <t>Reductor de agua</t>
  </si>
  <si>
    <t>Reflector</t>
  </si>
  <si>
    <t>Registro cromado</t>
  </si>
  <si>
    <t>Registro de bronce</t>
  </si>
  <si>
    <t>Registro de lodos de polietileno</t>
  </si>
  <si>
    <t>Regla</t>
  </si>
  <si>
    <t>Regulador de tensión</t>
  </si>
  <si>
    <t>Rejilla de acero negro</t>
  </si>
  <si>
    <t>Rejilla de aluminio para alumbrado</t>
  </si>
  <si>
    <t>Rejilla de concreto</t>
  </si>
  <si>
    <t>Rejilla de ventilacion</t>
  </si>
  <si>
    <t>Relay</t>
  </si>
  <si>
    <t>Relleno Honeycomb</t>
  </si>
  <si>
    <t>Relleno Sauerland</t>
  </si>
  <si>
    <t>Reloj</t>
  </si>
  <si>
    <t>Remachadora</t>
  </si>
  <si>
    <t>Remache</t>
  </si>
  <si>
    <t>Remolcador</t>
  </si>
  <si>
    <t>Removedor de óxido</t>
  </si>
  <si>
    <t>Reóstato</t>
  </si>
  <si>
    <t>Resina epóxica</t>
  </si>
  <si>
    <t>Resina para sellado de caja terminal</t>
  </si>
  <si>
    <t>Respirador</t>
  </si>
  <si>
    <t>Retro excavadora</t>
  </si>
  <si>
    <t>Riel</t>
  </si>
  <si>
    <t>Riel de acero galvanizado</t>
  </si>
  <si>
    <t>Riel para sistema corredizo</t>
  </si>
  <si>
    <t>Ripio</t>
  </si>
  <si>
    <t>Roca</t>
  </si>
  <si>
    <t>Rodillo neumático autopropulsado</t>
  </si>
  <si>
    <t>Rodillo para pintar</t>
  </si>
  <si>
    <t>Rodillo pata de cabra vibratorio autopropulsado</t>
  </si>
  <si>
    <t>Rodillo tandem vibratorio autopropulsado</t>
  </si>
  <si>
    <t>Rodillo vibratorio liso autopropulsado</t>
  </si>
  <si>
    <t>Rodillo vibratorio liso de tiro</t>
  </si>
  <si>
    <t>Rodón</t>
  </si>
  <si>
    <t>Rodón de madera</t>
  </si>
  <si>
    <t>Rollizo de eucalipto</t>
  </si>
  <si>
    <t>Rollizo de madera</t>
  </si>
  <si>
    <t>Rompepavimento</t>
  </si>
  <si>
    <t>Rotomartillo</t>
  </si>
  <si>
    <t>Ruteador eléctrico</t>
  </si>
  <si>
    <t>Sal</t>
  </si>
  <si>
    <t>Salida de ducha</t>
  </si>
  <si>
    <t>Sardinel prefabricado de concreto</t>
  </si>
  <si>
    <t>Secador de áridos</t>
  </si>
  <si>
    <t>Seccionador cut out</t>
  </si>
  <si>
    <t>Seccionador portafusible</t>
  </si>
  <si>
    <t>Seccionador tripolar</t>
  </si>
  <si>
    <t>Seccionalizador electrónico</t>
  </si>
  <si>
    <t>Selector manual</t>
  </si>
  <si>
    <t>Sellador</t>
  </si>
  <si>
    <t>Sellador elastomerico a base de poliuretano</t>
  </si>
  <si>
    <t>Sellador intumescente</t>
  </si>
  <si>
    <t>Sellador para juntas de expansión</t>
  </si>
  <si>
    <t>Sello asfaltico</t>
  </si>
  <si>
    <t>Sello elastomérico</t>
  </si>
  <si>
    <t>Semáforo</t>
  </si>
  <si>
    <t>Semilla</t>
  </si>
  <si>
    <t>Semi-trailer</t>
  </si>
  <si>
    <t>Sensor</t>
  </si>
  <si>
    <t>Sensor de flujo electromagnético</t>
  </si>
  <si>
    <t>Señal de seguridad</t>
  </si>
  <si>
    <t>Señal de transito</t>
  </si>
  <si>
    <t>Serrucho</t>
  </si>
  <si>
    <t>Servicio profesional.</t>
  </si>
  <si>
    <t>Servidor de comando y control.</t>
  </si>
  <si>
    <t>Setos vivos</t>
  </si>
  <si>
    <t>Sierra circular</t>
  </si>
  <si>
    <t>Sierra de banco eléctrico</t>
  </si>
  <si>
    <t>Sierra eléctrica</t>
  </si>
  <si>
    <t>Sierra manual</t>
  </si>
  <si>
    <t>Sifón PVC sanitaria</t>
  </si>
  <si>
    <t>Silicona</t>
  </si>
  <si>
    <t>Silla PVC-U para drenaje y alcantarillado</t>
  </si>
  <si>
    <t>Sillar</t>
  </si>
  <si>
    <t>Sirena LED</t>
  </si>
  <si>
    <t>Sismògrafo</t>
  </si>
  <si>
    <t>Sistema de control distribuido</t>
  </si>
  <si>
    <t>Sistema de parqueo</t>
  </si>
  <si>
    <t>Sistema de sensores inteligentes</t>
  </si>
  <si>
    <t>Sistema de video vigilancia</t>
  </si>
  <si>
    <t>Socket</t>
  </si>
  <si>
    <t>Socket de baquelita</t>
  </si>
  <si>
    <t>Socket porta arrancador</t>
  </si>
  <si>
    <t>Soga</t>
  </si>
  <si>
    <t>Soldadora eléctrica</t>
  </si>
  <si>
    <t>Soldadora monofásica</t>
  </si>
  <si>
    <t>Soldadora trifásica</t>
  </si>
  <si>
    <t>Soldadura</t>
  </si>
  <si>
    <t>Soldadura por electrodo</t>
  </si>
  <si>
    <t>Solvente xilol</t>
  </si>
  <si>
    <t>Sombrero de ventilación de bronce</t>
  </si>
  <si>
    <t>Sombrero de ventilación de PVC</t>
  </si>
  <si>
    <t>Sombrero de ventilación de PVC sanitaria</t>
  </si>
  <si>
    <t>Soplador de aire</t>
  </si>
  <si>
    <t>Soplador en tanque desarenador</t>
  </si>
  <si>
    <t>Soplete</t>
  </si>
  <si>
    <t>Soporte de acero</t>
  </si>
  <si>
    <t>Sumidero</t>
  </si>
  <si>
    <t>Sumidero de bronce</t>
  </si>
  <si>
    <t>Switch</t>
  </si>
  <si>
    <t>Tabla de madera importada</t>
  </si>
  <si>
    <t>Tabla de madera nacional</t>
  </si>
  <si>
    <t>Tablaestacado prefabricado</t>
  </si>
  <si>
    <t>Tablero aglomerado</t>
  </si>
  <si>
    <t>Tablero de melamina</t>
  </si>
  <si>
    <t>Tablero eléctrico</t>
  </si>
  <si>
    <t>Tablero eléctrico de resina</t>
  </si>
  <si>
    <t>Tablero eléctrico metálico</t>
  </si>
  <si>
    <t>Tablero MDF</t>
  </si>
  <si>
    <t>Tablero MDP</t>
  </si>
  <si>
    <t>Tablero OSB</t>
  </si>
  <si>
    <t>Tablestaca metálica</t>
  </si>
  <si>
    <t>Tablestacado prefabricado</t>
  </si>
  <si>
    <t>Tablón madera importada</t>
  </si>
  <si>
    <t>Tablón madera nacional</t>
  </si>
  <si>
    <t>Tacha reflectiva</t>
  </si>
  <si>
    <t>Tachuela</t>
  </si>
  <si>
    <t>Taco cerámico</t>
  </si>
  <si>
    <t>Taladro</t>
  </si>
  <si>
    <t>Tanque de fibra de vidrio</t>
  </si>
  <si>
    <t>Tanque de polietileno</t>
  </si>
  <si>
    <t>Tanque PRFV</t>
  </si>
  <si>
    <t>Tapa ciega</t>
  </si>
  <si>
    <t>Tapa de concreto para buzón</t>
  </si>
  <si>
    <t>Tapa de concreto para caja de agua</t>
  </si>
  <si>
    <t>Tapa de concreto para caja de desagüe</t>
  </si>
  <si>
    <t>Tapa de fierro fundido</t>
  </si>
  <si>
    <t>Tapa de fierro galvanizado</t>
  </si>
  <si>
    <t>Tapa de fierro para buzón</t>
  </si>
  <si>
    <t>Tapa onda canal fibrocemento</t>
  </si>
  <si>
    <t>Tapa sanitaria</t>
  </si>
  <si>
    <t>Tapa termoplástica</t>
  </si>
  <si>
    <t>Tapajuntas de acero</t>
  </si>
  <si>
    <t>Tapajuntas de acero LAC</t>
  </si>
  <si>
    <t>Tapajuntas de aluminio</t>
  </si>
  <si>
    <t>Tapizón</t>
  </si>
  <si>
    <t>Tapón auditivo</t>
  </si>
  <si>
    <t>Tapón de acero</t>
  </si>
  <si>
    <t>Tapón de fierro fundido</t>
  </si>
  <si>
    <t>Tapón de fierro galvanizado.</t>
  </si>
  <si>
    <t>Tapón de PVC</t>
  </si>
  <si>
    <t>Tapón PVC-U para redes de agua.</t>
  </si>
  <si>
    <t>Tarima flotante</t>
  </si>
  <si>
    <t>Tarraja</t>
  </si>
  <si>
    <t>Tarrajeo en bolsa</t>
  </si>
  <si>
    <t>Tarugo de madera</t>
  </si>
  <si>
    <t>Tarugo de PVC</t>
  </si>
  <si>
    <t>Taza sanitaria</t>
  </si>
  <si>
    <t>Taza turca sanitaria</t>
  </si>
  <si>
    <t>Tecnopor</t>
  </si>
  <si>
    <t>Tee CPVC</t>
  </si>
  <si>
    <t>Tee de acero</t>
  </si>
  <si>
    <t>Tee de acero al carbono</t>
  </si>
  <si>
    <t>Tee de cobre</t>
  </si>
  <si>
    <t>Tee de fierro fundido</t>
  </si>
  <si>
    <t>Tee de fierro galvanizado</t>
  </si>
  <si>
    <t>Tee de hierro dúctil</t>
  </si>
  <si>
    <t>Tee HDPE</t>
  </si>
  <si>
    <t>Tee PVC</t>
  </si>
  <si>
    <t>Tee PVC sanitaria</t>
  </si>
  <si>
    <t>Tee PVC-U CR para agua fria</t>
  </si>
  <si>
    <t>Tee PVC-U para redes de agua</t>
  </si>
  <si>
    <t>Tee PVC-U SP para agua fria</t>
  </si>
  <si>
    <t>Teja de arcilla</t>
  </si>
  <si>
    <t>Teja de fibrocemento</t>
  </si>
  <si>
    <t>Telefonia</t>
  </si>
  <si>
    <t>Templador</t>
  </si>
  <si>
    <t>Temple</t>
  </si>
  <si>
    <t>Temple fino</t>
  </si>
  <si>
    <t>Tenaza</t>
  </si>
  <si>
    <t>Teodolito</t>
  </si>
  <si>
    <t>Terma a gas</t>
  </si>
  <si>
    <t>Terma eléctrica</t>
  </si>
  <si>
    <t>Terma solar</t>
  </si>
  <si>
    <t>Terminal de compresión de cobre</t>
  </si>
  <si>
    <t>Terminal mayólica</t>
  </si>
  <si>
    <t>Terminal para cable eléctrico</t>
  </si>
  <si>
    <t>Terminal socket</t>
  </si>
  <si>
    <t>Termostato</t>
  </si>
  <si>
    <t>Termotanque</t>
  </si>
  <si>
    <t>Terrazo</t>
  </si>
  <si>
    <t>Terrazo premezclado</t>
  </si>
  <si>
    <t>Testigo ensayo</t>
  </si>
  <si>
    <t>Thinner</t>
  </si>
  <si>
    <t>Thinner acrilico</t>
  </si>
  <si>
    <t>Thor gel</t>
  </si>
  <si>
    <t>Tierra de chacra</t>
  </si>
  <si>
    <t>Tierra vegetal</t>
  </si>
  <si>
    <t>Timbre puerta</t>
  </si>
  <si>
    <t>Tina</t>
  </si>
  <si>
    <t>Tina bañera</t>
  </si>
  <si>
    <t>Tinta serigráfica</t>
  </si>
  <si>
    <t>Tirador para puertas</t>
  </si>
  <si>
    <t>Tirafón de acero</t>
  </si>
  <si>
    <t>Tirafondo de acero</t>
  </si>
  <si>
    <t>Tirafondo rieles</t>
  </si>
  <si>
    <t>Tirfor</t>
  </si>
  <si>
    <t>Tiza</t>
  </si>
  <si>
    <t>Toallero</t>
  </si>
  <si>
    <t>Tobogån de fibra de vidrio</t>
  </si>
  <si>
    <t>Toma barredera de PVC</t>
  </si>
  <si>
    <t>Toma de fondo de bronce</t>
  </si>
  <si>
    <t>Toma de fondo de latón</t>
  </si>
  <si>
    <t>Toma de fondo de PVC</t>
  </si>
  <si>
    <t>Toma telefónica</t>
  </si>
  <si>
    <t>Toma TV</t>
  </si>
  <si>
    <t>Tomacorriente</t>
  </si>
  <si>
    <t>Tope para puerta</t>
  </si>
  <si>
    <t>Tope sismico</t>
  </si>
  <si>
    <t>Tomo</t>
  </si>
  <si>
    <t>Torre de iluminación</t>
  </si>
  <si>
    <t>Torre grúa</t>
  </si>
  <si>
    <t>Tractor</t>
  </si>
  <si>
    <t>Tractor de tiro</t>
  </si>
  <si>
    <t>Tractor sobre llantas</t>
  </si>
  <si>
    <t>Tractor sobre orugas</t>
  </si>
  <si>
    <t>Trailla</t>
  </si>
  <si>
    <t>Trámite TUPA</t>
  </si>
  <si>
    <t>Trampa P de PVC sanitaria</t>
  </si>
  <si>
    <t>Trampa de fierro fundido desagüe</t>
  </si>
  <si>
    <t>Trampa de PVC para desagüe</t>
  </si>
  <si>
    <t>Transformador</t>
  </si>
  <si>
    <t>Transformador de aislamiento</t>
  </si>
  <si>
    <t>Transformador de corriente y tensión mixto</t>
  </si>
  <si>
    <t>Transformador eléctrico</t>
  </si>
  <si>
    <t>Transporte acuático</t>
  </si>
  <si>
    <t>Transporte aéreo</t>
  </si>
  <si>
    <t>Transporte fluvial.</t>
  </si>
  <si>
    <t>Transporte terrestre</t>
  </si>
  <si>
    <t>Travesaño de aluminio</t>
  </si>
  <si>
    <t>Travesaño de madera</t>
  </si>
  <si>
    <t>Travieza de concreto</t>
  </si>
  <si>
    <t>Trefilado (acero de refuerzo)</t>
  </si>
  <si>
    <t>Trefilado (acero para pretensado)</t>
  </si>
  <si>
    <t>Triangulo de seguridad</t>
  </si>
  <si>
    <t>Triplay capinuri</t>
  </si>
  <si>
    <t>Triplay copaiba</t>
  </si>
  <si>
    <t>Triplay de madera nacional</t>
  </si>
  <si>
    <t>Triplay fenólico importado</t>
  </si>
  <si>
    <t>Triplay lupuna</t>
  </si>
  <si>
    <t>Triplay para carpinteria</t>
  </si>
  <si>
    <t>Triplay para encofrado</t>
  </si>
  <si>
    <t>Triplay tornillo</t>
  </si>
  <si>
    <t>Tripode topográfico</t>
  </si>
  <si>
    <t>Triturador</t>
  </si>
  <si>
    <t>Triturador de lodos</t>
  </si>
  <si>
    <t>Tronzadora</t>
  </si>
  <si>
    <t>Tuberia Armco</t>
  </si>
  <si>
    <t>Tubería CPVC para agua caliente</t>
  </si>
  <si>
    <t>Tuberia de acero electrosoldado</t>
  </si>
  <si>
    <t>Tuberia de acero galvanizado</t>
  </si>
  <si>
    <t>Tuberia de acero negro</t>
  </si>
  <si>
    <t>Tubería de acero negro sin costura SCH</t>
  </si>
  <si>
    <t>Tuberia de acero negro y/o galvanizado.</t>
  </si>
  <si>
    <t>Tuberia de acero soldada</t>
  </si>
  <si>
    <t>Tuberia de cobre</t>
  </si>
  <si>
    <t>Tuberia de cobre desnudo</t>
  </si>
  <si>
    <t>Tuberia de cobre felxible</t>
  </si>
  <si>
    <t>Tuberia de cobre rigido</t>
  </si>
  <si>
    <t>Tuberia de concreto reforzado</t>
  </si>
  <si>
    <t>Tuberia de concreto simple</t>
  </si>
  <si>
    <t>Tuberia de fibra de vidrio</t>
  </si>
  <si>
    <t>Tuberia de hierro dúctil</t>
  </si>
  <si>
    <t>Tuberia de hierro fundido</t>
  </si>
  <si>
    <t>Tuberia de hierro negro estándar</t>
  </si>
  <si>
    <t>Tuberia de polietileno</t>
  </si>
  <si>
    <t>Tubería de PVC para agua</t>
  </si>
  <si>
    <t>Tuberia de PVC para desagüe</t>
  </si>
  <si>
    <t>Tuberia de PVC para eléctrica</t>
  </si>
  <si>
    <t>Tuberia de PVC para red de agua potable</t>
  </si>
  <si>
    <t>Tuberia de PVC para red de alcantarillado</t>
  </si>
  <si>
    <t>Tuberia EMT</t>
  </si>
  <si>
    <t>Tuberia HDPE</t>
  </si>
  <si>
    <t>Tuberia HDPE a presión.</t>
  </si>
  <si>
    <t>Tuberia HDPE drenaje y alcantarillado</t>
  </si>
  <si>
    <t>Tuberia multiplaca para gas</t>
  </si>
  <si>
    <t>Tubería PE-AL-PE</t>
  </si>
  <si>
    <t>Tuberia PP-R</t>
  </si>
  <si>
    <t>Tuberia PRFV</t>
  </si>
  <si>
    <t>Tuberia PVC sanitaria liviana</t>
  </si>
  <si>
    <t>Tuberia PVC sanitaria pesada</t>
  </si>
  <si>
    <t>Tubería PVC SAP eléctrica</t>
  </si>
  <si>
    <t>Tuberia PVC SEL eléctrica</t>
  </si>
  <si>
    <t>Tubería PVC telefónico</t>
  </si>
  <si>
    <t>Tuberia PVC-O a presión para redes de agua</t>
  </si>
  <si>
    <t>Tuberia PVC-U a presión para redes de agua</t>
  </si>
  <si>
    <t>Tuberia PVC-U CR para agua fria.</t>
  </si>
  <si>
    <t>Tuberia PVC-U para drenaje y alcantarillado</t>
  </si>
  <si>
    <t>Tuberia PVC-U SP para agua fria</t>
  </si>
  <si>
    <t>Tubo conduit de acero galvanizado</t>
  </si>
  <si>
    <t>Tubo cuadrado de acero electrosoldado</t>
  </si>
  <si>
    <t>Tubo cuadrado de acero galvanizado</t>
  </si>
  <si>
    <t>Tubo cuadrado de acero negro</t>
  </si>
  <si>
    <t>Tubo cuadrado de aluminio.</t>
  </si>
  <si>
    <t>Tubo de abasto</t>
  </si>
  <si>
    <t>Tubo de acero inoxidable</t>
  </si>
  <si>
    <t>Tubo de papel</t>
  </si>
  <si>
    <t>Tubo de polietileno</t>
  </si>
  <si>
    <t>Tubo fluorescente</t>
  </si>
  <si>
    <t>Tubo LED</t>
  </si>
  <si>
    <t>Tubo rectangular de acero electrosoldado</t>
  </si>
  <si>
    <t>Tubo rectangular de acero galvanizado</t>
  </si>
  <si>
    <t>Tubo rectangular de acero negro</t>
  </si>
  <si>
    <t>Tubo rectangular de aluminio</t>
  </si>
  <si>
    <t>Tubo redondo de acero electrosoldado</t>
  </si>
  <si>
    <t>Tubo redondo de acero galvanizado</t>
  </si>
  <si>
    <t>Tubo redondo de acero negro</t>
  </si>
  <si>
    <t>Tubo redondo de aluminio</t>
  </si>
  <si>
    <t>Tuerca</t>
  </si>
  <si>
    <t>Tuerca ciega</t>
  </si>
  <si>
    <t>Tuerca cuadrada</t>
  </si>
  <si>
    <t>Tuerca flange</t>
  </si>
  <si>
    <t>Tuerca hexagonal</t>
  </si>
  <si>
    <t>Tuerca mariposa</t>
  </si>
  <si>
    <t>Tupi</t>
  </si>
  <si>
    <t>Turbocomprensor</t>
  </si>
  <si>
    <t>Unidad mejoradora de aire</t>
  </si>
  <si>
    <t>Unión CPVC</t>
  </si>
  <si>
    <t>Unión de acero</t>
  </si>
  <si>
    <t>Unión de cobre</t>
  </si>
  <si>
    <t>Unión de PVC agua</t>
  </si>
  <si>
    <t>Unión de PVC desagüe</t>
  </si>
  <si>
    <t>Unión de PVC eléctrica</t>
  </si>
  <si>
    <t>Unión de PVC sanitaria</t>
  </si>
  <si>
    <t>Unión de PVC SAP elèctrica</t>
  </si>
  <si>
    <t>Unión de PVC SEL eléctrica</t>
  </si>
  <si>
    <t>Unión de PVC-U CR para agua fria</t>
  </si>
  <si>
    <t>Unión de PVC-U para redes de agua</t>
  </si>
  <si>
    <t>Unión de PVC-U SP para agua fria.</t>
  </si>
  <si>
    <t>Unión simple de fierro galvanizado</t>
  </si>
  <si>
    <t>Unión universal de CPVC</t>
  </si>
  <si>
    <t>Unión universal de PVC</t>
  </si>
  <si>
    <t>Unión universal de PVC-U CR para agua fria</t>
  </si>
  <si>
    <t>Unión universal de PVC-U SP para agua fria</t>
  </si>
  <si>
    <t>Unión universal galvanizado</t>
  </si>
  <si>
    <t>UPS</t>
  </si>
  <si>
    <t>Urinario</t>
  </si>
  <si>
    <t>Urinario de loza</t>
  </si>
  <si>
    <t>Utilidad</t>
  </si>
  <si>
    <t>Vagón</t>
  </si>
  <si>
    <t>Válvula angular de bronce</t>
  </si>
  <si>
    <t>Válvula angular de latón.</t>
  </si>
  <si>
    <t>Válvula bridada de PVC</t>
  </si>
  <si>
    <t>Válvula check canastilla de bronce</t>
  </si>
  <si>
    <t>Válvula check canastilla de latón</t>
  </si>
  <si>
    <t>Válvula check de acero</t>
  </si>
  <si>
    <t>Válvula check de bronce</t>
  </si>
  <si>
    <t>Válvula check de hierro dúctil</t>
  </si>
  <si>
    <t>Válvula check de hierro fundido</t>
  </si>
  <si>
    <t>Válvula check de latón</t>
  </si>
  <si>
    <t>Válvula compuerta de acero</t>
  </si>
  <si>
    <t>Válvula compuerta de bronce</t>
  </si>
  <si>
    <t>Válvula compuerta de hierro dúctil</t>
  </si>
  <si>
    <t>Válvula compuerta de hierro fundido</t>
  </si>
  <si>
    <t>Válvula compuerta de latón.</t>
  </si>
  <si>
    <t>Válvula cuchilla de acero</t>
  </si>
  <si>
    <t>Válvula cuchilla de hierro dúctil</t>
  </si>
  <si>
    <t>Válvula cuchilla de hierro fundido</t>
  </si>
  <si>
    <t>Válvula de aire de hierro dúctil</t>
  </si>
  <si>
    <t>Válvula de aire de PVC</t>
  </si>
  <si>
    <t>Válvula de bronce importada</t>
  </si>
  <si>
    <t>Válvula de bronce nacional</t>
  </si>
  <si>
    <t>Válvula de globo de acero</t>
  </si>
  <si>
    <t>Válvula de globo de hierro dúctil</t>
  </si>
  <si>
    <t>Válvula de globo de hierro fundido</t>
  </si>
  <si>
    <t>Válvula de hierro fundido importado</t>
  </si>
  <si>
    <t>Válvula de hierro fundido nacional</t>
  </si>
  <si>
    <t>Válvula de polietileno</t>
  </si>
  <si>
    <t>Válvula de purga bronce</t>
  </si>
  <si>
    <t>Válvula de purga PVC</t>
  </si>
  <si>
    <t>Válvula esférica de acero</t>
  </si>
  <si>
    <t>Válvula esférica de bronce</t>
  </si>
  <si>
    <t>Válvula esférica de hierro dúctil</t>
  </si>
  <si>
    <t>Válvula esférica de hierro fundido</t>
  </si>
  <si>
    <t>Válvula esférica de latón</t>
  </si>
  <si>
    <t>Válvula esférica PVC CR para agua fria</t>
  </si>
  <si>
    <t>Válvula esférica PVC SP para agua fria</t>
  </si>
  <si>
    <t>Válvula flotadora</t>
  </si>
  <si>
    <t>Válvula globo de bronce</t>
  </si>
  <si>
    <t>Válvula globo de latón</t>
  </si>
  <si>
    <t>Válvula mariposa de acero</t>
  </si>
  <si>
    <t>Válvula mariposa de hierro dúctil</t>
  </si>
  <si>
    <t>Válvula mariposa de hierro fundido</t>
  </si>
  <si>
    <t>Válvula mariposa de PVC</t>
  </si>
  <si>
    <t>Válvula para ingreso y descarga para tanques</t>
  </si>
  <si>
    <t>Válvula reductora de presión de bronce</t>
  </si>
  <si>
    <t>Válvula reductora de presión de latón</t>
  </si>
  <si>
    <t>Válvula reductora de presión en hierro dúctil</t>
  </si>
  <si>
    <t>Válvula reductora de presión en PVC</t>
  </si>
  <si>
    <t>Válvula siamesa de bronce</t>
  </si>
  <si>
    <t>Válvula siamesa de latón</t>
  </si>
  <si>
    <t>Varilla de acero galvanizado</t>
  </si>
  <si>
    <t>Varilla de cobre</t>
  </si>
  <si>
    <t>Varilla para tierra</t>
  </si>
  <si>
    <t>Ventilador.</t>
  </si>
  <si>
    <t>Ventilador helicoidal</t>
  </si>
  <si>
    <t>Ventilador mecánico</t>
  </si>
  <si>
    <t>Ventiloconvector (fan coil)</t>
  </si>
  <si>
    <t>Vibrador de concreto</t>
  </si>
  <si>
    <t>Videoportero</t>
  </si>
  <si>
    <t>Vidrio blindado</t>
  </si>
  <si>
    <t>Vidrio catedral</t>
  </si>
  <si>
    <t>Vidrio crudo bronce</t>
  </si>
  <si>
    <t>Vidrio crudo gris</t>
  </si>
  <si>
    <t>Vidrio crudo incoloro</t>
  </si>
  <si>
    <t>Vidrio importado</t>
  </si>
  <si>
    <t>Vidrio insulado</t>
  </si>
  <si>
    <t>Vidrio laminado</t>
  </si>
  <si>
    <t>Vidrio laminado importado</t>
  </si>
  <si>
    <t>Vidrio laminado nacional</t>
  </si>
  <si>
    <t>Vidrio nacional</t>
  </si>
  <si>
    <t>Vidrio simple</t>
  </si>
  <si>
    <t>Vidrio templado</t>
  </si>
  <si>
    <t>Vidrio templado bronce</t>
  </si>
  <si>
    <t>Vidrio templado gris</t>
  </si>
  <si>
    <t>Vidrio templado incoloro</t>
  </si>
  <si>
    <t>Vidrio templado reflectante</t>
  </si>
  <si>
    <t>Vidrio templado ultra claro</t>
  </si>
  <si>
    <t>Viga de acero al carbono</t>
  </si>
  <si>
    <t>Viga de madera importada</t>
  </si>
  <si>
    <t>Viga prefabricada de concreto</t>
  </si>
  <si>
    <t>Vigia</t>
  </si>
  <si>
    <t>Vigueta prefabricada de concreto</t>
  </si>
  <si>
    <t>Volquete</t>
  </si>
  <si>
    <t>Voltimetro</t>
  </si>
  <si>
    <t>W.C. tanque alto</t>
  </si>
  <si>
    <t>W.C. tanque bajo</t>
  </si>
  <si>
    <t>Wall socket</t>
  </si>
  <si>
    <t>Water stop de cobre</t>
  </si>
  <si>
    <t>Water stop de PVC</t>
  </si>
  <si>
    <t>Waype</t>
  </si>
  <si>
    <t>Wincha</t>
  </si>
  <si>
    <t>Winche eléctrico</t>
  </si>
  <si>
    <t>Yee de hierro dúctil</t>
  </si>
  <si>
    <t>Yee fierro fundido desagüe</t>
  </si>
  <si>
    <t>Yee PVC desagüe.</t>
  </si>
  <si>
    <t>Yee PVC sanitaria</t>
  </si>
  <si>
    <t>Yeso</t>
  </si>
  <si>
    <t>Yunque</t>
  </si>
  <si>
    <t>Yute</t>
  </si>
  <si>
    <t>Zapatos de seguridad</t>
  </si>
  <si>
    <t>Zaranda mecánica</t>
  </si>
  <si>
    <t>Zaranda vibratoria</t>
  </si>
  <si>
    <t>Zeta de acero al carbono</t>
  </si>
  <si>
    <t>Zócalo de aluminio</t>
  </si>
  <si>
    <t>Zócalo de madera</t>
  </si>
  <si>
    <t>Zócalo de PVC</t>
  </si>
  <si>
    <t>Zócalo de terrazo</t>
  </si>
  <si>
    <t>Zócalo veneciano</t>
  </si>
  <si>
    <t>Zócalo vinílico</t>
  </si>
  <si>
    <t>Zumbador</t>
  </si>
  <si>
    <t>Perno hexagonal inoxidable</t>
  </si>
  <si>
    <t>Perno</t>
  </si>
  <si>
    <t>Perno cabeza choque</t>
  </si>
  <si>
    <t>Perno de expansión</t>
  </si>
  <si>
    <t>Perno flange</t>
  </si>
  <si>
    <t>Perno hexagonal estructural</t>
  </si>
  <si>
    <t>Perno maquinado</t>
  </si>
  <si>
    <t>Tornillo autoperforante</t>
  </si>
  <si>
    <t>Tornillo autorroscante</t>
  </si>
  <si>
    <t>Tornillo de banco</t>
  </si>
  <si>
    <t>Tornillo para drywall</t>
  </si>
  <si>
    <t>Tornillo para madera</t>
  </si>
  <si>
    <t>Tornillo transportador</t>
  </si>
  <si>
    <t>Tornillo wafer</t>
  </si>
  <si>
    <t>ACERO DE CONSTRUCCION CORRUGADO</t>
  </si>
  <si>
    <t>ABRAZADERAS</t>
  </si>
  <si>
    <t>ALAMBRES</t>
  </si>
  <si>
    <t>ELEMENTOS DE FIJACION</t>
  </si>
  <si>
    <r>
      <t xml:space="preserve">TUBO RECTANGULAR LAC </t>
    </r>
    <r>
      <rPr>
        <b/>
        <sz val="8"/>
        <color theme="1"/>
        <rFont val="Swis721 LtEx BT"/>
        <family val="2"/>
      </rPr>
      <t>A500</t>
    </r>
    <r>
      <rPr>
        <sz val="8"/>
        <color theme="1"/>
        <rFont val="Swis721 LtEx BT"/>
        <family val="2"/>
      </rPr>
      <t xml:space="preserve"> X 1.8 MM X 6 MT. (1" X 2")</t>
    </r>
  </si>
  <si>
    <t>AGREGADO FINO</t>
  </si>
  <si>
    <t>ABRAZADERA 01 OREJA 3" CON ACCESORIOS</t>
  </si>
  <si>
    <t>ABRAZADERA 01 OREJA 2" CON ACCESORIOS</t>
  </si>
  <si>
    <t>ABRAZADERA SIN FIN 5/8" PARA SALIDA DE GAS ENCIMERA DE COCINA</t>
  </si>
  <si>
    <t>ABRAZADERA SIN FIN 3/8" PARA SALIDA DE GAS ENCIMERA DE COCINA</t>
  </si>
  <si>
    <t>RIEL UNISTRUT ALTA DE 2.4 m</t>
  </si>
  <si>
    <t xml:space="preserve">ABRAZADERA SIN FIN 1/2" </t>
  </si>
  <si>
    <t>ABRAZADERA SIN FIN 3/4"</t>
  </si>
  <si>
    <t xml:space="preserve">ABRAZADERA SIN FIN 1" </t>
  </si>
  <si>
    <t xml:space="preserve">ABRAZADERA SIN FIN 1 1/2" </t>
  </si>
  <si>
    <t xml:space="preserve">ABRAZADERA SIN FIN 2" </t>
  </si>
  <si>
    <t xml:space="preserve">ABRAZADERA SIN FIN 3" </t>
  </si>
  <si>
    <t xml:space="preserve">ABRAZADERA SIN FIN 4" </t>
  </si>
  <si>
    <t xml:space="preserve">ABRAZADERA SIN FIN 5" </t>
  </si>
  <si>
    <t xml:space="preserve">ABRAZADERA SIN FIN 6" </t>
  </si>
  <si>
    <t>ABRAZADERA SIN FIN 1 1/4" -2"</t>
  </si>
  <si>
    <t>CLAVO DE ACERO LISO PARA CONCRETO 3/4" (2.0 x 20mm) Cja x 500gr</t>
  </si>
  <si>
    <t>CLAVO DE ACERO LISO PARA CONCRETO 1" (2.5 x 25mm) Cja x 500gr</t>
  </si>
  <si>
    <t>CLAVO DE ACERO LISO PARA CONCRETO 1 1/4" (2.5 x 30mm) Cja x 500gr</t>
  </si>
  <si>
    <t>ALAMBRE GALVANIZADO N° 16</t>
  </si>
  <si>
    <t>ALAMBRE GALVANIZADO N° 18</t>
  </si>
  <si>
    <t>ALAMBRE NEGRO RECOCIDO N° 16</t>
  </si>
  <si>
    <t>ALAMBRE NEGRO RECOCIDO N° 8</t>
  </si>
  <si>
    <t>CLAVO DE ACERO LISO PARA CONCRETO 1 1/2" (2.5 x 40mm) Cja x 500gr</t>
  </si>
  <si>
    <t>CLAVO DE ACERO LISO PARA CONCRETO 2" (2.5 x 50mm) Cja x 500gr</t>
  </si>
  <si>
    <t>CLAVO DE ACERO LISO PARA CONCRETO 2 1/2" (2.5 x 60mm) Cja x 500gr</t>
  </si>
  <si>
    <t>CLAVO DE ACERO LISO PARA CONCRETO 4" (2.5 x 100mm) Cja x 500gr</t>
  </si>
  <si>
    <t>CLAVO DE ACERO LISO PARA CONCRETO 3" (2.5 x 75mm) Cja x 500gr</t>
  </si>
  <si>
    <t>CLAVOS PARA CALAMINA ESPIRALADO 2 1/2" CON ARANDELA DE JEBE</t>
  </si>
  <si>
    <t xml:space="preserve">CLAVO DE ACERO ESTRIADO VERTICAL 3" (4.0 x 75mm) Cja x 500gr </t>
  </si>
  <si>
    <t>CLAVOS PARA MADERA CON CABEZA DE 2" x 12</t>
  </si>
  <si>
    <t>CLAVOS PARA MADERA CON CABEZA DE 2 1/2" x 10</t>
  </si>
  <si>
    <t>CLAVOS PARA MADERA CON CABEZA DE 3" x 9</t>
  </si>
  <si>
    <t>CLAVOS PARA MADERA CON CABEZA DE 4" x 7</t>
  </si>
  <si>
    <t>CLAVOS PARA MADERA CON CABEZA DE 1/2" x 19</t>
  </si>
  <si>
    <t>CLAVOS PARA MADERA CON CABEZA DE 3/4" x 17</t>
  </si>
  <si>
    <t>CLAVOS PARA MADERA SIN CABEZA DE 1/2" x 19</t>
  </si>
  <si>
    <t>CLAVOS PARA MADERA SIN CABEZA DE 3/4" x 17</t>
  </si>
  <si>
    <t>CLAVOS PARA MADERA SIN CABEZA DE 1" x 17</t>
  </si>
  <si>
    <t>CLAVOS PARA MADERA CON CABEZA DE 1" x 17</t>
  </si>
  <si>
    <t>ARANDELA PLANA DE 3/8" (VOLANDA)</t>
  </si>
  <si>
    <t>ARANDELA PLANA DE 5/8" (VOLANDA)</t>
  </si>
  <si>
    <t>ARANDELA PLANA DE 1/2" (VOLANDA)</t>
  </si>
  <si>
    <t>GRAPA (GRILLETE) 1/4"</t>
  </si>
  <si>
    <t>GRAPA (GRILLETE) 3/8"</t>
  </si>
  <si>
    <t>GRAPA (GRILLETE) 1/2"</t>
  </si>
  <si>
    <t>PERNO EXPANSION 3/8" x 2"</t>
  </si>
  <si>
    <t>PERNO EXPANSION 3/8" x 3"</t>
  </si>
  <si>
    <t>PERNO EXPANSION 1/2" x 4"</t>
  </si>
  <si>
    <t>PERNO EXPANSION 1/2" x 5"</t>
  </si>
  <si>
    <t>PERNO EXPANSION 1/2" x 7"</t>
  </si>
  <si>
    <t>PERNO EXPANSION 3/8" x 5"</t>
  </si>
  <si>
    <t>PERNO EXPANSION 3/8" x 6"</t>
  </si>
  <si>
    <t>PERNO EXPANSION 3/8" x 7"</t>
  </si>
  <si>
    <t>AGREGADO GRUESO</t>
  </si>
  <si>
    <t xml:space="preserve">ALAMBRE Y CABLE DE COBRE DESNUDO </t>
  </si>
  <si>
    <t>ARENA</t>
  </si>
  <si>
    <t>TIERRA VEGETAL</t>
  </si>
  <si>
    <t>YESO</t>
  </si>
  <si>
    <t>ACERO CORRUGADO G° 60 DE 3/8" x 9M AA</t>
  </si>
  <si>
    <t>ACERO CORRUGADO G° 60 DE 1/4" x 9M AA</t>
  </si>
  <si>
    <t>ACERO CORRUGADO G° 60 DE 6mm x 9M AA</t>
  </si>
  <si>
    <t>YESO CERÁMICO 20 kg COMACSA</t>
  </si>
  <si>
    <t>YESO CERÁMICO 1 kg COMACSA</t>
  </si>
  <si>
    <t>YESO CERÁMICO 1 kg HADES</t>
  </si>
  <si>
    <t xml:space="preserve">CONFITILLO </t>
  </si>
  <si>
    <t>ARENA GRUESA ROJA</t>
  </si>
  <si>
    <t>PIEDRA</t>
  </si>
  <si>
    <t>PIEDRA CHANCADA DE 3/4"</t>
  </si>
  <si>
    <t>COBRE DESNUDO</t>
  </si>
  <si>
    <t>TERMINAL PARA CABLE ELECTRICO</t>
  </si>
  <si>
    <t xml:space="preserve">ELECTRODO </t>
  </si>
  <si>
    <t>ALAMBRE Y CABLE TIPO TW, THW, LSOH</t>
  </si>
  <si>
    <t>APARATO SANITARIO CON GRIFERIA</t>
  </si>
  <si>
    <t>LAVATORIO DE BAÑO</t>
  </si>
  <si>
    <t>INODORO ONE PIECE</t>
  </si>
  <si>
    <t>REGISTROS Y SUMIDERO</t>
  </si>
  <si>
    <t>ACCESORIOS PARA INSTALACION DE APARATOS</t>
  </si>
  <si>
    <t>GRIFERIA DE DUCHA</t>
  </si>
  <si>
    <t>GRIFERIA DE COCINA _LAVANDERIA</t>
  </si>
  <si>
    <t>GRIFERIA DE LAVATORIO</t>
  </si>
  <si>
    <t>KIT DE BAÑO</t>
  </si>
  <si>
    <t>ARTEFACTO DE ALUMBRADO EXTERIOR</t>
  </si>
  <si>
    <t>LUZ DE EMERGENCIA</t>
  </si>
  <si>
    <t>ILUMINACION EXTERIOR</t>
  </si>
  <si>
    <t>ACCESORIO DE EXTERIORES</t>
  </si>
  <si>
    <t>ILUMINACION INTERIOR</t>
  </si>
  <si>
    <t>PLACAS ELECTRICAS</t>
  </si>
  <si>
    <t>ACCESORIOS ELECTRICOS</t>
  </si>
  <si>
    <t>CABLE TELEFONICO Y DE RED</t>
  </si>
  <si>
    <t>LADRILLO DE ARCILLA</t>
  </si>
  <si>
    <t>CABLE NYY, N2XY, NPT, N2XOH, N2XSY</t>
  </si>
  <si>
    <t>CEMENTO PORTLAND</t>
  </si>
  <si>
    <t>CERAMICA Y PORCELANATO</t>
  </si>
  <si>
    <t>CERRAJERIA</t>
  </si>
  <si>
    <t>BISAGRA</t>
  </si>
  <si>
    <t>DETONANTE</t>
  </si>
  <si>
    <t xml:space="preserve">FULMINANTE  </t>
  </si>
  <si>
    <t>PREFABRICADO DE CONCRETO</t>
  </si>
  <si>
    <t>DADOS DE CONCRETO</t>
  </si>
  <si>
    <t>GASOHOL Y GASOLINA</t>
  </si>
  <si>
    <t>HERRAMIENTA MANUAL</t>
  </si>
  <si>
    <t>BROCA</t>
  </si>
  <si>
    <t>DISCO</t>
  </si>
  <si>
    <t>LIJA</t>
  </si>
  <si>
    <t>PUNTERA</t>
  </si>
  <si>
    <t>LIMPIEZA</t>
  </si>
  <si>
    <t>INDICE DE PRECIOS AL CONSUMIDOR</t>
  </si>
  <si>
    <t>GASTOS GENERALES</t>
  </si>
  <si>
    <t>MADERA IMPORTADA PARA ENCOFRADO Y CARPINTERIA</t>
  </si>
  <si>
    <t>HOJA DE PUERTA</t>
  </si>
  <si>
    <t>MARCO DE PUERTA</t>
  </si>
  <si>
    <t xml:space="preserve">MADERA NACIONAL  </t>
  </si>
  <si>
    <t>MADERA TERCIADA NACIONAL/ TERCIADA PARA ENCOFRADO</t>
  </si>
  <si>
    <t>TRIPLAY</t>
  </si>
  <si>
    <t>MALLA DE ACERO</t>
  </si>
  <si>
    <t>MAQUINARIA Y EQUIPO DE CONSTRUCCION LIVIANA</t>
  </si>
  <si>
    <t>PERFIL DE ACERO AL CARBONO</t>
  </si>
  <si>
    <t>ANGULO DE ACERO</t>
  </si>
  <si>
    <t>PERFIL DE ALUMINIO</t>
  </si>
  <si>
    <t>PINTURA LATEX</t>
  </si>
  <si>
    <t>DURALATEX</t>
  </si>
  <si>
    <t xml:space="preserve">IMPRIMANTE  </t>
  </si>
  <si>
    <t>SELLADOR</t>
  </si>
  <si>
    <t>PLANCHA DE FIBROCEMENTO Y YESO</t>
  </si>
  <si>
    <t>ADHESIVO Y MASILLA</t>
  </si>
  <si>
    <t>PLANCHA YESO</t>
  </si>
  <si>
    <t>PLANCHA FIBROCEMENTO</t>
  </si>
  <si>
    <t>PLANCHA DE POLIURETANO, POLIESTIRENO y TERMOAISLANTE</t>
  </si>
  <si>
    <t>POLIURETANO</t>
  </si>
  <si>
    <t>POLIESTIRENO</t>
  </si>
  <si>
    <t>SILICONA</t>
  </si>
  <si>
    <t>PLANCHA GALVANIZADA</t>
  </si>
  <si>
    <t>TUBERIA DE ACERO NEGRO Y/O GALVANIZADO</t>
  </si>
  <si>
    <t>TUBERIA DE DE PVC PARA REDES INTERIORES</t>
  </si>
  <si>
    <t>PVC -SAL DESAGUE</t>
  </si>
  <si>
    <t>PVC -SEL ELECTRICIDAD</t>
  </si>
  <si>
    <t>ACCESORIOS -PVC</t>
  </si>
  <si>
    <t>VALVULA DE BRONCE Y LATON</t>
  </si>
  <si>
    <t>VIDRIO</t>
  </si>
  <si>
    <t>ADITIVO DE CONCRETO Y SIMILAR</t>
  </si>
  <si>
    <t xml:space="preserve">ADITIVO DE CONCRETO  </t>
  </si>
  <si>
    <t>PEGAMENTO PARA ENCHAPE</t>
  </si>
  <si>
    <t>IMPLEMENTO Y ACCESORIO DE SEGURIDAD</t>
  </si>
  <si>
    <t>MADERA TERCIADA IMPORTADA</t>
  </si>
  <si>
    <t>PERFIL DE ACERO GALVANIZADO</t>
  </si>
  <si>
    <t>PINTURA ESMALTE Y EPOXICA</t>
  </si>
  <si>
    <t>ANGULO DE ALUMINIO</t>
  </si>
  <si>
    <t>PLANCHA CON CUBIERTA ALUZINC</t>
  </si>
  <si>
    <t>PLANCHA Y COBERTURA PLASTICA</t>
  </si>
  <si>
    <t>POLIPROPILENO</t>
  </si>
  <si>
    <t>TUBERIA DE POLIETILENO</t>
  </si>
  <si>
    <t>BIENES Y SERVICIOS AUXILIARES</t>
  </si>
  <si>
    <t>MADERA NACIONAL PARA ENCOFRADO Y CARPINTERIA</t>
  </si>
  <si>
    <t>EQUIPAMIENTO PERMANENTE DE OBRA</t>
  </si>
  <si>
    <t>EQUIPAMIENTO DE COCINA</t>
  </si>
  <si>
    <t>SISTEMA DE VIDEOVIGILANCIA</t>
  </si>
  <si>
    <t>INTERCOMUNICADOR</t>
  </si>
  <si>
    <t>ENCOFRADO Y ANDAMIO PREFABRICADO</t>
  </si>
  <si>
    <t>PUNTALES</t>
  </si>
  <si>
    <t>MICROCEMENTO</t>
  </si>
  <si>
    <t>FRAGUA</t>
  </si>
  <si>
    <t>CERAMICO PARA PISOS</t>
  </si>
  <si>
    <t>TUBO DE ACERO NEGRO</t>
  </si>
  <si>
    <t>TUBO DE ACERO GALVANIZADO</t>
  </si>
  <si>
    <t>ESPONJA PARA LIMPIA DE FRAGUA</t>
  </si>
  <si>
    <t>BARRA HELICOIDAL</t>
  </si>
  <si>
    <t>KIT DE INSTALACION,DESAGUE Y TRAMPA PARA LAVATORIO</t>
  </si>
  <si>
    <t>KIT DE ACCEOSORIOS PARA TANQUE DE INODORO</t>
  </si>
  <si>
    <t>ACEITE Y LUBRICANTE</t>
  </si>
  <si>
    <t>ACEITE LUBRICANTE</t>
  </si>
  <si>
    <t>ACEITE MULTIUSO WD-40</t>
  </si>
  <si>
    <t>BARRA DE ACERO LISO</t>
  </si>
  <si>
    <t>ACIDO MURIATICO</t>
  </si>
  <si>
    <t>RAFIA INDUTRIAL RIGIDA PARA GUIAS SEÑAL DEBIL COLOR AZUL</t>
  </si>
  <si>
    <t>ACCESORIOS</t>
  </si>
  <si>
    <t>PLANTAS</t>
  </si>
  <si>
    <t>PEGAMENTOS</t>
  </si>
  <si>
    <t>Cisterna de polietileno</t>
  </si>
  <si>
    <t xml:space="preserve">PAPEL, PLASTICO Y CARTON </t>
  </si>
  <si>
    <t>ACOPLE CORTO 1/2" x 1" BRONCE</t>
  </si>
  <si>
    <t>ACOPLE CORTO 1/2" x 1" BRONCE CROMADO</t>
  </si>
  <si>
    <t>ACOPLE LARGO 1/2" x 1 1/2" BRONCE CROMADO</t>
  </si>
  <si>
    <t>TUBERIA DE DE HIERRO FUNDIDO Y DUCTIL</t>
  </si>
  <si>
    <t xml:space="preserve">ABRAZADERA DE HIERRO </t>
  </si>
  <si>
    <t>PREPARACION</t>
  </si>
  <si>
    <t>BASE COLOR</t>
  </si>
  <si>
    <t>ACABADO</t>
  </si>
  <si>
    <t>PETROLEO DIESEL</t>
  </si>
  <si>
    <t xml:space="preserve">LATEX  </t>
  </si>
  <si>
    <t>silicona</t>
  </si>
  <si>
    <t>TOMACORRIENTE DOBLE UNIVERSAL + LÍNEA A TIERRA - IP65 EXTERIORES</t>
  </si>
  <si>
    <t>TOMACORRIENTE DOBLE UNIVERSAL + LÍNEA A TIERRA - IP65 EXTERIORES BTICINO®</t>
  </si>
  <si>
    <t>INTERRUPTORES - CONMUTADORES</t>
  </si>
  <si>
    <t>TABLERO DE 18 POLOS</t>
  </si>
  <si>
    <t>TABLERO DE 20 POLOS</t>
  </si>
  <si>
    <t>CAJA DE TABLERO METALICO CON RIEL DIN, TIERRA Y SALIDA DE MENEQUES</t>
  </si>
  <si>
    <t>TABLERO DE 6 POLOS (PARA DEPOSITOS)</t>
  </si>
  <si>
    <t>ITM - ID MONOFASICO</t>
  </si>
  <si>
    <t>ITM - ID TRIFASICO</t>
  </si>
  <si>
    <t>SERIE 25</t>
  </si>
  <si>
    <t>SERIE LIMATAMBO</t>
  </si>
  <si>
    <t>SERIE VITROVEN</t>
  </si>
  <si>
    <t>CODO THC PPR INSERTO HEMBRA DE 20MM X90°</t>
  </si>
  <si>
    <t>TUBERIA PP-R THC</t>
  </si>
  <si>
    <t xml:space="preserve">ADITIVO ACELERANTE DE CONCRETO SIKA-2 LIQUIDO </t>
  </si>
  <si>
    <t>ADITIVO IMPERMEABILIZANTE DE CONCRETO SIKA-1 EN POLVO 1KG</t>
  </si>
  <si>
    <t>CEMENTO CONDUCTIVO THORCEN</t>
  </si>
  <si>
    <t>BOTIQUIN</t>
  </si>
  <si>
    <t>EPC-EPP</t>
  </si>
  <si>
    <t>SEÑALIZACION</t>
  </si>
  <si>
    <t>CINTA DE SEGURIDAD COLOR AMARILLO</t>
  </si>
  <si>
    <t>ALCOHOL ISOPROPILICO 90% x 1litro</t>
  </si>
  <si>
    <t>ALCOHOL ISOPROPILICO 80% x 1litro</t>
  </si>
  <si>
    <t>ALCOHOL ISOPROPILICO 70% x 1litro</t>
  </si>
  <si>
    <t>ALCOHOL EN GEL</t>
  </si>
  <si>
    <t>ALICATE TRUPER</t>
  </si>
  <si>
    <t>GRIFERIA PARA LAVATORIO DE BAÑO GLAMOUR 8" VAINSA PICO ALTO</t>
  </si>
  <si>
    <t>PORCELANATO PARA AREA HUMEDA</t>
  </si>
  <si>
    <t xml:space="preserve">PORCELANATO </t>
  </si>
  <si>
    <t>CERRADURA</t>
  </si>
  <si>
    <t>ACERO INOXIDABLE</t>
  </si>
  <si>
    <t>TINTES</t>
  </si>
  <si>
    <t>NEOPRENO</t>
  </si>
  <si>
    <t>APLICADOR SILICONA</t>
  </si>
  <si>
    <t>TUBO DE ACERO</t>
  </si>
  <si>
    <t>PLANCHA</t>
  </si>
  <si>
    <t>CAJA DE PASO GALVANIZADA</t>
  </si>
  <si>
    <t>YEE 3"X3" PVC SAL</t>
  </si>
  <si>
    <t>YEE 4"X3" PVC SAL</t>
  </si>
  <si>
    <t>YEE 4"X4" PVC SAL</t>
  </si>
  <si>
    <t>YEE 6"X4" PVC SAL</t>
  </si>
  <si>
    <t>VALVULA</t>
  </si>
  <si>
    <t>VIDRIO LAMINADO</t>
  </si>
  <si>
    <t xml:space="preserve">VIDRIO CRUDO  </t>
  </si>
  <si>
    <t>VIDRIO TEMPLADO</t>
  </si>
  <si>
    <t>ESPEJOS</t>
  </si>
  <si>
    <t>ADHESIVO SIKAFLEX</t>
  </si>
  <si>
    <t>ADITIVO IMPERMEABILIZANTE CHEMA-SEAL GRIS 1 GALÓN + COMPLEMENTO LIQUIDO DE 1/2 LITRO</t>
  </si>
  <si>
    <t xml:space="preserve">EPOXICO  </t>
  </si>
  <si>
    <t>MORTERO CEMENTICIO</t>
  </si>
  <si>
    <t>SOLVENTES Y PEGAMENTO</t>
  </si>
  <si>
    <t>ESTRUCTURA DRYWALL</t>
  </si>
  <si>
    <t>SISTEMA UNISTRUT</t>
  </si>
  <si>
    <t>B</t>
  </si>
  <si>
    <t xml:space="preserve">ABRAZADERA 01 OREJA LIVIANA 3/8"  </t>
  </si>
  <si>
    <t xml:space="preserve">ABRAZADERA 01 OREJA LIVIANA 1/2"  </t>
  </si>
  <si>
    <t xml:space="preserve">ABRAZADERA 01 OREJA LIVIANA  3/4"  </t>
  </si>
  <si>
    <t xml:space="preserve">ABRAZADERA 01 OREJA LIVIANA 1"  </t>
  </si>
  <si>
    <t xml:space="preserve">ABRAZADERA 01 OREJA LIVIANA 1 1/4"  </t>
  </si>
  <si>
    <t xml:space="preserve">ABRAZADERA 01 OREJA LIVIANA 1 1/2"  </t>
  </si>
  <si>
    <t xml:space="preserve">ABRAZADERA 01 OREJA LIVIANA 2"  </t>
  </si>
  <si>
    <t xml:space="preserve">ABRAZADERA 01 OREJA LIVIANA 2 1/2"  </t>
  </si>
  <si>
    <t xml:space="preserve">ABRAZADERA 01 OREJA LIVIANA 3"  </t>
  </si>
  <si>
    <t xml:space="preserve">ABRAZADERA 01 OREJA LIVIANA 3 1/2"  </t>
  </si>
  <si>
    <t xml:space="preserve">ABRAZADERA 01 OREJA LIVIANA 4"  </t>
  </si>
  <si>
    <t xml:space="preserve">ABRAZADERA 01 OREJA EMT 1/2"  </t>
  </si>
  <si>
    <t xml:space="preserve">ABRAZADERA 01 OREJA EMT 3/4"  </t>
  </si>
  <si>
    <t xml:space="preserve">ABRAZADERA 01 OREJA EMT 1"  </t>
  </si>
  <si>
    <t xml:space="preserve">ABRAZADERA 01 OREJA EMT 1 1/4"  </t>
  </si>
  <si>
    <t xml:space="preserve">ABRAZADERA 01 OREJA EMT 1 1/2"  </t>
  </si>
  <si>
    <t xml:space="preserve">ABRAZADERA 01 OREJA EMT 2"  </t>
  </si>
  <si>
    <t xml:space="preserve">ABRAZADERA 01 OREJA EMT 2 1/2"  </t>
  </si>
  <si>
    <t xml:space="preserve">ABRAZADERA 01 OREJA EMT 3"  </t>
  </si>
  <si>
    <t xml:space="preserve">ABRAZADERA 01 OREJA EMT 3 1/2"  </t>
  </si>
  <si>
    <t xml:space="preserve">ABRAZADERA 02 OREJAS LIVIANA 3/8"  </t>
  </si>
  <si>
    <t xml:space="preserve">ABRAZADERA 02 OREJAS LIVIANA 1/2"  </t>
  </si>
  <si>
    <t xml:space="preserve">ABRAZADERA 02 OREJAS LIVIANA 5/8"  </t>
  </si>
  <si>
    <t xml:space="preserve">ABRAZADERA 02 OREJAS LIVIANA 3/4"  </t>
  </si>
  <si>
    <t xml:space="preserve">ABRAZADERA 02 OREJAS LIVIANA 1"  </t>
  </si>
  <si>
    <t xml:space="preserve">ABRAZADERA 02 OREJAS LIVIANA 1 1/4"  </t>
  </si>
  <si>
    <t xml:space="preserve">ABRAZADERA 02 OREJAS LIVIANA 1 1/2"  </t>
  </si>
  <si>
    <t xml:space="preserve">ABRAZADERA 02 OREJAS LIVIANA 2"  </t>
  </si>
  <si>
    <t xml:space="preserve">ABRAZADERA 02 OREJAS LIVIANA 2 1/2"  </t>
  </si>
  <si>
    <t xml:space="preserve">ABRAZADERA 02 OREJAS LIVIANA 3"  </t>
  </si>
  <si>
    <t xml:space="preserve">ABRAZADERA 02 OREJAS LIVIANA 3 1/2"  </t>
  </si>
  <si>
    <t xml:space="preserve">ABRAZADERA 02 OREJAS LIVIANA 4"  </t>
  </si>
  <si>
    <t xml:space="preserve">ABRAZADERA 02 OREJAS LIVIANA 5"  </t>
  </si>
  <si>
    <t xml:space="preserve">ABRAZADERA 02 OREJAS LIVIANA 6"  </t>
  </si>
  <si>
    <t xml:space="preserve">ABRAZADERA TIPO GOTA 1/2"  </t>
  </si>
  <si>
    <t xml:space="preserve">ABRAZADERA TIPO GOTA 3/4"  </t>
  </si>
  <si>
    <t xml:space="preserve">ABRAZADERA TIPO GOTA 1"  </t>
  </si>
  <si>
    <t xml:space="preserve">ABRAZADERA TIPO GOTA 1 1/4"  </t>
  </si>
  <si>
    <t xml:space="preserve">ABRAZADERA TIPO GOTA 1 1/2"  </t>
  </si>
  <si>
    <t xml:space="preserve">ABRAZADERA TIPO GOTA 2"  </t>
  </si>
  <si>
    <t xml:space="preserve">ABRAZADERA TIPO GOTA 2 1/2"  </t>
  </si>
  <si>
    <t xml:space="preserve">ABRAZADERA TIPO GOTA 3"  </t>
  </si>
  <si>
    <t xml:space="preserve">ABRAZADERA TIPO GOTA 3 1/2"  </t>
  </si>
  <si>
    <t xml:space="preserve">ABRAZADERA TIPO GOTA 4" x 1.5mm  </t>
  </si>
  <si>
    <t xml:space="preserve">ABRAZADERA TIPO GOTA 4" x 2.0mm </t>
  </si>
  <si>
    <t xml:space="preserve">ABRAZADERA TIPO GOTA 5"  </t>
  </si>
  <si>
    <t xml:space="preserve">ABRAZADERA TIPO GOTA 6"  </t>
  </si>
  <si>
    <t xml:space="preserve">ABRAZADERA TIPO GOTA 8"  </t>
  </si>
  <si>
    <t>ABRAZADERA UNISTRUT 1/2" C/PERNO Y TUERCA</t>
  </si>
  <si>
    <t>ABRAZADERA UNISTRUT 3/4" C/PERNO Y TUERCA</t>
  </si>
  <si>
    <t>ABRAZADERA UNISTRUT 1" C/PERNO Y TUERCA</t>
  </si>
  <si>
    <t>ABRAZADERA UNISTRUT 1 1/4" C/PERNO Y TUERCA</t>
  </si>
  <si>
    <t>ABRAZADERA UNISTRUT 1 1/2" C/PERNO Y TUERCA</t>
  </si>
  <si>
    <t>ABRAZADERA UNISTRUT 2" C/PERNO Y TUERCA</t>
  </si>
  <si>
    <t>ABRAZADERA UNISTRUT 2 1/2" C/PERNO Y TUERCA</t>
  </si>
  <si>
    <t>ABRAZADERA UNISTRUT 3" C/PERNO Y TUERCA</t>
  </si>
  <si>
    <t>ABRAZADERA UNISTRUT 4" C/PERNO Y TUERCA</t>
  </si>
  <si>
    <t>ACERO LISO REDONDO 5/8" x 6m</t>
  </si>
  <si>
    <t>ALCAYATA ESTRIADA 1" (2.7 x 25mm) 500gr</t>
  </si>
  <si>
    <t>ALCAYATA ESTRIADA 1 1/2" (2.7 x 40mm) 500gr</t>
  </si>
  <si>
    <t>ALCAYATA ESTRIADA 1 1/2" (3.5 x 40mm) 500gr</t>
  </si>
  <si>
    <t>ALCAYATA ESTRIADA 2" (3.5 x 50mm) 500gr</t>
  </si>
  <si>
    <t>ALCAYATA ESTRIADA 2" (3.7 x 50mm) 500gr</t>
  </si>
  <si>
    <t>ALCAYATA ESTRIADA 2 1/2" (3.5 x 63mm) 500gr</t>
  </si>
  <si>
    <t>ALCAYATA ESTRIADA 3" (4.3 x 75mm) 500gr</t>
  </si>
  <si>
    <t>ALCAYATA ESTRIADA 4" (4.3 x 100mm) 500gr</t>
  </si>
  <si>
    <t>ALCAYATA ESTRIADA 5" (125mm) 500gr</t>
  </si>
  <si>
    <t>ALCAYATA ESTRIADA 1 1/2" (3.7 x 38mm) 500gr</t>
  </si>
  <si>
    <t xml:space="preserve">CLAVO DE ACERO ESTRIADO VERTICAL 1 1/2" (2.7 x 40mm) Cja x 500gr </t>
  </si>
  <si>
    <t>CLAVO DE ACERO ESTRIADO VERTICAL 2" (3.5 x 50mm) Cja x 500gr</t>
  </si>
  <si>
    <t>CLAVO DE ACERO ESTRIADO VERTICAL 2 1/2" (3.5 x 63mm) Cja x 500gr</t>
  </si>
  <si>
    <t>CLAVO DE ACERO ESTRIADO VERTICAL 3" (4.3 x 75mm) Cja x 500gr</t>
  </si>
  <si>
    <t xml:space="preserve">CLAVO DE ACERO ESTRIADO VERTICAL 4" (4.3 x 100mm) Cja x 500gr </t>
  </si>
  <si>
    <t>CLAVIJA DE IMPACTO PARA DRYWALL 3/4"  Cja x 100 und</t>
  </si>
  <si>
    <t>CLAVIJA DE IMPACTO PARA DRYWALL 1" Cja x 100 und</t>
  </si>
  <si>
    <t>CLAVIJA DE IMPACTO PARA DRYWALL 1 1/4" Cja x 100 und</t>
  </si>
  <si>
    <t>CLAVIJA DE IMPACTO PARA DRYWALL 1 1/2" Cja x 100 und</t>
  </si>
  <si>
    <t>CLAVIJA DE IMPACTO PARA DRYWALL 2" Cja x 100 und</t>
  </si>
  <si>
    <t>ARANDELA CON NEOPRENO N°10 (VOLANDA)</t>
  </si>
  <si>
    <t>ARANDELA CON NEOPRENO N°12 (VOLANDA)</t>
  </si>
  <si>
    <t>PERNO CABEZA DE COCHE 3/8  X 2"</t>
  </si>
  <si>
    <t>PERNO CABEZA DE COCHE 1/4  X 1"</t>
  </si>
  <si>
    <t>PERNO CABEZA DE COCHE 1/4  X 1 1/4"</t>
  </si>
  <si>
    <t>PERNO CABEZA DE COCHE 1/4  X 1 1/2"</t>
  </si>
  <si>
    <t>PERNO CABEZA DE COCHE 1/4  X 2"</t>
  </si>
  <si>
    <t>PERNO CABEZA DE COCHE 1/4  X 2 1/2"</t>
  </si>
  <si>
    <t>PERNO CABEZA DE COCHE 1/4  X 3"</t>
  </si>
  <si>
    <t>PERNO TIRAFÓN 1/4 x 2 1/2"</t>
  </si>
  <si>
    <t>PERNO TIRAFÓN 1/4 x 2"</t>
  </si>
  <si>
    <t>TACOS DE EXPANSION 3/8"</t>
  </si>
  <si>
    <t>TORNILLO STOVEBOLT LARGO 1 1/2" PARA CAJA RECTANGULAR</t>
  </si>
  <si>
    <t>TORNILLO STOVEBOLT LARGO 1" PARA CAJA RECTANGULAR</t>
  </si>
  <si>
    <t>TORNILLO STOVEBOLT LARGO 2 1/2 PARA CAJA RECTANGULAR</t>
  </si>
  <si>
    <t>TORNILLO STOVEBOLT LARGO 2 PARA CAJA RECTANGULAR</t>
  </si>
  <si>
    <t>TORNILLO STOVEBOLT LARGO 3 PARA CAJA RECTANGULAR</t>
  </si>
  <si>
    <t>TORNILLO STOVEBOLT LARGO 1 1/2" PARA CAJA OCTOGONAL</t>
  </si>
  <si>
    <t>TORNILLO STOVEBOLT LARGO 1" PARA CAJA OCTOGONAL</t>
  </si>
  <si>
    <t>TORNILLO STOVEBOLT LARGO 2 1/2 PARA CAJA OCTOGONAL</t>
  </si>
  <si>
    <t>TORNILLO STOVEBOLT LARGO 2 PARA CAJA OCTOGONAL</t>
  </si>
  <si>
    <t>TORNILLO STOVEBOLT LARGO 3 PARA CAJA OCTOGONAL</t>
  </si>
  <si>
    <t>TORNILLO WAFER PUNTA BROCA 8X1/2"</t>
  </si>
  <si>
    <t>TUERCA HEXAGONAL 3/8"</t>
  </si>
  <si>
    <t>TORNILLO PUNTA FINA (GYPLAC) 6X1</t>
  </si>
  <si>
    <t>TORNILLO PUNTA BROCA 6X1</t>
  </si>
  <si>
    <t>BORNERA A TIERRA PARA RIEL DIN JCUK-10JD</t>
  </si>
  <si>
    <t>BORNERA A TIERRA PARA RIEL DIN JCUK-16JD</t>
  </si>
  <si>
    <t>PEINE DE ALIMENTACION MONOFASICO X 1.0M</t>
  </si>
  <si>
    <t>PEINE DE ALIMENTACION TRIFÁSICO X 1.0M</t>
  </si>
  <si>
    <t>TABLERO DE EQUIPONTECIAL SEGÚN ESPECIFICACION</t>
  </si>
  <si>
    <t>TERMINAL TIPO OJO 6m2</t>
  </si>
  <si>
    <t>TERMINAL TIPO OJO 8Mm2</t>
  </si>
  <si>
    <t>TERMINAL TUBULAR 2.5Mm2 x 100 und</t>
  </si>
  <si>
    <t>TERMINAL TUBULAR 4Mm2 x 100 und</t>
  </si>
  <si>
    <t>TERMINAL TUBULAR 10Mm2 x 100 und</t>
  </si>
  <si>
    <t>TERMINAL TIPO PIN 1.5Mm2 x 100 und</t>
  </si>
  <si>
    <t>TERMINAL TUBULAR 1.5Mm2 x 100 und</t>
  </si>
  <si>
    <t>CABLE NH-90 2.5 Mm2 COLOR AMARILLO TIERRA</t>
  </si>
  <si>
    <t>CABLE NH-90 2.5 Mm2 COLOR AZUL</t>
  </si>
  <si>
    <t>CABLE NH-90 2.5 Mm2 COLOR BLANCO</t>
  </si>
  <si>
    <t>CABLE NH-90 1.5 Mm2 COLOR AMARILLO TIERRA</t>
  </si>
  <si>
    <t>CABLE NH-90 1.5 Mm2 COLOR AZUL</t>
  </si>
  <si>
    <t>CABLE NH-90 1.5 Mm2 COLOR BLANCO</t>
  </si>
  <si>
    <t>CABLE NH-80 1.5 Mm2 COLOR NEGRO</t>
  </si>
  <si>
    <t>CABLE NH-80 1.5 Mm2 COLOR ROJO</t>
  </si>
  <si>
    <t>CABLE VULCANIZADO NLT AWG # 2X12</t>
  </si>
  <si>
    <t>CABLE VULCANIZADO NLT AWG # 3X12</t>
  </si>
  <si>
    <t>CABLE VULCANIZADO NLT AWG # 3X10</t>
  </si>
  <si>
    <t>CABLE VULCANIZADO NLT AWG # 2X10</t>
  </si>
  <si>
    <t>INODORO FRIDA TREBOL</t>
  </si>
  <si>
    <t>TIRA CINTA LED X 5 METROS OPALUX</t>
  </si>
  <si>
    <t>MENEQUES DE TOMA MACHO EMPOTRABLE 16 AMP 2P + TIERRA AZUL 6H1PP44</t>
  </si>
  <si>
    <t>MENEQUE DE TOMA HEMBRA EMPOTRABLE 16 AMP 2P + TIERRA AZUL 6H1PP44</t>
  </si>
  <si>
    <t>MENEQUE DE TOMA HEMBRA AEREO 16 AMP 2P + TIERRA AZUL 6H1PP44</t>
  </si>
  <si>
    <t>LADRILLO DE TECHO 30X30X15</t>
  </si>
  <si>
    <t>LAVATORIO PARA BAÑO BAJO ENCIMERA DE EMPOTRAR NUEVO SARATOGA II BLANCO KLIPEN</t>
  </si>
  <si>
    <t xml:space="preserve">LAVATORIO PARA BAÑO BAJO ENCIMERA NUEVO OVALIN KLIPEN </t>
  </si>
  <si>
    <t>LAVATORIO PARA BAÑO SOBRE ENCIMERA MODERNA DE VAINSA</t>
  </si>
  <si>
    <t>LAVADERO DE LAVANDERIAS AMAZONAS BLANCO ESTANDAR TREBOL</t>
  </si>
  <si>
    <t>LAVADERO DE LAVANDERIAS AMAZONAS BLANCO PLUS TREBOL</t>
  </si>
  <si>
    <t>GRIFERIA PARA LAVATORIO DE BAÑO GLAMOUR DURACROM 8" VAINSA PICO BAJO</t>
  </si>
  <si>
    <t>CABLE NH-90 2.5 Mm2 COLOR NEGRO</t>
  </si>
  <si>
    <t>CABLE NH-90 2.5 Mm2 COLOR ROJO</t>
  </si>
  <si>
    <t>CABLE NH-90 4 Mm2 COLOR AMARILLO TIERRA</t>
  </si>
  <si>
    <t>CABLE NH-90 4 Mm2 COLOR NEGRO</t>
  </si>
  <si>
    <t>CABLE NH-90 4 Mm2 COLOR ROJO</t>
  </si>
  <si>
    <t>BISAGRA OMEGA 3”X 3” INOX (VENEZIA)</t>
  </si>
  <si>
    <t xml:space="preserve">CHAPA ELECTRONICA DE PÚERTA DE INGRESO A DPTO </t>
  </si>
  <si>
    <t xml:space="preserve">BISAGRA CAPUCHINA BRONCEADA PESADA X-TREMA 3"X3" </t>
  </si>
  <si>
    <t>BISAGRA PESADA 4X3" PUERTA PRINCIPAL UYUSTOOLS NIQUELADO</t>
  </si>
  <si>
    <t>BISAGRA PARA SOLDAR HECHIZA 3/8 X 3" (X PAR)</t>
  </si>
  <si>
    <t>BISAGRA PARA SOLDAR HECHIZA 5/8 X 4" (X PAR)</t>
  </si>
  <si>
    <t>CABLE ACERADO 1/4" CON ALMA DE ACERO</t>
  </si>
  <si>
    <t>CABLE ACERADO 3/8" CON ALMA DE ACERO</t>
  </si>
  <si>
    <t>CABLE ACERADO 1/2" CON ALMA DE ACERO</t>
  </si>
  <si>
    <t>CABLE DE COBRE DESNUDO 25Mm2</t>
  </si>
  <si>
    <t>BORNE DE TIERRA 25Mm2</t>
  </si>
  <si>
    <t>TOPE DE PUERTA MEDIA LUNA PARA PISO</t>
  </si>
  <si>
    <t xml:space="preserve">TOPE DE PUERTA ROSCADO PLATEADO (ZINCADO) </t>
  </si>
  <si>
    <t>BROCA ACERO (HSS) 1/8"</t>
  </si>
  <si>
    <t>BROCA ACERO (HSS) 5/32"</t>
  </si>
  <si>
    <t>BROCA ACERO (HSS) 6/16"</t>
  </si>
  <si>
    <t>BROCA SDS PLUS 3/8"-8/10" PARA CONCRETO</t>
  </si>
  <si>
    <t>BROCA SDS PLUS 3/8"-6/8" PARA CONCRETO</t>
  </si>
  <si>
    <t>BROCA SDS PLUS 3/8"-4/6" PARA CONCRETO</t>
  </si>
  <si>
    <t>BROCA SDS PLUS 3/8"-10/12" PARA CONCRETO</t>
  </si>
  <si>
    <t>BROCA SDS PLUS 5/8"-6/8"PARA CONCRETO</t>
  </si>
  <si>
    <t>BROCA SDS PLUS 5/8"-4/6 PARA CONCRETO</t>
  </si>
  <si>
    <t>BROCA SDS PLUS 5/8"-8/10" PARA CONCRETO</t>
  </si>
  <si>
    <t>BROCA SDS PLUS 1/2"-8/10" PARA CONCRETO</t>
  </si>
  <si>
    <t>BROCA SDS PLUS 1/2"-6/8" PARA CONCRETO</t>
  </si>
  <si>
    <t>BROCA SDS PLUS 3/16"-8/10" PARA CONCRETO</t>
  </si>
  <si>
    <t>BROCA SDS PLUS 1/2"-4/6" PARA CONCRETO</t>
  </si>
  <si>
    <t>BROCA SDS PLUS 1/4"-4/6" PARA CONCRETO</t>
  </si>
  <si>
    <t>BROCA SDS PLUS 1/4"-6/8" PARA CONCRETO</t>
  </si>
  <si>
    <t xml:space="preserve">BROCA DE PALETA DE 7/8" BOSCH </t>
  </si>
  <si>
    <t>BROCA PUNTA FLECHA 1/4"</t>
  </si>
  <si>
    <t>BROCA ACERO (HSS) 3/16"</t>
  </si>
  <si>
    <t>BROCA ACERO (HSS) 7/64"</t>
  </si>
  <si>
    <t>COPA DIAMANTADA 2-1/2" CON GUIA Y ADAPTADOR</t>
  </si>
  <si>
    <t>COPA DIAMANTADA 1"1/2 CON GUIA Y ADAPTADOR</t>
  </si>
  <si>
    <t>COPA DIAMANTADA 2" CON GUIA Y ADAPTADOR</t>
  </si>
  <si>
    <t>COPA DIAMANTADA 3" CON GUIA Y ADAPTADOR</t>
  </si>
  <si>
    <t>COPA DIAMANTADA 4" CON GUIA Y ADAPTADOR</t>
  </si>
  <si>
    <t>COPA SIERRA 2-1/2" CON GUIA Y ADAPTADOR</t>
  </si>
  <si>
    <t>COPA SIERRA 3" CON GUIA Y ADAPTADOR</t>
  </si>
  <si>
    <t>BROCA PARA PERCUTOR D-34182 400mm MAKITA</t>
  </si>
  <si>
    <t>BROCA ESCALONADA 1/4" a 1-3/8"</t>
  </si>
  <si>
    <t>CINTA AISLANTE NEGRO 3M</t>
  </si>
  <si>
    <t>CINTA AISLANTE AZUL 3M</t>
  </si>
  <si>
    <t>CINTA AISLANTE VERDE 3M</t>
  </si>
  <si>
    <t>CINTA AISLANTE ROJO 3M</t>
  </si>
  <si>
    <t>INODORO UNIVERSAL TREBOL</t>
  </si>
  <si>
    <t>INODORO ONE PIECE EVOLUTION 2.0 TREBOL</t>
  </si>
  <si>
    <t>LAVATORIO PARA BAÑO SOBRE ENCIMERA EVA KIPLEN</t>
  </si>
  <si>
    <t xml:space="preserve">LAVATORIO PARA BAÑO SOBRE ENCIMERA BOWL BALI VAINSA </t>
  </si>
  <si>
    <t>LAVADERO DE LAVANDERIAS MINBELL TREBOL</t>
  </si>
  <si>
    <t xml:space="preserve">LAVATORIO PARA BAÑO SOBRE ENCIMERA DIVANI TREBOL </t>
  </si>
  <si>
    <t>LAVATORIO PARA BAÑO SOBRE ENCIMERA RAVENNA CORONA</t>
  </si>
  <si>
    <t>LAVATORIO PARA BAÑO BAJO ENCIMERA MAXBELL TREBOL</t>
  </si>
  <si>
    <t>LAVATORIO PARA BAÑO BAJO ENCIMERA CHINO RECTANGULAR</t>
  </si>
  <si>
    <t>LAVATORIO PARA BAÑO BAJO ENCIMERA CHINO OVALADO</t>
  </si>
  <si>
    <t>CABECERA DE DUCHA MOD: ARTIK TEKA</t>
  </si>
  <si>
    <t>MEZCLADORA DUCHA MONOCOMANDO MOD. GLAMOUR VAINSA</t>
  </si>
  <si>
    <t>MEZCLADORA DUCHA MONOCOMANDO MOD. TEMPRA TREBOL</t>
  </si>
  <si>
    <t>MEZCLADORA DUCHA MONOCOMANDO FOCUS COD. 31961000 HANSGROHE</t>
  </si>
  <si>
    <t>GRIFERIA MEZCLADOR MONOCOMANDO DE COCINA 240/2 CHORROS COD. 31833000 HANSGROHE</t>
  </si>
  <si>
    <t>GRIFERIA PARA LAVATORIO DE BAÑO FOCUS 100 COOLSTAR COD. 31509000 PICO BAJO HANSGROHE</t>
  </si>
  <si>
    <t>GRIFERIA PARA LAVATORIO DE BAÑO FOCUS 190 COD. 31518000 PICO ALTO HANSGROHE</t>
  </si>
  <si>
    <t>MEZCLADORA MONOCOMANDO PARA BAÑERA FOCUS E2 COD. 31947000 HANSGROHE</t>
  </si>
  <si>
    <t xml:space="preserve">CONJUNTO PARA MEZCLADORA DUCHA MONOCOMANDO COD. 13620180 HANSGROHE </t>
  </si>
  <si>
    <t>CONJUNTO PARA MEZCLADORA MONOCOMANDO BAÑERA COD.  31741180 HANSGROHE</t>
  </si>
  <si>
    <t>TOMA DE PARED TOMA FIXFIT C/ VALVULA ANTIRETORNO COD. 26453000 HANSGROHE</t>
  </si>
  <si>
    <t>DUCHA TELEFONO ECO SMART COD. 26278000 HANSGROHE</t>
  </si>
  <si>
    <t>CABECERA DE DUCHA COD. BSK101 HANSGROHE</t>
  </si>
  <si>
    <t>NIPLE 1/2" BRONCE HANSGROHE</t>
  </si>
  <si>
    <t>GRIFERIA FDV SMART PRO 3.0 BLACK PARA POZA DE COCINA</t>
  </si>
  <si>
    <t>GRIFERIA TEMPRA MEZCLADORA MONOCOMANDO A LA PARED PARA LAVATORIO</t>
  </si>
  <si>
    <t>GRIFERIA CAMBRIA PICO ALTO</t>
  </si>
  <si>
    <t>GRIFERIA TOSCANA PICO ALTO</t>
  </si>
  <si>
    <t>GRIFERIA  DE 1/2" LLAVE ECO TIPO T PARA LAVARROPA COD. 610000457 TREBOL</t>
  </si>
  <si>
    <t>GRIFERIA PARA LAVATORIO SAONA TREBOL (GUARDIANIA)</t>
  </si>
  <si>
    <t>TUBO DE ABASTO 1/2" X 1/2" X 35CM P/ LAVATORIO METUSA</t>
  </si>
  <si>
    <t>TUBO DE ABASTO 1/2" X 7/8" X35CM P/INODORO METUSA</t>
  </si>
  <si>
    <t>TUBO DE ABASTO 1/2" X 1/2" X 35CM P/ LAVATORIO PROVISIONAL</t>
  </si>
  <si>
    <t>DESAGÜE DE LAVATORIO TIPO PUSH CON REBOSE 11/4 (3,18 CM) X 10" (25CM) METUSA</t>
  </si>
  <si>
    <t>DESAGÜE DE LAVATORIO TIPO PUSH SIN REBOSE 11/4 (3,18 CM) X 10" (25CM) METUSA</t>
  </si>
  <si>
    <t>TRAMPA P DE POLIPROPILENO 1 1/4 - 1 1/2 CON CONECTOR PARA LAVATORIO DE BAÑO METUSA</t>
  </si>
  <si>
    <t>KIT DE INSTALACION,DESAGUE Y TRAMPA PARA POZA DE LAVADERO DE COCINA TEKA</t>
  </si>
  <si>
    <t>CANASTILLA PARA POZA DE LAVADERO CON REBOSE COD. 61001302 TEKA</t>
  </si>
  <si>
    <t>SIFON CONEXIÓN PARA LAVAPLATOS DE 1 CUBETA TEKA</t>
  </si>
  <si>
    <t>SIFON CONEXIÓN PARA LAVAPLATOS DE 2 CUBETAS TEKA</t>
  </si>
  <si>
    <t>LAVADERO DE COCINA PARA EMPOTRAR CON REBOSE TEKA BE 40.34 CM CON ACCESORIOS</t>
  </si>
  <si>
    <t>LAVADERO DE COCINA PARA EMPOTRAR CON REBOSE TEKA EMPOTRABLE 40.40.20 CM CON ACCESORIOS</t>
  </si>
  <si>
    <t>LAVADERO DE COCINA PARA EMPOTRAR SIN REBOSE TEKA EMPOTRABLE 30.18-8 S/R DOBLE POZA CON ACCESORIOS</t>
  </si>
  <si>
    <t>LAVADERO DE COCINA PARA EMPOTRAR LINEA RS15 40.40.50 TEKA CON ACCESORIOS</t>
  </si>
  <si>
    <t>KIT DE BAÑO DACQUA SENSI CROMADO (TOALLERO, PAPELERO, ETC.)</t>
  </si>
  <si>
    <t>SUMIDERO REDONDO BRONCE JARDINERA 2"</t>
  </si>
  <si>
    <t>SUMIDERO REDONDO BRONCE JARDINERA 3"</t>
  </si>
  <si>
    <t>REGISTRO REDONDO BRONCE JARDINERA 2"</t>
  </si>
  <si>
    <t>REGISTRO REDONDO BRONCE JARDINERA 3"</t>
  </si>
  <si>
    <t>REGISTRO REDONDO BRONCE JARDINERA 4"</t>
  </si>
  <si>
    <t>APLIQUE DE BRACKET EN PARED PARA EXTERIOR (TERRAZA)</t>
  </si>
  <si>
    <t>APLIQUE DE PARED BRACKET CARSON BLANCO</t>
  </si>
  <si>
    <t>APLIQUE DE PARED BRACKET CARSON NEGRO</t>
  </si>
  <si>
    <t>APLIQUE DE PARED BRACKET LUXOR BLANCO</t>
  </si>
  <si>
    <t>APLIQUE DE PARED BRACKET LUXOR NEGRO</t>
  </si>
  <si>
    <t>APLIQUE DE PARED BRACKET VEGONIA PLATA</t>
  </si>
  <si>
    <t>APLIQUE DE PARED EN PELDAÑOS DE ESCALERAS (LUZ GUIA)</t>
  </si>
  <si>
    <t>SOCKET OVAL ROSCA 4 1/2"</t>
  </si>
  <si>
    <t>SOCKET OVAL ROSCA 4 1/2" PROVISIONAL</t>
  </si>
  <si>
    <t>FOCO DICROICO 7W LUZ CALIDA</t>
  </si>
  <si>
    <t>FOCO DICROICO 8W LUZ CALIDA</t>
  </si>
  <si>
    <t>FOCO DICROICO 9W LUZ CALIDA</t>
  </si>
  <si>
    <t>FOCO AHORRADOR 9W LUZ CALIDA</t>
  </si>
  <si>
    <t>FOCO AHORRADOR 12W LUZ CALIDA</t>
  </si>
  <si>
    <t>FOCO AHORRADOR 13W LUZ CALIDA</t>
  </si>
  <si>
    <t xml:space="preserve">FOCO AHORRADOR 9W LUZ FRIA </t>
  </si>
  <si>
    <t>FOCO DICROICO 10W LUZ CALIDA</t>
  </si>
  <si>
    <t>PANEL DE EMBUTIR PARA EMPOTRAR CON DICROICO INCORPORADO 15W BLANCO</t>
  </si>
  <si>
    <t>PANEL DE EMBUTIR PARA EMPOTRAR CON DICROICO INCORPORADO 8W NEGRO</t>
  </si>
  <si>
    <t>PANEL DE EMBUTIR PARA EMPOTRAR CON DICROICO INCORPORADO 8W BLANCO</t>
  </si>
  <si>
    <t>ACOPLE LARGO 1/2" x 1" BRONCE</t>
  </si>
  <si>
    <t>KIT DE BAÑO ROMANTIK CROMADO 4 PIEZAS VAINSA</t>
  </si>
  <si>
    <t>PRENSA-ESTOPAS DE 3/4" METALICA</t>
  </si>
  <si>
    <t>INTERRUPTOR SIMPLE PROVISIONAL</t>
  </si>
  <si>
    <t>INTERRUPTOR DOBLE PROVISIONAL</t>
  </si>
  <si>
    <t>INTERRUPTOR TRIPLE PROVISIONAL</t>
  </si>
  <si>
    <t>CONMUTADOR SIMPLE PROVISIONAL</t>
  </si>
  <si>
    <t>CONMUTADOR DOBLE PROVISIONAL</t>
  </si>
  <si>
    <t>CONMUTADOR TRIPLE PROVISIONAL</t>
  </si>
  <si>
    <t>TOMACORRIENTE DOBLE UNIVERSAL + LÍNEA A TIERRA PROVISIONAL</t>
  </si>
  <si>
    <t>DIN DON DE TIMBRE OPALUX</t>
  </si>
  <si>
    <t>PULSADOR DE TIMBRE PROVISIONAL</t>
  </si>
  <si>
    <t>TAPA CIEGA RECTANGULAR PVC 10X5CM KBA</t>
  </si>
  <si>
    <t>TAPA CIEGA REDONDA PVC 10X10CM KBA</t>
  </si>
  <si>
    <t>PLACA + SOPORTE 3 MODULO AH5S3EB BTICINO® LINEA MODUS 4</t>
  </si>
  <si>
    <t>DADO INTERRUPTOR 3 VÍAS 10AX-250V BLANCO SIN PLACA BTICINO® LINEA MODUS 4</t>
  </si>
  <si>
    <t>CAJA IDROBOX BTICINO®</t>
  </si>
  <si>
    <t>CAJA IDROBOX OPALUX</t>
  </si>
  <si>
    <t>CAJA UNIVERSAL / MODULAR BTICINO®</t>
  </si>
  <si>
    <t>CAJA UNIVERSAL / MODULAR KBA</t>
  </si>
  <si>
    <t>DETECTOR DE HUMO CENTRALIZADO HIDROSERVICE</t>
  </si>
  <si>
    <t>CERRADURA DE MANIJA Y CHAPA DE PUERTA CANTOL DANNA (baños)</t>
  </si>
  <si>
    <t>CERRADURA DE MANIJA Y CHAPA DE PUERTA CANTOL DANNA (Dormitorios)</t>
  </si>
  <si>
    <t>CHAPA SPAINOX COLOR NEGRO</t>
  </si>
  <si>
    <t>KIT CERRADURA DE EMBUTIR A20 CON MANIJA Y CILINDRO YALE</t>
  </si>
  <si>
    <t>BISAGRA DOBLE ACCIÓN (VAIVEN) YALE</t>
  </si>
  <si>
    <t>CHAPA BOLA PARA BAÑO POMOKNOBSET YALE</t>
  </si>
  <si>
    <t>DISCO DE CORTE PARA METAL 7" X 1/16" NORTON</t>
  </si>
  <si>
    <t>DISCO DE CORTE PARA METAL 7" X 1/16" DEWALT</t>
  </si>
  <si>
    <t>WINCHA 8M/26 STANLEY</t>
  </si>
  <si>
    <t>PLOMADA DE PUNTA FINA</t>
  </si>
  <si>
    <t>NIVEL DE MANO</t>
  </si>
  <si>
    <t>CORRECTOR</t>
  </si>
  <si>
    <t>LAPIZ BICOLOR</t>
  </si>
  <si>
    <t>ESCUADRA METALICA</t>
  </si>
  <si>
    <t>DISCO DIAMANTADO 9" ECO BOSCH</t>
  </si>
  <si>
    <t>CRUCETAS CON TOPE 1 MM und X 100 PIEZAS</t>
  </si>
  <si>
    <t>NIVELADOR TIPO ROSCA (TORNADO) 2MM</t>
  </si>
  <si>
    <t>DISCO PARA PULIR C/5 LIJAS 4 1/2 PULG - 180MM UYUSTOOLS</t>
  </si>
  <si>
    <t>LIJA AL AGUA GRANO 120 ABRALIT</t>
  </si>
  <si>
    <t>LIJA AL AGUA GRANO 1200 ABRALIT</t>
  </si>
  <si>
    <t>LIJA AL AGUA GRANO 180 ABRALIT</t>
  </si>
  <si>
    <t>LIJA AL AGUA GRANO 220 ABRALIT</t>
  </si>
  <si>
    <t>LIJA AL AGUA GRANO 260 ABRALIT</t>
  </si>
  <si>
    <t>LIJA AL AGUA GRANO 360 ABRALIT</t>
  </si>
  <si>
    <t>LIJA AL AGUA GRANO 600 ABRALIT</t>
  </si>
  <si>
    <t>LIJA NORTON DE MADERA #800</t>
  </si>
  <si>
    <t>LIJA NORTON DE MADERA #1200</t>
  </si>
  <si>
    <t>LIJA NORTON DE MADERA #240</t>
  </si>
  <si>
    <t>LIJA DE ACERO #40 ABRALIT</t>
  </si>
  <si>
    <t>LIJA DE ACERO #60 ABRALIT</t>
  </si>
  <si>
    <t xml:space="preserve">LIJA DE ACERO #80 ABRALIT </t>
  </si>
  <si>
    <t xml:space="preserve">LIJA DE ACERO #150 ABRALIT </t>
  </si>
  <si>
    <t>LIJA CIRCULAR CON PEGATINA DE 4 PULG #120</t>
  </si>
  <si>
    <t>LIJA CIRCULAR CON PEGATINA DE 4 PULG #220</t>
  </si>
  <si>
    <t>LIJA CIRCULAR CON PEGATINA DE 7 PULG #220</t>
  </si>
  <si>
    <t>LIJA CIRCULAR CON PEGATINA DE 9 PULG #120</t>
  </si>
  <si>
    <t>LIJA CIRCULAR CON PEGATINA DE 9 PULG #150</t>
  </si>
  <si>
    <t>LIJA CIRCULAR CON PEGATINA DE 10 PULG #120</t>
  </si>
  <si>
    <t xml:space="preserve">LIJA DE PARQUET #24 </t>
  </si>
  <si>
    <t>DERTERGENTE X 13.5 kg</t>
  </si>
  <si>
    <t>PAPEL KRAF (EMPAPELADO)</t>
  </si>
  <si>
    <t>MICROFIBRA VERDE LIMON/PLOMO (LIMPIEZA)</t>
  </si>
  <si>
    <t>LISTONES DE MADERA TORNILLO DE 2"x2"x10´</t>
  </si>
  <si>
    <t>TAPAJUNTA TABACO (GUIA HEMBRA + MOLDURA)</t>
  </si>
  <si>
    <t>TAPAJUNTA GRIS (GUIA HEMBRA + MOLDURA)</t>
  </si>
  <si>
    <t>TAPAJUNTA NEGRO (GUIA HEMBRA + MOLDURA)</t>
  </si>
  <si>
    <t>PALANCA/VITROVEN color Negro</t>
  </si>
  <si>
    <t xml:space="preserve">CINTA MALLA </t>
  </si>
  <si>
    <t>PLANCHA DE POLIESTIRENO EXPANDIDO DE 1" 1.20 X 2.40 METROS</t>
  </si>
  <si>
    <t>PLANCHA DE POLIESTIRENO EXPANDIDO DE 2" 1.20 X 2.40 METROS</t>
  </si>
  <si>
    <t>PLANCHA DE POLIESTIRENO EXPANDIDO DE 5/8" 1.20 X 2.40 METROS</t>
  </si>
  <si>
    <t>PLANCHA DE POLIESTILENO EXPANDIDO DE 1/2" X 2.40 METROS</t>
  </si>
  <si>
    <t>PLANCHA DE POLIESTIRENO EXPANDIDO DE 3/4" 1.20 X 2.40 METROS</t>
  </si>
  <si>
    <t>SIKA BOOM ESPUMA EXPANSIVA 500 ML</t>
  </si>
  <si>
    <t>SIKA BOOM ESPUMA EXPANSIVA 750ML</t>
  </si>
  <si>
    <t>SILICONA SANISIL 280 m BEIGE</t>
  </si>
  <si>
    <t>SILICONA SANISIL 280 m TRANSPARENTE</t>
  </si>
  <si>
    <t>SILICONA AC TRANSPARENTE (silicona multiusos)</t>
  </si>
  <si>
    <t>SILICONA DOW CORNING NEGRO</t>
  </si>
  <si>
    <t>SILICONA DOW CORNING TRANSPARENTE</t>
  </si>
  <si>
    <t>SILICONA POLIURETANO HX NEGRO (vidrio)</t>
  </si>
  <si>
    <t>SILICONA COLOR NEGRO SIKA-SIL</t>
  </si>
  <si>
    <t>SILICONA COLOR TRANSPARENTE SIKA-SIL</t>
  </si>
  <si>
    <t xml:space="preserve">SIKADUR 31 HMG </t>
  </si>
  <si>
    <t>SIKADUR 32 ADERENTE DE JUNTA FRIA</t>
  </si>
  <si>
    <t>SIKA®PEGA ENCHAPE INTERIORES 25kg</t>
  </si>
  <si>
    <t>SIKA LASTIC - 560MX</t>
  </si>
  <si>
    <t>SIKA LASTIC FLEECE - 120</t>
  </si>
  <si>
    <t>CAJA DE PASO METALICA 10 X 10 CM</t>
  </si>
  <si>
    <t>CAJA DE PASO METALICA 20 X 20 CM</t>
  </si>
  <si>
    <t>CAJA DE PASO METALICA 15 X 15 CM</t>
  </si>
  <si>
    <t>CAJA DE PASO METALICA 25 X 25 CM</t>
  </si>
  <si>
    <t>CAJA DE PASO METALICA 30 X 30 CM</t>
  </si>
  <si>
    <t>CAJA DE PASO METALICA 35 X 35 CM</t>
  </si>
  <si>
    <t>CAJA DE PASO METALICA 40 X 40 CM</t>
  </si>
  <si>
    <t>CODO 3"X45º PVC SAL</t>
  </si>
  <si>
    <t>REDUCCION EXCENTRICA 4"X2" PVC SAL</t>
  </si>
  <si>
    <t>REDUCCION 4"X3" PVC SAL</t>
  </si>
  <si>
    <t>REDUCCION 6"X3" PVC SAL</t>
  </si>
  <si>
    <t>REDUCCION 6"X4" PVC SAL</t>
  </si>
  <si>
    <t>CODO 4"X45º PVC SAL</t>
  </si>
  <si>
    <t>CODO 4"X90º PVC SAL</t>
  </si>
  <si>
    <t>CODO 6"X45º PVC SAL</t>
  </si>
  <si>
    <t>CODO 6"X90º PVC SAL</t>
  </si>
  <si>
    <t>REDUCCION 4"X2" PVC SAL</t>
  </si>
  <si>
    <t>TEE 6"X6" PVC SAL</t>
  </si>
  <si>
    <t>TEE SANITARIA 2"X2" PVC SAL</t>
  </si>
  <si>
    <t>YEE 6"X6" PVC SAL</t>
  </si>
  <si>
    <t>YEE DOBLE 4"X2" PVC SAL</t>
  </si>
  <si>
    <t>TUBO 1" PVC DESAGUE PESADO</t>
  </si>
  <si>
    <t>TUBO 2 1/4" PVC DESAGUE PESADO</t>
  </si>
  <si>
    <t>TEE 1 1/2" PVC SAL</t>
  </si>
  <si>
    <t>CONECTOR 2" PVC SEL</t>
  </si>
  <si>
    <t>CONECTOR 3" PVC SEL</t>
  </si>
  <si>
    <t>CURVA 3" PVC SEL</t>
  </si>
  <si>
    <t>CURVA 2" PVC SEL</t>
  </si>
  <si>
    <t>CURVA 3/4" PVC SEL</t>
  </si>
  <si>
    <t>TUBO DE 3" PVC SEL</t>
  </si>
  <si>
    <t>UNIONES DE 3" PVC SEL</t>
  </si>
  <si>
    <t>SUMIDERO DECORATIVO 2" REDONDO</t>
  </si>
  <si>
    <t>SUMIDERO DECORATIVO 5" CUADRADO</t>
  </si>
  <si>
    <t>MICROCEMENTO MURO ACABADO X 10kg COLOR GRIS CEMENTO OSCURO</t>
  </si>
  <si>
    <t>MICROCEMENTO MURO BASE X 10kg COLOR BLANCO</t>
  </si>
  <si>
    <t>MICROCEMENTO MURO ACABADO X 5kg COLOR BLANCO</t>
  </si>
  <si>
    <t>MICROCEMENTO MURO ACABADO X 10kg COLOR BLANCO</t>
  </si>
  <si>
    <t>MICROCEMENTO MURO ACABADO X 10kg COLOR NEGRO</t>
  </si>
  <si>
    <t xml:space="preserve">FRAGUA ALMENDRA 1 kg </t>
  </si>
  <si>
    <t xml:space="preserve">FRAGUA ALUMINIO 1 kg </t>
  </si>
  <si>
    <t xml:space="preserve">FRAGUA ARENA 1 kg </t>
  </si>
  <si>
    <t xml:space="preserve">FRAGUA AVELLANA 1 kg </t>
  </si>
  <si>
    <t xml:space="preserve">FRAGUA AZUL ACERO 1 kg </t>
  </si>
  <si>
    <t xml:space="preserve">FRAGUA AZUL 1 kg </t>
  </si>
  <si>
    <t xml:space="preserve">FRAGUA BEIGE 1 kg </t>
  </si>
  <si>
    <t xml:space="preserve">FRAGUA BLANCO 1 kg </t>
  </si>
  <si>
    <t xml:space="preserve">FRAGUA BLANCO HUMO 1 kg </t>
  </si>
  <si>
    <t xml:space="preserve">FRAGUA CAFE 1 kg </t>
  </si>
  <si>
    <t xml:space="preserve">FRAGUA CASTAÑA 1 kg </t>
  </si>
  <si>
    <t xml:space="preserve">FRAGUA CREPUSCULO 1 kg </t>
  </si>
  <si>
    <t xml:space="preserve">FRAGUA DUNA 1 kg </t>
  </si>
  <si>
    <t xml:space="preserve">FRAGUA GRANIZO 1 kg </t>
  </si>
  <si>
    <t xml:space="preserve">FRAGUA GRIS kg </t>
  </si>
  <si>
    <t xml:space="preserve">FRAGUA JADE 1 kg </t>
  </si>
  <si>
    <t xml:space="preserve">FRAGUA MADERA 1 kg </t>
  </si>
  <si>
    <t>FRAGUA MARRON 1kg</t>
  </si>
  <si>
    <t>FRAGUA MEDANO 1kg</t>
  </si>
  <si>
    <t>FRAGUA NEGRO 1kg</t>
  </si>
  <si>
    <t>FRAGUA PLOMO 1kg</t>
  </si>
  <si>
    <t>FRAGUA DE PISCINA CELIMA X 5 kg</t>
  </si>
  <si>
    <t>YODOPOVIDONA</t>
  </si>
  <si>
    <t>PAQUETE DE CURITAS</t>
  </si>
  <si>
    <t>PAQUETE DE GASA TIPO JALONET (PARA QUEMADURAS)</t>
  </si>
  <si>
    <t>GUANTES DE JEBE TALLA L</t>
  </si>
  <si>
    <t>GUANTES DE JEBE TALLA M</t>
  </si>
  <si>
    <t>GUANTES DE JEBE TALLA S</t>
  </si>
  <si>
    <t>GUANTES CORRUGADO S</t>
  </si>
  <si>
    <t>GUANTES CORRUGADO M</t>
  </si>
  <si>
    <t>GUANTES CORRUGADO L</t>
  </si>
  <si>
    <t>ETCHING PRIMER (LÍNEA AUTOMOTRIZ, PRIMER, SHERWIN WILLIAMS)</t>
  </si>
  <si>
    <t>TUBO THC BETA  DE 25MM CLASE 16  PP-RCT (5.80 m)</t>
  </si>
  <si>
    <t>TUBO THC BETA  DE 32MM CLASE 16  PP-RCT (5.80 mS)</t>
  </si>
  <si>
    <t>CURVA DE SOBREPASAJE THC DE 20mm</t>
  </si>
  <si>
    <t>CURVA DE SOBREPASAJE THC DE 25mm</t>
  </si>
  <si>
    <t>REDUCCION COPLA THC BETA  PP-RCT DE 20MM A 15MM</t>
  </si>
  <si>
    <t xml:space="preserve">LLAVE DE PASO (LLAVE BOLA DESMONTABLE) THC PPR DESMONTABLE DE 25MM </t>
  </si>
  <si>
    <t xml:space="preserve">LLAVE DE PASO (LLAVE BOLA DESMOTABLE) THC PPR DESMONTABLE DE 32MM </t>
  </si>
  <si>
    <t xml:space="preserve">UNION MIXTA AMERICANA PPR THC 20MM </t>
  </si>
  <si>
    <t>TAPON HEMBRA THC BETA PP-RCT DE 20MM</t>
  </si>
  <si>
    <t>TAPON HEMBRA THC BETA PP-RCT DE 25MM</t>
  </si>
  <si>
    <t>ADAPTADOR (TERMINAL) INSERTO MACHO ROSCA PPR DE 20MM THC</t>
  </si>
  <si>
    <t>ADAPTADOR (TERMINAL) INSERTO HEMBRA ROSCA PPR DE 20MM THC</t>
  </si>
  <si>
    <t>ADAPTADOR (TERMINAL) INSERTO HEMBRA ROSCA PPR DE 25MM THC</t>
  </si>
  <si>
    <t>ADAPTADOR (TERMINAL) INSERTO MACHO ROSCA PPR DE 25MM THC</t>
  </si>
  <si>
    <t>TAPON MACHO CON ROSCA PPR 20MM THC</t>
  </si>
  <si>
    <t>KIT LLAVE DECORATIVA CROMADA 20MM THC</t>
  </si>
  <si>
    <t>ADAPTADOR (TERMINAL) INSERTO HEMBRA ROSCA PPR DE 32MM THC</t>
  </si>
  <si>
    <t>ADAPTADOR (TERMINAL) INSERTO MACHO ROSCA PPR DE 32MM THC</t>
  </si>
  <si>
    <t>TEE TIPO CRUZ PP-RCT DE 20MM THC</t>
  </si>
  <si>
    <t>TEE TIPO CRUZ PP-RCT DE 25MM THC</t>
  </si>
  <si>
    <t>INTERRUPTOR DIFERENCIAL 2X32A BTICINO®</t>
  </si>
  <si>
    <t>ADAPTADOR DADO TALADRO 3/16" DEWALT</t>
  </si>
  <si>
    <t>ADAPTADOR DADO TALADRO 1/4" DEWALT</t>
  </si>
  <si>
    <t>ADAPTADOR DADO TALADRO 1/8" DEWALT</t>
  </si>
  <si>
    <t>ADAPTADOR DADO TALADRO 5/16" DEWALT</t>
  </si>
  <si>
    <t>ADAPTADOR DADO TALADRO 7/16" DEWALT</t>
  </si>
  <si>
    <t>UNION 2" PVC LIVIANO DESAGUE</t>
  </si>
  <si>
    <t>FRASCO DE COLIRIO DE 10 ML.</t>
  </si>
  <si>
    <t>ACTIVADOR ETCHING PRIMER SHERWIN WILLIAMS</t>
  </si>
  <si>
    <t>CINTA MASKING COLOR BLANCO PEGAFAN 2"</t>
  </si>
  <si>
    <t xml:space="preserve">CINTA MASKING COLOR BLANCO PEGAFAN 3/4'' </t>
  </si>
  <si>
    <t>CINTA MASKING COLOR BLANCO PEGAFAN 1"</t>
  </si>
  <si>
    <t>PITON ADAPTADOR DE SALIDA A GAS  1/2x3/8" PARA COCINA ENCIMERA</t>
  </si>
  <si>
    <t>TEMPLADOR Y GANCHO 1/2 (TENSADOR)</t>
  </si>
  <si>
    <t>TEMPLADOR Y GANCHO 3/8 (TENSADOR)</t>
  </si>
  <si>
    <t>TEMPLADOR Y GANCHO 5/8 (TENSADOR)</t>
  </si>
  <si>
    <t>DETECTOR DE HUMO 12 - 24V OPALUX</t>
  </si>
  <si>
    <t>INTERCOMUNCADOR PARA DEPARTAMENTOS</t>
  </si>
  <si>
    <t>ID TAG - ZKTECO HIKVISION</t>
  </si>
  <si>
    <t>NEO LUX MEMORIA 64-GB HIKVISION</t>
  </si>
  <si>
    <t>PINTURA NEGRO MATE (ULTRA BASE 7000 - HS 701) SHERWIN WILLIAMS</t>
  </si>
  <si>
    <t>PLANTILLA EN MDF PARA LOGO DE OBRA</t>
  </si>
  <si>
    <t>TUBO DE ACERO RECTANGULAR 40 X 60 X 1.8MM</t>
  </si>
  <si>
    <t>TUBO DE ACERO RECTANGULAR 40 X 80 X 1.8MM</t>
  </si>
  <si>
    <t>TUBO DE ACERO NEGRO CUADRADO DE 100 X 100 X 1.8MM</t>
  </si>
  <si>
    <t>TUBO DE ACERO RECTANGULAR 40 X 80 X 2.0MM</t>
  </si>
  <si>
    <t>TUBO DE ACERO RECTANGULAR 40 X 60 X 2.0MM</t>
  </si>
  <si>
    <t>TUBO DE ACERO NEGRO CUADRADO DE 1" X 1.8MM</t>
  </si>
  <si>
    <t>TUBO METALICO GALVANIZADO 2" LIVIANO (PARA SUBIR CABLE A POSTE)</t>
  </si>
  <si>
    <t>TUBO METALICO GALVANIZADO 3" LIVIANO (PARA SUBIR CABLE A POSTE)</t>
  </si>
  <si>
    <t>VIDRIO TEMPLADO DE 6MM PARA MAMPARA DE DUCHA</t>
  </si>
  <si>
    <t>VIDRIO LAMINADO PAVONADO DE 6MM</t>
  </si>
  <si>
    <t>VIDRIO LAMINADO INCOLORO 6MM</t>
  </si>
  <si>
    <t xml:space="preserve">VIDRIO LAMINADO PAVONADO DE 8MM </t>
  </si>
  <si>
    <t>VIDRIO LAMINADO INCOLORO 8MM</t>
  </si>
  <si>
    <t>VIDRIO CRUDO CATEDRAL 3MM</t>
  </si>
  <si>
    <t>RIEL 39MM</t>
  </si>
  <si>
    <t>PARANTE 38MM</t>
  </si>
  <si>
    <t>RIEL 65MM</t>
  </si>
  <si>
    <t>PARANTE 64MM</t>
  </si>
  <si>
    <t>RIEL UNISTRUT BAJA DE 2.4 m</t>
  </si>
  <si>
    <t>THINNER POLIURETANO 454 NF 1GL – SHERWIN WILLIAMS</t>
  </si>
  <si>
    <t>THINNER POLIURETANO 454 NF 1LT – SHERWIN WILLIAMS</t>
  </si>
  <si>
    <t>KIT BARNIZ POLIURETANO MATE (LAZZUDUR) VF001 750ml + ENDURECEDOR H0010 SHERWIN WILLIAMS+THINNER POLIURETANO</t>
  </si>
  <si>
    <t>NUMERACIÓN PUERTA PRINCIPAL "1"</t>
  </si>
  <si>
    <t>NUMERACIÓN PUERTA PRINCIPAL "0"</t>
  </si>
  <si>
    <t>NUMERACIÓN PUERTA PRINCIPAL "2"</t>
  </si>
  <si>
    <t>NUMERACIÓN PUERTA PRINCIPAL "3"</t>
  </si>
  <si>
    <t>NUMERACIÓN PUERTA PRINCIPAL "4"</t>
  </si>
  <si>
    <t>NUMERACIÓN PUERTA PRINCIPAL "5"</t>
  </si>
  <si>
    <t>NUMERACIÓN PUERTA PRINCIPAL "6"</t>
  </si>
  <si>
    <t>NUMERACIÓN PUERTA PRINCIPAL "7"</t>
  </si>
  <si>
    <t>NUMERACIÓN PUERTA PRINCIPAL "8"</t>
  </si>
  <si>
    <t>NUMERACIÓN PUERTA PRINCIPAL "9"</t>
  </si>
  <si>
    <t>ENCIMERA FDV SIGNATURE 90 -  5 HORNILLAS</t>
  </si>
  <si>
    <t xml:space="preserve">ENCIMERA FDV DELUXE CHEF 75 GLP - 5 HORNILLAS </t>
  </si>
  <si>
    <t>HORNO FDV ELITE TOUCH</t>
  </si>
  <si>
    <t>HORNO FDV ELITE DESING</t>
  </si>
  <si>
    <t>CAMPANA EXTRACTORA DECORATIVA NEW CRISTAL 60CM FDV</t>
  </si>
  <si>
    <t>CAMPANA EXTRACTORA NEW CRYSTAL 90CM FDV</t>
  </si>
  <si>
    <t>CAMPANA EXTRACTORA EXTRAIBLE EASYFLOW 60CM FDV</t>
  </si>
  <si>
    <t>CAMPANA EXTRACTORA EXTRAIBLE FDV TWIN BLACK 90CM</t>
  </si>
  <si>
    <t>TINTE COLOR CEDRO EKOTINTE X 250ML</t>
  </si>
  <si>
    <t>TINTE COLOR CEREZO EKOTINTE X 250ML</t>
  </si>
  <si>
    <t>TINTE COLOR CAOBA EKOTINTE X 250ML</t>
  </si>
  <si>
    <t>TINTE COLOR NOGAL EKOTINTE X 250ML</t>
  </si>
  <si>
    <t>TINTE COLOR NOGAL EKOTINTE X 1L</t>
  </si>
  <si>
    <t>TINTE COLOR CAOBA EKOTINTE X 1L</t>
  </si>
  <si>
    <t>TINTE COLOR CEDRO EKOTINTE X 1L</t>
  </si>
  <si>
    <t>LAPICERO AZUL</t>
  </si>
  <si>
    <t>LAPICERO ROJO</t>
  </si>
  <si>
    <t xml:space="preserve">LAPICERO NEGRO </t>
  </si>
  <si>
    <t>ARCHIVADOR OFICIO</t>
  </si>
  <si>
    <t>ARCHIVADOR MEDIO OFICIO</t>
  </si>
  <si>
    <t>AROMATIZANTE POET/VIRUTEX</t>
  </si>
  <si>
    <t>ESCOBA CERDA GRUESA</t>
  </si>
  <si>
    <t>ESCOBA CERDA FINA</t>
  </si>
  <si>
    <t>RECOGEDOR METALICO</t>
  </si>
  <si>
    <t>RECOGEDOR PLASTICO</t>
  </si>
  <si>
    <t>REGLA DE 30CM</t>
  </si>
  <si>
    <t>PLUMON DE COLORES (ESTUCHE ESCOLAR)</t>
  </si>
  <si>
    <t>PLUMON INDELEBLE GRUESO COLOR NEGRO</t>
  </si>
  <si>
    <t>PLUMON INDELEBLE GRUESO COLOR ROJO</t>
  </si>
  <si>
    <t>PLUMON PARA PIZARRA COLORES SURTIDOS</t>
  </si>
  <si>
    <t>POST-IT PAQT X 5</t>
  </si>
  <si>
    <t>PERFORADOR</t>
  </si>
  <si>
    <t>CAJA DE AGUA 20LT</t>
  </si>
  <si>
    <t>PQT MICAS A4</t>
  </si>
  <si>
    <t>PQT MICAS OFICIO</t>
  </si>
  <si>
    <t>PQT MICAS PARA ENMICADORA</t>
  </si>
  <si>
    <t>PLUMON INDELEBLE DELGADO COLOR NEGRO</t>
  </si>
  <si>
    <t>CINTA DE EMBALAJE</t>
  </si>
  <si>
    <t>CAJA TIZA BLANCO X 50 UND</t>
  </si>
  <si>
    <t>CAJA TIZA COLORES X 50 UND</t>
  </si>
  <si>
    <t xml:space="preserve">MOTA </t>
  </si>
  <si>
    <t>CLIPS</t>
  </si>
  <si>
    <t>CLIPS MARIPOSA</t>
  </si>
  <si>
    <t>TAJADOR</t>
  </si>
  <si>
    <t xml:space="preserve">CONCRETO PREMEZCLADO f`c=280kg/cm2 </t>
  </si>
  <si>
    <t xml:space="preserve">CONCRETO PREMEZCLADO f`c=140kg/cm2 </t>
  </si>
  <si>
    <t>CONCRETO</t>
  </si>
  <si>
    <t>DISCO DIAMANTADO 15" BOSCH STANDARD FOR ASPHALT</t>
  </si>
  <si>
    <t>CAMILLA RIGIDA - INMOVILIZADOR - CORREA SPIDER - COLLARIN CERVICAL</t>
  </si>
  <si>
    <t xml:space="preserve">PALETA DE PARE Y SIGA </t>
  </si>
  <si>
    <t>HUELLERO DACTILAR</t>
  </si>
  <si>
    <t>RESALTADOR</t>
  </si>
  <si>
    <t>AGENDA AÑO ACTUAL</t>
  </si>
  <si>
    <t>CUTTER ESCOLAR</t>
  </si>
  <si>
    <t>SELLADOR DE ROSCA 125 HIDRO 3 250cc</t>
  </si>
  <si>
    <t>SELLADOR DE ROSCA 125 HIDRO 3 20cc</t>
  </si>
  <si>
    <t>MEZCLADORA MONOCOMANDO PARA BIBET BALI VAINSA 761.A7.000</t>
  </si>
  <si>
    <t>DUCHA TELEFONO PARA BIBET CROMADO VAINSA 314.01.000</t>
  </si>
  <si>
    <t>LIJA AL AGUA GRANO 100 ABRALIT</t>
  </si>
  <si>
    <t>FOCO CON SENSOR DE MOVIMIENTO 12W</t>
  </si>
  <si>
    <t>CANTONERA DE ALUMINIO PARA ESCALERA</t>
  </si>
  <si>
    <t>CRUCETAS CON TOPE 7 MM und X 100 PIEZAS</t>
  </si>
  <si>
    <t>PQT PAPEL BOND A4</t>
  </si>
  <si>
    <t>PQT PAPEL BOND A3</t>
  </si>
  <si>
    <t>CUCHILLA PARA CUTTER TRUPER PROFESIONAL</t>
  </si>
  <si>
    <t>CUTTER TRUPER PROFESIONAL</t>
  </si>
  <si>
    <t>PISATOLA METALICA PARA RIEGO TRUPER</t>
  </si>
  <si>
    <t>PISTOLA DE SOLDAR CAUTIN 30W-60W</t>
  </si>
  <si>
    <t>PICAPORTE BLISTER 3" PID103</t>
  </si>
  <si>
    <t>PICAPORTE BLISTER 4" PID104</t>
  </si>
  <si>
    <t>PICAPORTE BLISTER 5" PID105</t>
  </si>
  <si>
    <t>PICAPORTE BLISTER 6" PID106</t>
  </si>
  <si>
    <t>PICAPORTE PARA CANDADO 6"</t>
  </si>
  <si>
    <t>PICAPORTE PARA CANDADO 3"</t>
  </si>
  <si>
    <t>WALL PANEL</t>
  </si>
  <si>
    <t>PISO DE MADERA</t>
  </si>
  <si>
    <t>PISO DE BAMBU ESTRUCTURADO 1850*127*12mm COLOR CARBONIZADO HERMETIX</t>
  </si>
  <si>
    <t>PISO DE BAMBU ESTRUCTURADO 1850*127*12mm COLOR NATURAL HERMETIX</t>
  </si>
  <si>
    <t>ZOCALO DE BAMBU ESTRUCTURADO 1850*90*14mm COLOR NATURAL HERMETIX</t>
  </si>
  <si>
    <t>ZOCALO DE BAMBU ESTRUCTURADO 1850*90*14mm COLOR CARBONIZADO HERMETIX</t>
  </si>
  <si>
    <t>PISO SPC</t>
  </si>
  <si>
    <t>PISO SPC COLOR HX-001</t>
  </si>
  <si>
    <t>PISO SPC COLOR HX-003</t>
  </si>
  <si>
    <t>PISO SPC COLOR HX-006</t>
  </si>
  <si>
    <t>PISO SPC COLOR HX-004</t>
  </si>
  <si>
    <t>ZOCALO DE SPC COLOR HX-001</t>
  </si>
  <si>
    <t>ZOCALO DE SPC COLOR HX-003</t>
  </si>
  <si>
    <t>ZOCALO DE SPC COLOR HX-006</t>
  </si>
  <si>
    <t>ZOCALO DE SPC COLOR HX-004</t>
  </si>
  <si>
    <t>PUNTAL METALICO DE ACERO EXTENDIBLE 3.2M</t>
  </si>
  <si>
    <t>MALLA RACHELL AZUL  (4.20m x 100m)</t>
  </si>
  <si>
    <t>BOLSA DE BASURA DE 50LT</t>
  </si>
  <si>
    <t>BOLSA DE BASURA DE 140 LT</t>
  </si>
  <si>
    <t>BOLSA DE BASURA DE 35LT</t>
  </si>
  <si>
    <t>PINTURA AMERICAN COLORS SATINADO BLANCO X 4GL</t>
  </si>
  <si>
    <t>PASTA MURAL</t>
  </si>
  <si>
    <t>PASTA MURAL MONTANA X 20LT</t>
  </si>
  <si>
    <t>LIJA CIRCULAR CON PEGATINA DE 9 PULG #100</t>
  </si>
  <si>
    <t>CINTA MICROPERFORADA PARA POLICARBONATO</t>
  </si>
  <si>
    <t>POLICARBONATO</t>
  </si>
  <si>
    <t>PLANCHA DE POLICARBONTATO TRANSLUCIDO 8MM</t>
  </si>
  <si>
    <t>PERFIL U TAPACANTO PARA POLICARBONATO 8MM</t>
  </si>
  <si>
    <t>TUBO DE ACERO RECTANGULAR 100 X 50 X 1.8MM</t>
  </si>
  <si>
    <t>TUBO DE ACERO NEGRO CUADRADO DE 75 X 75 X 1.8MM</t>
  </si>
  <si>
    <t>PERFIL H CONECTOR PARA POLICARBONATO 8MM</t>
  </si>
  <si>
    <t>TUBO DE ACERO NEGRO CUADRADO DE 2" X 1.8MM</t>
  </si>
  <si>
    <t xml:space="preserve">CONECTOR PLUG MACHO/HEMBRA </t>
  </si>
  <si>
    <t>PEGAMENTO CHEMAYOLIC EXTRAFUERTE BLANCO 25KG</t>
  </si>
  <si>
    <t>PEGAMENTO CELIMA PROFESIONAL BLANCO FLEXIBLE PARA PORCELANATO 25 kg</t>
  </si>
  <si>
    <t>JAMBA SERIE 25 X VARILLA</t>
  </si>
  <si>
    <t>SILICONA ESTRUCTURAL (SALCHICHA)</t>
  </si>
  <si>
    <t>PANEL DE EMBUTIR PARA EMPOTRAR CON DICROICO INCORPORADO 15W NEGRO</t>
  </si>
  <si>
    <t>YESO EN SACO DE 28 kg</t>
  </si>
  <si>
    <t>SPRAY AZUL X 300ML</t>
  </si>
  <si>
    <t>SPRAY ROJO X 300ML</t>
  </si>
  <si>
    <t>SPRAY NEGRO X 300ML</t>
  </si>
  <si>
    <t xml:space="preserve">OCRE ROJO </t>
  </si>
  <si>
    <t>ALAMBRE GALVANIZADO N° 8</t>
  </si>
  <si>
    <t>BOLSA DE BASURA DE 75LT</t>
  </si>
  <si>
    <t>BROCA SDS MAX 5/8" PARA CONCRETO</t>
  </si>
  <si>
    <t>BROCA SDS MAX 1/2" PARA CONCRETO</t>
  </si>
  <si>
    <t>BROCA SDS PLUS 3/4" PARA CONCRETO</t>
  </si>
  <si>
    <t xml:space="preserve">CUADERNO ANILLADO A4 </t>
  </si>
  <si>
    <t>CUADERNO ESCOLAR 100 HOJAS</t>
  </si>
  <si>
    <t>DISCO DE CORTE PARA METAL 4 1/2" X 3/64 X 7/8" NORTON</t>
  </si>
  <si>
    <t>DISCO FLAP DE 4 1/2" GRANO 120 NORTON</t>
  </si>
  <si>
    <t>DRIZA DE NYLON 3/8" X 100M</t>
  </si>
  <si>
    <t>DUCHA ELECTRICA PROVISIONAL</t>
  </si>
  <si>
    <t>DUCHA DE PLASTICO PROVISIONAL</t>
  </si>
  <si>
    <t>ESCOBILLA COPA 4" TWISTED UYUSTOOLS COD: EBC104 (TRENZADA)</t>
  </si>
  <si>
    <t>ESCOBILLA COPA 4"  UYUSTOOLS COD: EBC004-P (RISADO)</t>
  </si>
  <si>
    <t>GUANTES DE PRECISIÓN</t>
  </si>
  <si>
    <t>LIJA AL AGUA GRANO 150 ABRALIT</t>
  </si>
  <si>
    <t xml:space="preserve">GRIFERIA LLAVE DE 1/2" JARDINERA PARA PROVISIONALES </t>
  </si>
  <si>
    <t>BLS</t>
  </si>
  <si>
    <t>IMPERMEABILIZANTE PENETRON 22.7KG</t>
  </si>
  <si>
    <t>PILA TRIPLE AAA</t>
  </si>
  <si>
    <t>PILA DOBLE AA</t>
  </si>
  <si>
    <t>PLACA FIBROCEMENTO SUPERBOARD ST 4MM 1.22X2.44 METROS</t>
  </si>
  <si>
    <t>CASETON POLIESTIRENO 30X30X3.00M D-12kg/M3</t>
  </si>
  <si>
    <t>SIKAGROUT®-212</t>
  </si>
  <si>
    <t>SIKAGROUT®-110</t>
  </si>
  <si>
    <t>TABLERO DE 12 POLOS</t>
  </si>
  <si>
    <t>TABLERO ELECTRICO DIN DE 2 POLOS (PARA DEPOSITOS)</t>
  </si>
  <si>
    <t>TABLERO ELECTRICO DIN DE 3 POLOS (PARA DEPOSITOS)</t>
  </si>
  <si>
    <t>CUERPO DE LLAVE DECORATIVA PP-RCT  20MM THC</t>
  </si>
  <si>
    <t>TINTA AZUL PARA TAMPON</t>
  </si>
  <si>
    <t>TINTA ROJA PARA TAMPON</t>
  </si>
  <si>
    <t>TOMA PULPO YE SALIDA IP67 2P+T 6H 220V</t>
  </si>
  <si>
    <t>TRAMPA P DE POLIPROPILENO 1 1/4 - 1 1/2 CON CONECTOR PARA LAVATORIO DE BAÑO PROVISIONAL</t>
  </si>
  <si>
    <t>TUBO NICOLL 1/4"</t>
  </si>
  <si>
    <t>TUBO NICOLL 1"</t>
  </si>
  <si>
    <t>URINARIO DOMESTICO PROVISIONAL</t>
  </si>
  <si>
    <t>TUBO CORRUGADO FLEXIBLE 3/8"</t>
  </si>
  <si>
    <t>TUBO CORRUGADO FLEXIBLE 2"</t>
  </si>
  <si>
    <t>TIRA CINTA LED 220V LUZ CALIDA TIPO MANGUERA</t>
  </si>
  <si>
    <t>MANGUERA DE RIEGO</t>
  </si>
  <si>
    <t>TACHO DE BASURA 20LT</t>
  </si>
  <si>
    <t>CODO THC BETA PP-RCT DE 25MM X 45°</t>
  </si>
  <si>
    <t>CODO THC BETA PP-RCT DE 32MM X 45°</t>
  </si>
  <si>
    <t>DISCO DE CORTE METAL 14"X1/8" BNA32 NORTON</t>
  </si>
  <si>
    <t>ELECTRODO PARA SOLDADURA E-6011</t>
  </si>
  <si>
    <t>ELECTRODO PARA SOLDADURA ER-7018</t>
  </si>
  <si>
    <t>ENGRAPADOR</t>
  </si>
  <si>
    <t>GRAPAS PARA ENGRAPADOR X CAJA</t>
  </si>
  <si>
    <t>PALO DE ESCOBA</t>
  </si>
  <si>
    <t xml:space="preserve">HISOPO PARA BAÑO </t>
  </si>
  <si>
    <t>HORMIGON</t>
  </si>
  <si>
    <t>ACTIVOS FIJO</t>
  </si>
  <si>
    <t>REFLECTOR 100W</t>
  </si>
  <si>
    <t>REFLECTOR 150W</t>
  </si>
  <si>
    <t>REFLECTOR 200W</t>
  </si>
  <si>
    <t>LEJIA CLOROX 1GL</t>
  </si>
  <si>
    <t>LINTERNA RECARGABLE 10W</t>
  </si>
  <si>
    <t xml:space="preserve">MEGAFONO </t>
  </si>
  <si>
    <t>MENEQUE DE TOMA MACHO AEREO 16 AMP 2P + TIERRA AZUL 6H1PP44</t>
  </si>
  <si>
    <t>MANOMETRO DE PRESIÓN  2.5” DE DIÁMETRO ROSCA DE 1/2” EN BRONCE PRESIÓN MÁXIMA DE 150 PSI / 10 BAR</t>
  </si>
  <si>
    <t>SAQUILLO BLANCO</t>
  </si>
  <si>
    <t xml:space="preserve">TEE THC INSERTO HEMBRA 20MMX1/2 </t>
  </si>
  <si>
    <t xml:space="preserve">TEMPLE CPP PATO </t>
  </si>
  <si>
    <t>THINNER ACRILICO MARCA ANYPSA X 01 GALON</t>
  </si>
  <si>
    <t>THINNER ACRILICO MARCA ANJAS X 01 GALON</t>
  </si>
  <si>
    <t>KIT DE TINTA DE IMPRESORA EcoTank T554</t>
  </si>
  <si>
    <t>TINTA NEGRO PARA TAMPON</t>
  </si>
  <si>
    <t>TUBERIA PP-R PROVISIONALES</t>
  </si>
  <si>
    <t>TUBO   DE 20MM CLASE 12.5  PP-RCT (5.80 m) PROVISIONAL</t>
  </si>
  <si>
    <t>TUBO   DE 20MM CLASE 16  PP-RCT (5.80 m) PROVISIONAL</t>
  </si>
  <si>
    <t>TUBO   DE 25MM CLASE 12.5  PP-RCT (5.80 m) PROVISIONAL</t>
  </si>
  <si>
    <t>TUBO   DE 25MM CLASE 16  PP-RCT (5.80 m) PROVISIONAL</t>
  </si>
  <si>
    <t>TUBO   DE 32MM CLASE 12.5  PP-RCT (5.80 m) PROVISIONAL</t>
  </si>
  <si>
    <t>TUBO   DE 32MM CLASE 16  PP-RCT (5.80 mS) PROVISONAL</t>
  </si>
  <si>
    <t>CODO  PP-RCT DE 25MM X 45° PROVISIONAL</t>
  </si>
  <si>
    <t>CODO  PP-RCT DE 32MM X 45° PROVISIONAL</t>
  </si>
  <si>
    <t>CODO  PP-RCT DE 20MM X 90° PROVISIONAL</t>
  </si>
  <si>
    <t>CODO  PP-RCT DE 25MM X 90°PROVISIONAL</t>
  </si>
  <si>
    <t>CODO  PP-RCT DE 32MM X 90° PROVISIONAL</t>
  </si>
  <si>
    <t>CODO PPR INSERTO HEMBRA DE 20MM X90° PROVISIONAL</t>
  </si>
  <si>
    <t>CURVA DE SOBREPASAJE DE 20mm PROVISIONAL</t>
  </si>
  <si>
    <t>CURVA DE SOBREPASAJE DE 25mm PROVISIONAL</t>
  </si>
  <si>
    <t>LLAVE DE PASO (LLAVE BOLA DESMONTABLE) PPR CROMADO DE 20MM PROVISIONAL</t>
  </si>
  <si>
    <t>LLAVE DE PASO (LLAVE BOLA DESMONTABLE) PPR DESMONTABLE DE 25MM PROVISIONAL</t>
  </si>
  <si>
    <t>LLAVE DE PASO (LLAVE BOLA DESMOTABLE) PPR DESMONTABLE DE 32MM PROVISIONAL</t>
  </si>
  <si>
    <t>REDUCCION COPLA   PP-RCT DE 20MM A 15MM PROVISIONAL</t>
  </si>
  <si>
    <t>REDUCCION COPLA   PP-RCT DE 25MM A 20MM PROVISIONAL</t>
  </si>
  <si>
    <t>REDUCCION COPLA   PP-RCT DE 32MM A 25MM PROVISIONAL</t>
  </si>
  <si>
    <t>ADAPTADOR (TERMINAL) INSERTO MACHO ROSCA PPR DE 20MM PROVISIONAL</t>
  </si>
  <si>
    <t>ADAPTADOR (TERMINAL) INSERTO HEMBRA ROSCA PPR DE 20MM PROVISIONAL</t>
  </si>
  <si>
    <t>ADAPTADOR (TERMINAL) INSERTO HEMBRA ROSCA PPR DE 25MM PROVISIONAL</t>
  </si>
  <si>
    <t>ADAPTADOR (TERMINAL) INSERTO MACHO ROSCA PPR DE 25MM  PROVISIONAL</t>
  </si>
  <si>
    <t>ADAPTADOR (TERMINAL) INSERTO HEMBRA ROSCA PPR DE 32MM PROVISIONAL</t>
  </si>
  <si>
    <t>ADAPTADOR (TERMINAL) INSERTO MACHO ROSCA PPR DE 32MM PROVISIONAL</t>
  </si>
  <si>
    <t>TAPON HEMBRA  PP-RCT DE 20 PROVISIONAL</t>
  </si>
  <si>
    <t>TAPON HEMBRA  PP-RCT DE 25MM PROVISIONAL</t>
  </si>
  <si>
    <t>TAPON HEMBRA  PP-RCT DE 32MM PROVISIONAL</t>
  </si>
  <si>
    <t>TAPON MACHO CON ROSCA PPR 20MM PROVISIONAL</t>
  </si>
  <si>
    <t>TEE  PP-RCT DE 20MM PROVISIONAL</t>
  </si>
  <si>
    <t>TEE  PP-RCT DE 25MM PROVISIONAL</t>
  </si>
  <si>
    <t>TEE INSERTO HEMBRA 20MMX1/2 PROVISIONAL</t>
  </si>
  <si>
    <t>CUERPO DE LLAVE DECORATIVA PP-RCT  20MM PROVISIONAL</t>
  </si>
  <si>
    <t>TEE TIPO CRUZ PP-RCT DE 20MM PROVISIONAL</t>
  </si>
  <si>
    <t>TEE TIPO CRUZ PP-RCT DE 25MM PROVISIONAL</t>
  </si>
  <si>
    <t>KIT LLAVE DECORATIVA CROMADA 20MM PROVISIONAL</t>
  </si>
  <si>
    <t>UNION COPLA  PP-RCT DE 20MM PROVISIONAL</t>
  </si>
  <si>
    <t>UNION COPLA  PP-RCT DE 25MM PROVISIONAL</t>
  </si>
  <si>
    <t>UNION COPLA  PP-RCT DE 32MM PROVISIONAL</t>
  </si>
  <si>
    <t>UNION MIXTA AMERICANA PPR 20MM PROVISIONAL</t>
  </si>
  <si>
    <t>CAMARA VIDEO PORTERO MAIN UNIT MODELO DS-KD8003 HIKVISION</t>
  </si>
  <si>
    <t>MONITOR VIDEO PORTERO MODELO DS-KH 6350 WTE1 HIKVISION</t>
  </si>
  <si>
    <t>MODULO PROXIMIDAD PARA VIDEO PORTERO CARD READER MODULE DS-KD-E HIKVISION</t>
  </si>
  <si>
    <t>MODULO PARA VIDEO PORTERO CAJA KEYPAD MODULE DS-KD-KP - HIKVISION</t>
  </si>
  <si>
    <t>MONTAJE EMPOTRADO PARA 3 MODULOS VIDEO PORTERO MODELO DS-KD-ACE.3 PLASTIC HIKVISION</t>
  </si>
  <si>
    <t>SWITCH ETHERNET DE INTERCOMUNICADOR 4POE DS-3E0106HP-E HIKVISION</t>
  </si>
  <si>
    <t>KIT V/PORTERO IP VIDEO INTERCO MODELO DS-KIS602 HIKVISION</t>
  </si>
  <si>
    <t xml:space="preserve">LLAVE DE PASO (LLAVE BOLA DESMONTABLE) THC PPR DESMOTABLE DE 20MM </t>
  </si>
  <si>
    <t>CONECTOR ENTALLE-X (BL-B 150 PARED/VIDRIO 90) marca Alutemp</t>
  </si>
  <si>
    <t>PLUMON INDELEBLE GRUESO COLOR VERDE</t>
  </si>
  <si>
    <t>TAPAJUNTA DE ALUMINIO BRONCE MATE  (GUIA HEMBRA + MOLDURA) (MEDIA LUNA)</t>
  </si>
  <si>
    <t>TAPAJUNTA DE ALUMINIO MATE  (GUIA HEMBRA + MOLDURA) (MEDIA LUNA)</t>
  </si>
  <si>
    <t>TUBO CORRUGADO FLEXIBLE 3/4"</t>
  </si>
  <si>
    <t>PLANTAS PARA JARDINERAS</t>
  </si>
  <si>
    <t>GEOTEXTIL</t>
  </si>
  <si>
    <t>ANGULO DE ALUMINIO 5/8 X 5.95M/ CON PORTAFELPA color Negro</t>
  </si>
  <si>
    <t xml:space="preserve">VINILP/VITROVEN </t>
  </si>
  <si>
    <t>BROCA ACERO (HSS) 5/16"</t>
  </si>
  <si>
    <t>TUBO DE ACERO NEGRO RECTANGULAR DE 2" X 1 X 1.8MM</t>
  </si>
  <si>
    <t>TARUGO BLANCO DE 1/4</t>
  </si>
  <si>
    <t>BANCA DE PLASTICO SIN ESPALDAR PARA COMEDOR</t>
  </si>
  <si>
    <t>CINTA MASKING COLOR ROJO PEGAFAN 1" (CALIDAD)</t>
  </si>
  <si>
    <t>CINTA MASKING COLOR AMARILLO PEGAFAN 1" (CALIDAD)</t>
  </si>
  <si>
    <t>CINTA MASKING COLOR AZUL PEGAFAN 1" (CALIDAD)</t>
  </si>
  <si>
    <t>CINTA MASKING COLOR VERDE PEGAFAN 1" (CALIDAD)</t>
  </si>
  <si>
    <t>CINTA MASKING COLOR NEGRO PEGAFAN 1" (CALIDAD)</t>
  </si>
  <si>
    <t>CINTA MASKING COLOR MORADO PEGAFAN 1" (CALIDAD)</t>
  </si>
  <si>
    <t>PANEL DOWNLIGHT ADOSABLE REDONDO 12W (PLAFON) LUZ CALIDA</t>
  </si>
  <si>
    <t>PANEL DOWNLIGHT ADOSABLE REDONDO 18W (PLAFON) LUZ CALIDA</t>
  </si>
  <si>
    <t>PANEL DOWNLIGHT ADOSABLE REDONDO 18W (PLAFON) LUZ BLANCA</t>
  </si>
  <si>
    <t>PANEL DOWNLIGHT ADOSABLE REDONDO 12W (PLAFON) LUZ BLANCA</t>
  </si>
  <si>
    <t>AQUAPANEL 1.22x2.44x12.5MM</t>
  </si>
  <si>
    <t>BARBIQUEJO PARA CASCO</t>
  </si>
  <si>
    <t>BROCA SDS PLUS 5/8"-10/12" PARA CONCRETO</t>
  </si>
  <si>
    <t xml:space="preserve">BROCA DE PALETA DE 1/4" BOSCH </t>
  </si>
  <si>
    <t>CALAMINA FIBRA FORTE BLANCO 1.80x0.85CM</t>
  </si>
  <si>
    <t>CAPUCHONES DE NEOPRENO</t>
  </si>
  <si>
    <t>SILIRUB 2+ SOUDAL</t>
  </si>
  <si>
    <t>SPOT DE PISO P/GU10 IP67</t>
  </si>
  <si>
    <t>SPRAY VERDE X 300ML</t>
  </si>
  <si>
    <t>PINTURA AMERICAN COLORS CITRICO X 1GL (LOGO DE EMPRESA)</t>
  </si>
  <si>
    <t>PINTURA AMERICAN COLORS AZUL PACIFICO X 1GL  (LOGO DE EMPRESA)</t>
  </si>
  <si>
    <t>PINTURA AMERICAN COLORS BLANCO X 1GL (LOGO DE EMPRESA)</t>
  </si>
  <si>
    <t>PINTURA AMERICAN COLORS AMARILLO X 1GL (LOGO DE EMPRESA)</t>
  </si>
  <si>
    <t>CAPUCHONES PARA TEJA ANDINA</t>
  </si>
  <si>
    <t>CARRIL PARA AQUAPANEL</t>
  </si>
  <si>
    <t>CINTA DE DOBLE CONTACTO DE ESPUMA 24MM X 2.5 METROS</t>
  </si>
  <si>
    <t>CINTA DELIMITADORA PVC SI-9008</t>
  </si>
  <si>
    <t xml:space="preserve">CINTA DOBLE CONTACTO 3M </t>
  </si>
  <si>
    <t xml:space="preserve">CLAVO DE ACERO ESTRIADO VERTICAL 4" (4.5 x 100mm) Cja x 500gr </t>
  </si>
  <si>
    <t>DISCO DE CORTE METAL 9"X1/8" BNA32 NORTON</t>
  </si>
  <si>
    <t>DISCO DIAMANTADO 4 1/2" UYUSTOOLS</t>
  </si>
  <si>
    <t>DISCO DE DESBASTE METAL 7"X1/4 NORTON</t>
  </si>
  <si>
    <t>DISCO DE DESBASTE METAL 7"X1/4 DEWALT</t>
  </si>
  <si>
    <t>DISCO DE DESBASTE METAL 4"X1/4 NORTON</t>
  </si>
  <si>
    <t>DISCO DE DESBASTE METAL 4"X1/4 DEWALT</t>
  </si>
  <si>
    <t>FUENTE DE ALIMENTACION 12V -3AMP-40W</t>
  </si>
  <si>
    <t>FUENTE DE ALIMENTACION ULTRA SLIM 200w/12V/ 3AMP /36W</t>
  </si>
  <si>
    <t>JABON LIQUIDO 3.100LT / 4.000 LT</t>
  </si>
  <si>
    <t>LIJA AL AGUA GRANO 320 ABRALIT</t>
  </si>
  <si>
    <t>LUMINARIA PARA COCINA</t>
  </si>
  <si>
    <t>MASILLA BONFLEX 500GR</t>
  </si>
  <si>
    <t xml:space="preserve">NIVELADOR TIPO CUÑA </t>
  </si>
  <si>
    <t>PEGAMENTO CELIMA PROFESIONAL GRIS FLEXIBLE PARA PORCELANATO 25 kg</t>
  </si>
  <si>
    <t>PERFIL U ALTA PARA VIDRIO 8MM color Negro</t>
  </si>
  <si>
    <t>DURALATEX CPP ALABASTRO X 4GL</t>
  </si>
  <si>
    <t>DURALATEX CPP BLANCO X 1GL</t>
  </si>
  <si>
    <t>RODILLERA</t>
  </si>
  <si>
    <t>TEE 4"X3" PVC SAL</t>
  </si>
  <si>
    <t>TEE PPR 25MM CON REDUCCIÓN A 20MM THC</t>
  </si>
  <si>
    <t>TOMACORRIENTE TRIPLE PROVISIONAL</t>
  </si>
  <si>
    <t>VASOS DESCARTABLES</t>
  </si>
  <si>
    <t>HOJA DE PUERTA DE ACERO PINTURA EN POLVO EPOXI 100 MICRAS BLANCO  (VANO ANCHO 1.0m. ; ALT 2.10m.) CORTA FUEGO</t>
  </si>
  <si>
    <t>HOJA DE PUERTA INTERIOR ANCHO 0.65_ ALTURA 2.07_ ESPESOR 0.04</t>
  </si>
  <si>
    <t>HOJA DE PUERTA INTERIOR ANCHO 0.70_ ALTURA 2.07_ ESPESOR 0.04</t>
  </si>
  <si>
    <t>HOJA DE PUERTA INTERIOR ANCHO 0.75_ ALTURA 2.07_ ESPESOR 0.04</t>
  </si>
  <si>
    <t>HOJA DE PUERTA INTERIOR ANCHO 0.80_ ALTURA 2.07_ ESPESOR 0.04</t>
  </si>
  <si>
    <t>HOJA DE PUERTA INTERIOR ANCHO 0.85_ ALTURA 2.07_ ESPESOR 0.04</t>
  </si>
  <si>
    <t>HOJA DE PUERTA PROVISIONAL</t>
  </si>
  <si>
    <t>PLANCHA CORTADA 10X10CM (PARA ANCLAR BALCONES Y GRADAS)</t>
  </si>
  <si>
    <t>FOCO DICROICO 8W LUZ FRIA</t>
  </si>
  <si>
    <t>FOCO DICROICO 7W LUZ FRIA</t>
  </si>
  <si>
    <t>FOCO DICROICO 9W LUZ FRIA</t>
  </si>
  <si>
    <t>ADAPTADOR DADO TALADRO 1/16" DEWALT</t>
  </si>
  <si>
    <t>CINTA MASKING COLOR ANARANJA PEGAFAN 1" (CALIDAD)</t>
  </si>
  <si>
    <t xml:space="preserve">BROCA DE PALETA DE 3/4" (19mm) BOSCH </t>
  </si>
  <si>
    <t xml:space="preserve">BROCA DE PALETA DE 1/4" (22mm)  BOSCH </t>
  </si>
  <si>
    <t>CHAPA DIGITAL DE PUERTA PRINCIPAL</t>
  </si>
  <si>
    <t>PUNTAS DE ACERO S2 25MM PH3 X25MM</t>
  </si>
  <si>
    <t>PORTA SIERRA COPA (SACABOCADO) 32-210MM BAHCO</t>
  </si>
  <si>
    <t xml:space="preserve">BURLETE COLOR TABACO </t>
  </si>
  <si>
    <t>BROCA DIAMANTADA 10MM</t>
  </si>
  <si>
    <t>ADAPTADOR DE PUNTA MAGNETICA 3"</t>
  </si>
  <si>
    <t>CONTROL DE MATERIALES 3.0</t>
  </si>
  <si>
    <t>XX</t>
  </si>
  <si>
    <t>COD.</t>
  </si>
  <si>
    <t>010111</t>
  </si>
  <si>
    <t>020110</t>
  </si>
  <si>
    <t>020111</t>
  </si>
  <si>
    <t>020112</t>
  </si>
  <si>
    <t>020113</t>
  </si>
  <si>
    <t>020114</t>
  </si>
  <si>
    <t>020115</t>
  </si>
  <si>
    <t>020116</t>
  </si>
  <si>
    <t>020117</t>
  </si>
  <si>
    <t>020118</t>
  </si>
  <si>
    <t>020119</t>
  </si>
  <si>
    <t>020120</t>
  </si>
  <si>
    <t>020121</t>
  </si>
  <si>
    <t>020122</t>
  </si>
  <si>
    <t>020123</t>
  </si>
  <si>
    <t>020124</t>
  </si>
  <si>
    <t>020125</t>
  </si>
  <si>
    <t>020126</t>
  </si>
  <si>
    <t>020127</t>
  </si>
  <si>
    <t>020128</t>
  </si>
  <si>
    <t>020129</t>
  </si>
  <si>
    <t>020131</t>
  </si>
  <si>
    <t>020132</t>
  </si>
  <si>
    <t>020133</t>
  </si>
  <si>
    <t>020134</t>
  </si>
  <si>
    <t>020135</t>
  </si>
  <si>
    <t>020136</t>
  </si>
  <si>
    <t>020137</t>
  </si>
  <si>
    <t>020138</t>
  </si>
  <si>
    <t>020139</t>
  </si>
  <si>
    <t>020140</t>
  </si>
  <si>
    <t>020141</t>
  </si>
  <si>
    <t>020142</t>
  </si>
  <si>
    <t>020143</t>
  </si>
  <si>
    <t>020144</t>
  </si>
  <si>
    <t>020151</t>
  </si>
  <si>
    <t>020152</t>
  </si>
  <si>
    <t>020153</t>
  </si>
  <si>
    <t>020154</t>
  </si>
  <si>
    <t>020155</t>
  </si>
  <si>
    <t>020156</t>
  </si>
  <si>
    <t>020157</t>
  </si>
  <si>
    <t>020158</t>
  </si>
  <si>
    <t>020159</t>
  </si>
  <si>
    <t>020160</t>
  </si>
  <si>
    <t>020161</t>
  </si>
  <si>
    <t>020162</t>
  </si>
  <si>
    <t>020171</t>
  </si>
  <si>
    <t>020172</t>
  </si>
  <si>
    <t>020173</t>
  </si>
  <si>
    <t>020174</t>
  </si>
  <si>
    <t>020175</t>
  </si>
  <si>
    <t>020176</t>
  </si>
  <si>
    <t>020177</t>
  </si>
  <si>
    <t>020178</t>
  </si>
  <si>
    <t>020179</t>
  </si>
  <si>
    <t>020180</t>
  </si>
  <si>
    <t>020181</t>
  </si>
  <si>
    <t>020182</t>
  </si>
  <si>
    <t>020183</t>
  </si>
  <si>
    <t>020184</t>
  </si>
  <si>
    <t>PAR</t>
  </si>
  <si>
    <t>020191</t>
  </si>
  <si>
    <t>020192</t>
  </si>
  <si>
    <t>020193</t>
  </si>
  <si>
    <t>020194</t>
  </si>
  <si>
    <t>020195</t>
  </si>
  <si>
    <t>020196</t>
  </si>
  <si>
    <t>020197</t>
  </si>
  <si>
    <t>020198</t>
  </si>
  <si>
    <t>020199</t>
  </si>
  <si>
    <t>KG</t>
  </si>
  <si>
    <t>020210</t>
  </si>
  <si>
    <t>020211</t>
  </si>
  <si>
    <t>020212</t>
  </si>
  <si>
    <t>020221</t>
  </si>
  <si>
    <t>020222</t>
  </si>
  <si>
    <t>VARILLA</t>
  </si>
  <si>
    <t>020311</t>
  </si>
  <si>
    <t>020411</t>
  </si>
  <si>
    <t>CAJA</t>
  </si>
  <si>
    <t>020415</t>
  </si>
  <si>
    <t>020416</t>
  </si>
  <si>
    <t>020417</t>
  </si>
  <si>
    <t>020418</t>
  </si>
  <si>
    <t>020419</t>
  </si>
  <si>
    <t>020420</t>
  </si>
  <si>
    <t>020421</t>
  </si>
  <si>
    <t>020422</t>
  </si>
  <si>
    <t>020423</t>
  </si>
  <si>
    <t>020430</t>
  </si>
  <si>
    <t>020431</t>
  </si>
  <si>
    <t>020432</t>
  </si>
  <si>
    <t>020433</t>
  </si>
  <si>
    <t>020434</t>
  </si>
  <si>
    <t>020435</t>
  </si>
  <si>
    <t>020436</t>
  </si>
  <si>
    <t>020437</t>
  </si>
  <si>
    <t>CLAVO DE ACERO ESTRIADO VERTICAL 1" (2.7 x 25mm) Cja x 500gr -140und PRODAC</t>
  </si>
  <si>
    <t>020441</t>
  </si>
  <si>
    <t>020442</t>
  </si>
  <si>
    <t>020443</t>
  </si>
  <si>
    <t>020445</t>
  </si>
  <si>
    <t>020446</t>
  </si>
  <si>
    <t>020447</t>
  </si>
  <si>
    <t>020452</t>
  </si>
  <si>
    <t>020461</t>
  </si>
  <si>
    <t>020463</t>
  </si>
  <si>
    <t>020464</t>
  </si>
  <si>
    <t>020471</t>
  </si>
  <si>
    <t>020472</t>
  </si>
  <si>
    <t>020473</t>
  </si>
  <si>
    <t>020474</t>
  </si>
  <si>
    <t>020481</t>
  </si>
  <si>
    <t>020483</t>
  </si>
  <si>
    <t>020484</t>
  </si>
  <si>
    <t>020491</t>
  </si>
  <si>
    <t>020492</t>
  </si>
  <si>
    <t>020493</t>
  </si>
  <si>
    <t>020494</t>
  </si>
  <si>
    <t>020495</t>
  </si>
  <si>
    <t>020496</t>
  </si>
  <si>
    <t>020511</t>
  </si>
  <si>
    <t>020512</t>
  </si>
  <si>
    <t>020513</t>
  </si>
  <si>
    <t>020514</t>
  </si>
  <si>
    <t>020515</t>
  </si>
  <si>
    <t>020516</t>
  </si>
  <si>
    <t>020517</t>
  </si>
  <si>
    <t>020518</t>
  </si>
  <si>
    <t>TORNILLO AUTOPERFORANTE 1"</t>
  </si>
  <si>
    <t>020519</t>
  </si>
  <si>
    <t>TORNILLO AUTOPERFORANTE 2"</t>
  </si>
  <si>
    <t>020520</t>
  </si>
  <si>
    <t>TORNILLO AUTOPERFORANTE 3"</t>
  </si>
  <si>
    <t>020521</t>
  </si>
  <si>
    <t>TORNILLO AUTOPERFORANTE 4"</t>
  </si>
  <si>
    <t>020522</t>
  </si>
  <si>
    <t>TORNILLO AUTOPERFORANTE 5"</t>
  </si>
  <si>
    <t>020523</t>
  </si>
  <si>
    <t>020525</t>
  </si>
  <si>
    <t>020526</t>
  </si>
  <si>
    <t>020527</t>
  </si>
  <si>
    <t>020528</t>
  </si>
  <si>
    <t>020529</t>
  </si>
  <si>
    <t>020530</t>
  </si>
  <si>
    <t>020531</t>
  </si>
  <si>
    <t>020532</t>
  </si>
  <si>
    <t>020533</t>
  </si>
  <si>
    <t>020534</t>
  </si>
  <si>
    <t>020535</t>
  </si>
  <si>
    <t>020536</t>
  </si>
  <si>
    <t>020537</t>
  </si>
  <si>
    <t>020538</t>
  </si>
  <si>
    <t>020539</t>
  </si>
  <si>
    <t>020540</t>
  </si>
  <si>
    <t>020541</t>
  </si>
  <si>
    <t>020542</t>
  </si>
  <si>
    <t>020543</t>
  </si>
  <si>
    <t>020544</t>
  </si>
  <si>
    <t>020545</t>
  </si>
  <si>
    <t>020546</t>
  </si>
  <si>
    <t>020547</t>
  </si>
  <si>
    <t>020548</t>
  </si>
  <si>
    <t>020549</t>
  </si>
  <si>
    <t>020550</t>
  </si>
  <si>
    <t>020551</t>
  </si>
  <si>
    <t>020552</t>
  </si>
  <si>
    <t>020553</t>
  </si>
  <si>
    <t>020554</t>
  </si>
  <si>
    <t>020555</t>
  </si>
  <si>
    <t>020556</t>
  </si>
  <si>
    <t>020557</t>
  </si>
  <si>
    <t>020558</t>
  </si>
  <si>
    <t>020559</t>
  </si>
  <si>
    <t>020560</t>
  </si>
  <si>
    <t>020561</t>
  </si>
  <si>
    <t>020562</t>
  </si>
  <si>
    <t>020567</t>
  </si>
  <si>
    <t>020563</t>
  </si>
  <si>
    <t>020564</t>
  </si>
  <si>
    <t>020565</t>
  </si>
  <si>
    <t>020566</t>
  </si>
  <si>
    <t>TORNILLO AUTOPERFORANTE 1 1/2"</t>
  </si>
  <si>
    <t>020568</t>
  </si>
  <si>
    <t>ACERO CORRUGADO G° 60 DE 1" x 9M AA</t>
  </si>
  <si>
    <t>030101</t>
  </si>
  <si>
    <t>ACERO CORRUGADO G° 60 DE 3/4" x 9M AA</t>
  </si>
  <si>
    <t>030102</t>
  </si>
  <si>
    <t>ACERO CORRUGADO G° 60 DE 5/8" x 9M AA</t>
  </si>
  <si>
    <t>030103</t>
  </si>
  <si>
    <t>ACERO CORRUGADO G° 60 DE 1/2" x 9M AA</t>
  </si>
  <si>
    <t>030104</t>
  </si>
  <si>
    <t>030106</t>
  </si>
  <si>
    <t>030107</t>
  </si>
  <si>
    <t>030108</t>
  </si>
  <si>
    <t>030211</t>
  </si>
  <si>
    <t>030212</t>
  </si>
  <si>
    <t>M³</t>
  </si>
  <si>
    <t>040111</t>
  </si>
  <si>
    <t>040121</t>
  </si>
  <si>
    <t>040122</t>
  </si>
  <si>
    <t>040131</t>
  </si>
  <si>
    <t>040211</t>
  </si>
  <si>
    <t>TALCO AMERICANO BLANCO Bls x 1kg HADES</t>
  </si>
  <si>
    <t>040321</t>
  </si>
  <si>
    <t>TALCO AMERICANO BLANCO  x 1kg LOSARO</t>
  </si>
  <si>
    <t>040322</t>
  </si>
  <si>
    <t>040331</t>
  </si>
  <si>
    <t>040332</t>
  </si>
  <si>
    <t>040333</t>
  </si>
  <si>
    <t>040341</t>
  </si>
  <si>
    <t>040351</t>
  </si>
  <si>
    <t>050111</t>
  </si>
  <si>
    <t>050112</t>
  </si>
  <si>
    <t>GBL</t>
  </si>
  <si>
    <t>370331</t>
  </si>
  <si>
    <t>810811</t>
  </si>
  <si>
    <t>050211</t>
  </si>
  <si>
    <t>MTS</t>
  </si>
  <si>
    <t>060111</t>
  </si>
  <si>
    <t>060112</t>
  </si>
  <si>
    <t>060113</t>
  </si>
  <si>
    <t>060121</t>
  </si>
  <si>
    <t>060122</t>
  </si>
  <si>
    <t>060125</t>
  </si>
  <si>
    <t>060126</t>
  </si>
  <si>
    <t>060131</t>
  </si>
  <si>
    <t>060141</t>
  </si>
  <si>
    <t>060145</t>
  </si>
  <si>
    <t>060151</t>
  </si>
  <si>
    <t>060211</t>
  </si>
  <si>
    <t>060212</t>
  </si>
  <si>
    <t>060213</t>
  </si>
  <si>
    <t>060214</t>
  </si>
  <si>
    <t>060215</t>
  </si>
  <si>
    <t>060216</t>
  </si>
  <si>
    <t>060217</t>
  </si>
  <si>
    <t>060218</t>
  </si>
  <si>
    <t>060219</t>
  </si>
  <si>
    <t>060220</t>
  </si>
  <si>
    <t>060221</t>
  </si>
  <si>
    <t>060311</t>
  </si>
  <si>
    <t>060321</t>
  </si>
  <si>
    <t>070111</t>
  </si>
  <si>
    <t>070112</t>
  </si>
  <si>
    <t>070113</t>
  </si>
  <si>
    <t>070114</t>
  </si>
  <si>
    <t>070115</t>
  </si>
  <si>
    <t>070116</t>
  </si>
  <si>
    <t>070117</t>
  </si>
  <si>
    <t>070118</t>
  </si>
  <si>
    <t>070119</t>
  </si>
  <si>
    <t>070120</t>
  </si>
  <si>
    <t>070121</t>
  </si>
  <si>
    <t>070122</t>
  </si>
  <si>
    <t>070123</t>
  </si>
  <si>
    <t>CABLE NH-90 10MM2 AMARILLO/VERDE INDECO</t>
  </si>
  <si>
    <t>070124</t>
  </si>
  <si>
    <t>070125</t>
  </si>
  <si>
    <t>070126</t>
  </si>
  <si>
    <t>070127</t>
  </si>
  <si>
    <t>070128</t>
  </si>
  <si>
    <t>070129</t>
  </si>
  <si>
    <t>100110</t>
  </si>
  <si>
    <t>100111</t>
  </si>
  <si>
    <t>100112</t>
  </si>
  <si>
    <t>100113</t>
  </si>
  <si>
    <t>INODORO CON ACCESORIOS PROVISIONAL</t>
  </si>
  <si>
    <t>100114</t>
  </si>
  <si>
    <t>100211</t>
  </si>
  <si>
    <t>100212</t>
  </si>
  <si>
    <t>100213</t>
  </si>
  <si>
    <t>100214</t>
  </si>
  <si>
    <t>100215</t>
  </si>
  <si>
    <t>100216</t>
  </si>
  <si>
    <t>100217</t>
  </si>
  <si>
    <t>100218</t>
  </si>
  <si>
    <t>100219</t>
  </si>
  <si>
    <t>100220</t>
  </si>
  <si>
    <t>100221</t>
  </si>
  <si>
    <t>100222</t>
  </si>
  <si>
    <t>100223</t>
  </si>
  <si>
    <t>100232</t>
  </si>
  <si>
    <t>100241</t>
  </si>
  <si>
    <t>100242</t>
  </si>
  <si>
    <t>100243</t>
  </si>
  <si>
    <t>100244</t>
  </si>
  <si>
    <t>100245</t>
  </si>
  <si>
    <t>100246</t>
  </si>
  <si>
    <t>100247</t>
  </si>
  <si>
    <t>LAVATORIO PROVISIONAL PARA OBRA</t>
  </si>
  <si>
    <t>100311</t>
  </si>
  <si>
    <t>100312</t>
  </si>
  <si>
    <t>100313</t>
  </si>
  <si>
    <t>100314</t>
  </si>
  <si>
    <t>100315</t>
  </si>
  <si>
    <t>100316</t>
  </si>
  <si>
    <t>100317</t>
  </si>
  <si>
    <t>100318</t>
  </si>
  <si>
    <t>100319</t>
  </si>
  <si>
    <t>100320</t>
  </si>
  <si>
    <t>100321</t>
  </si>
  <si>
    <t>100322</t>
  </si>
  <si>
    <t>100323</t>
  </si>
  <si>
    <t>100324</t>
  </si>
  <si>
    <t>100411</t>
  </si>
  <si>
    <t>100412</t>
  </si>
  <si>
    <t>100413</t>
  </si>
  <si>
    <t>100414</t>
  </si>
  <si>
    <t>100415</t>
  </si>
  <si>
    <t>100416</t>
  </si>
  <si>
    <t>100510</t>
  </si>
  <si>
    <t>100511</t>
  </si>
  <si>
    <t>100521</t>
  </si>
  <si>
    <t>100522</t>
  </si>
  <si>
    <t>100523</t>
  </si>
  <si>
    <t>100531</t>
  </si>
  <si>
    <t>100532</t>
  </si>
  <si>
    <t>100533</t>
  </si>
  <si>
    <t>100534</t>
  </si>
  <si>
    <t>100610</t>
  </si>
  <si>
    <t>100611</t>
  </si>
  <si>
    <t>100612</t>
  </si>
  <si>
    <t>ANILLO DE CERA CON GUIA PARA INODORO METUSA</t>
  </si>
  <si>
    <t>100613</t>
  </si>
  <si>
    <t>ANILLO DE CERA CON GUIA PARA INODORO PROVISIONAL</t>
  </si>
  <si>
    <t>100614</t>
  </si>
  <si>
    <t>100615</t>
  </si>
  <si>
    <t>100616</t>
  </si>
  <si>
    <t>100617</t>
  </si>
  <si>
    <t>100618</t>
  </si>
  <si>
    <t>100619</t>
  </si>
  <si>
    <t>100620</t>
  </si>
  <si>
    <t>100621</t>
  </si>
  <si>
    <t>100622</t>
  </si>
  <si>
    <t>100623</t>
  </si>
  <si>
    <t>100624</t>
  </si>
  <si>
    <t>100625</t>
  </si>
  <si>
    <t>100626</t>
  </si>
  <si>
    <t>100627</t>
  </si>
  <si>
    <t>100628</t>
  </si>
  <si>
    <t>DESAGUE Y TRAMPA PARA LAVADERO TREBOL</t>
  </si>
  <si>
    <t>100630</t>
  </si>
  <si>
    <t>100631</t>
  </si>
  <si>
    <t>100651</t>
  </si>
  <si>
    <t>100652</t>
  </si>
  <si>
    <t>100653</t>
  </si>
  <si>
    <t>100656</t>
  </si>
  <si>
    <t>100657</t>
  </si>
  <si>
    <t>ANILLO DE CERA SIN GUIA METUSA</t>
  </si>
  <si>
    <t>UÑA DE ALUMINIO PARA URINARIO (SET DE SOPORTE)</t>
  </si>
  <si>
    <t>100711</t>
  </si>
  <si>
    <t>100712</t>
  </si>
  <si>
    <t>100721</t>
  </si>
  <si>
    <t>100731</t>
  </si>
  <si>
    <t>100732</t>
  </si>
  <si>
    <t>100733</t>
  </si>
  <si>
    <t>100741</t>
  </si>
  <si>
    <t>100811</t>
  </si>
  <si>
    <t>100812</t>
  </si>
  <si>
    <t>100813</t>
  </si>
  <si>
    <t>100814</t>
  </si>
  <si>
    <t>100815</t>
  </si>
  <si>
    <t>100816</t>
  </si>
  <si>
    <t>100817</t>
  </si>
  <si>
    <t>100818</t>
  </si>
  <si>
    <t>100819</t>
  </si>
  <si>
    <t>100820</t>
  </si>
  <si>
    <t>100821</t>
  </si>
  <si>
    <t>050212</t>
  </si>
  <si>
    <t>110111</t>
  </si>
  <si>
    <t>110121</t>
  </si>
  <si>
    <t>110131</t>
  </si>
  <si>
    <t>110211</t>
  </si>
  <si>
    <t>110311</t>
  </si>
  <si>
    <t>ARTEFACTO DE ALUMBRADO INTERIOR</t>
  </si>
  <si>
    <t>120111</t>
  </si>
  <si>
    <t>120112</t>
  </si>
  <si>
    <t>120113</t>
  </si>
  <si>
    <t>120114</t>
  </si>
  <si>
    <t>120115</t>
  </si>
  <si>
    <t>120116</t>
  </si>
  <si>
    <t>120117</t>
  </si>
  <si>
    <t>120118</t>
  </si>
  <si>
    <t>120119</t>
  </si>
  <si>
    <t>120120</t>
  </si>
  <si>
    <t>120121</t>
  </si>
  <si>
    <t>120122</t>
  </si>
  <si>
    <t>120123</t>
  </si>
  <si>
    <t>120124</t>
  </si>
  <si>
    <t>120125</t>
  </si>
  <si>
    <t>120126</t>
  </si>
  <si>
    <t>120127</t>
  </si>
  <si>
    <t>120128</t>
  </si>
  <si>
    <t>120129</t>
  </si>
  <si>
    <t>120130</t>
  </si>
  <si>
    <t>120131</t>
  </si>
  <si>
    <t>FOCO AHORRADOR 20W LUZ CALIDA/FRIA (PROVISIONAL)</t>
  </si>
  <si>
    <t>120133</t>
  </si>
  <si>
    <t>120134</t>
  </si>
  <si>
    <t>120135</t>
  </si>
  <si>
    <t>120136</t>
  </si>
  <si>
    <t>120137</t>
  </si>
  <si>
    <t>120138</t>
  </si>
  <si>
    <t>120139</t>
  </si>
  <si>
    <t>120140</t>
  </si>
  <si>
    <t>120141</t>
  </si>
  <si>
    <t>120142</t>
  </si>
  <si>
    <t>120143</t>
  </si>
  <si>
    <t>120144</t>
  </si>
  <si>
    <t>FOCO AHORRADOR 12W LUZ CALIDA/FRIA (PROVISIONAL)</t>
  </si>
  <si>
    <t>120211</t>
  </si>
  <si>
    <t>INTERRUPTOR SIMPLE AH2100EB BTICINO® LINEA MODUS 4</t>
  </si>
  <si>
    <t>120212</t>
  </si>
  <si>
    <t>120221</t>
  </si>
  <si>
    <t>INTERRUPTOR DOBLE SIMPLE AH2200EB  BTICINO® LINEA MODUS 4</t>
  </si>
  <si>
    <t>120222</t>
  </si>
  <si>
    <t>INTERRUPTOR TRIPLE AH2300EB BTICINO® LINEA MODUS 4</t>
  </si>
  <si>
    <t>120232</t>
  </si>
  <si>
    <t>120241</t>
  </si>
  <si>
    <t>CONMUTADOR SIMPLE AH2101EB BTICINO® LINEA MODUS 4</t>
  </si>
  <si>
    <t>120242</t>
  </si>
  <si>
    <t>120251</t>
  </si>
  <si>
    <t>CONMUTADOR DOBLE AH2201EB BTICINO® LINEA MODUS 4</t>
  </si>
  <si>
    <t>120252</t>
  </si>
  <si>
    <t>120261</t>
  </si>
  <si>
    <t>CONMUTADOR TRIPLE AH2301EB BTICINO® LINEA MODUS 4</t>
  </si>
  <si>
    <t>120262</t>
  </si>
  <si>
    <t>TOMACORRIENTE DOBLE UNIVERSAL + LÍNEA A TIERRA AH2212TREB BTICINO® LINEA MODUS 4</t>
  </si>
  <si>
    <t>120312</t>
  </si>
  <si>
    <t>120313</t>
  </si>
  <si>
    <t>120314</t>
  </si>
  <si>
    <t>120315</t>
  </si>
  <si>
    <t>PULSADOR DE TIMBRE AH2102EB BTICINO® LINEA MODUS 4</t>
  </si>
  <si>
    <t>120351</t>
  </si>
  <si>
    <t>120352</t>
  </si>
  <si>
    <t>DIN DON DE TIMBRE BTICINO® LINEA MODUS 4</t>
  </si>
  <si>
    <t>120353</t>
  </si>
  <si>
    <t>TOMA COAXIAL DE TV BTICINO® LINEA MODUS 4</t>
  </si>
  <si>
    <t>120354</t>
  </si>
  <si>
    <t>TOMA TELEFONO RJ11 BTICINO® LINEA MODUS 4</t>
  </si>
  <si>
    <t>120355</t>
  </si>
  <si>
    <t>120380</t>
  </si>
  <si>
    <t>TAPA CIEGA RECTANGULAR PVC 10X5CM BTICINO® LINEA MODUS 4</t>
  </si>
  <si>
    <t>120381</t>
  </si>
  <si>
    <t>120382</t>
  </si>
  <si>
    <t>120383</t>
  </si>
  <si>
    <t>120384</t>
  </si>
  <si>
    <t>120385</t>
  </si>
  <si>
    <t>120410</t>
  </si>
  <si>
    <t>120411</t>
  </si>
  <si>
    <t>120412</t>
  </si>
  <si>
    <t>120421</t>
  </si>
  <si>
    <t>120431</t>
  </si>
  <si>
    <t>120440</t>
  </si>
  <si>
    <t>120441</t>
  </si>
  <si>
    <t>120451</t>
  </si>
  <si>
    <t>120461</t>
  </si>
  <si>
    <t>120471</t>
  </si>
  <si>
    <t>120481</t>
  </si>
  <si>
    <t>120491</t>
  </si>
  <si>
    <t>120492</t>
  </si>
  <si>
    <t>120493</t>
  </si>
  <si>
    <t>120494</t>
  </si>
  <si>
    <t>120495</t>
  </si>
  <si>
    <t>120496</t>
  </si>
  <si>
    <t>INTERRUPTOR TERMOMAGNETICO 2X16C BTICINO®</t>
  </si>
  <si>
    <t>120511</t>
  </si>
  <si>
    <t>INTERRUPTOR TERMOMAGNETICO 2X16A BTICINO®</t>
  </si>
  <si>
    <t>120512</t>
  </si>
  <si>
    <t>INTERRUPTOR TERMOMAGNETICO 2X16A SCHNEIDER®</t>
  </si>
  <si>
    <t>120513</t>
  </si>
  <si>
    <t>INTERRUPTOR TERMOMAGNETICO 2X20A BTICINO®</t>
  </si>
  <si>
    <t>120521</t>
  </si>
  <si>
    <t>INTERRUPTOR TERMOMAGNETICO 2X20C BTICINO®</t>
  </si>
  <si>
    <t>120522</t>
  </si>
  <si>
    <t>INTERRUPTOR TERMOMAGNETICO 2X20A SCHNEIDER®</t>
  </si>
  <si>
    <t>120523</t>
  </si>
  <si>
    <t>INTERRUPTOR TERMOMAGNETICO 2X25C BTICINO®</t>
  </si>
  <si>
    <t>120524</t>
  </si>
  <si>
    <t>INTERRUPTOR TERMOMAGNETICO 2X25A BTICINO®</t>
  </si>
  <si>
    <t>120525</t>
  </si>
  <si>
    <t>INTERRUPTOR TERMOMAGNETICO 2X25A SCHNEIDER®</t>
  </si>
  <si>
    <t>120526</t>
  </si>
  <si>
    <t>INTERRUPTOR TERMOMAGNETICO 2X32C BTICINO®</t>
  </si>
  <si>
    <t>120527</t>
  </si>
  <si>
    <t>INTERRUPTOR TERMOMAGNETICO 2X32A BTICINO®</t>
  </si>
  <si>
    <t>120528</t>
  </si>
  <si>
    <t>INTERRUPTOR TERMOMAGNETICO 2X32A SCHNEIDER®</t>
  </si>
  <si>
    <t>120529</t>
  </si>
  <si>
    <t>INTERRUPTOR TERMOMAGNETICO 2X40C BTICINO®</t>
  </si>
  <si>
    <t>120530</t>
  </si>
  <si>
    <t>INTERRUPTOR TERMOMAGNETICO 2X40A BTICINO®</t>
  </si>
  <si>
    <t>120531</t>
  </si>
  <si>
    <t>INTERRUPTOR TERMOMAGNETICO 2X40A SCHNEIDER®</t>
  </si>
  <si>
    <t>120532</t>
  </si>
  <si>
    <t>INTERRUPTOR TERMOMAGNETICO 2X40A CHINT®</t>
  </si>
  <si>
    <t>120533</t>
  </si>
  <si>
    <t>INTERRUPTOR TERMOMAGNETICO 2X50C BTICINO®</t>
  </si>
  <si>
    <t>120534</t>
  </si>
  <si>
    <t>INTERRUPTOR TERMOMAGNETICO 2X50A BTICINO®</t>
  </si>
  <si>
    <t>120535</t>
  </si>
  <si>
    <t>INTERRUPTOR TERMOMAGNETICO 2X50A SCHNEIDER®</t>
  </si>
  <si>
    <t>120536</t>
  </si>
  <si>
    <t>INTERRUPTOR DIFERENCIAL 2X25A BTICINO®</t>
  </si>
  <si>
    <t>120550</t>
  </si>
  <si>
    <t>INTERRUPTOR DIFERENCIAL 2X25C BTICINO®</t>
  </si>
  <si>
    <t>120551</t>
  </si>
  <si>
    <t>120552</t>
  </si>
  <si>
    <t>INTERRUPTOR DIFERENCIAL 2X40A BTICINO®</t>
  </si>
  <si>
    <t>120553</t>
  </si>
  <si>
    <t>INTERRUPTOR TERMOMAGNETICO 2X32C CHNT®</t>
  </si>
  <si>
    <t>120554</t>
  </si>
  <si>
    <t>INTERRUPTOR DIFERENCIAL 2X40C BTICINO®</t>
  </si>
  <si>
    <t>120555</t>
  </si>
  <si>
    <t>INTERRUPTOR TERMOMAGNETICO 3X16A BTICINO®</t>
  </si>
  <si>
    <t>120611</t>
  </si>
  <si>
    <t>INTERRUPTOR TERMOMAGNETICO 3X16C BTICINO®</t>
  </si>
  <si>
    <t>120612</t>
  </si>
  <si>
    <t>INTERRUPTOR TERMOMAGNETICO 3X32A BTICINO®</t>
  </si>
  <si>
    <t>120613</t>
  </si>
  <si>
    <t>INTERRUPTOR TERMOMAGNETICO 3X32C BTICINO®</t>
  </si>
  <si>
    <t>120614</t>
  </si>
  <si>
    <t>INTERRUPTOR TERMOMAGNETICO 3X40C BTICINO®</t>
  </si>
  <si>
    <t>120615</t>
  </si>
  <si>
    <t>INTERRUPTOR TERMOMAGNETICO 3X50A BTICINO®</t>
  </si>
  <si>
    <t>120616</t>
  </si>
  <si>
    <t>INTERRUPTOR TERMOMAGNETICO 3X60A BTICINO®</t>
  </si>
  <si>
    <t>120617</t>
  </si>
  <si>
    <t>INTERRUPTOR TERMOMAGNETICO TETRAPOLAR DE 4 X 16A BTICINO®</t>
  </si>
  <si>
    <t>120618</t>
  </si>
  <si>
    <t>INTERRUPTOR TERMOMAGNETICO TETRAPOLAR DE 4 X 20A BTICINO®</t>
  </si>
  <si>
    <t>120619</t>
  </si>
  <si>
    <t>INTERRUPTOR TERMOMAGNETICO 3X25C BTICINO®</t>
  </si>
  <si>
    <t>120620</t>
  </si>
  <si>
    <t>INTERRUPTOR TERMOMAGNETICO 3X20C CHNT®</t>
  </si>
  <si>
    <t>120621</t>
  </si>
  <si>
    <t>INTERRUPTOR TERMOMAGNETICO 3X40C CHNT®</t>
  </si>
  <si>
    <t>120622</t>
  </si>
  <si>
    <t>INTERRUPTOR TERMOMAGNETICO 3X63C BTICINO®</t>
  </si>
  <si>
    <t>CAJA RECTANGULAR DE PVC PAVCO®</t>
  </si>
  <si>
    <t>120701</t>
  </si>
  <si>
    <t>CAJA OCTOGONAL DE PVC PAVCO®</t>
  </si>
  <si>
    <t>120702</t>
  </si>
  <si>
    <t>120703</t>
  </si>
  <si>
    <t>120751</t>
  </si>
  <si>
    <t>120761</t>
  </si>
  <si>
    <t>120762</t>
  </si>
  <si>
    <t>120771</t>
  </si>
  <si>
    <t>120772</t>
  </si>
  <si>
    <t>120781</t>
  </si>
  <si>
    <t>120782</t>
  </si>
  <si>
    <t>120783</t>
  </si>
  <si>
    <t>120784</t>
  </si>
  <si>
    <t>120785</t>
  </si>
  <si>
    <t>120786</t>
  </si>
  <si>
    <t>CANALETA CERRADA DE PVC CON ADHESIVO 15X10MM</t>
  </si>
  <si>
    <t>120787</t>
  </si>
  <si>
    <t>CANALETA CERRADA DE PVC CON ADHESIVO 15X15MM</t>
  </si>
  <si>
    <t>120788</t>
  </si>
  <si>
    <t>CANALETA CERRADA DE PVC CON ADHESIVO 20X10MM</t>
  </si>
  <si>
    <t>120789</t>
  </si>
  <si>
    <t>CANALETA CERRADA DE PVC CON ADHESIVO 10X10MM</t>
  </si>
  <si>
    <t>120790</t>
  </si>
  <si>
    <t>170111</t>
  </si>
  <si>
    <t>170121</t>
  </si>
  <si>
    <t>170211</t>
  </si>
  <si>
    <t>170221</t>
  </si>
  <si>
    <t>170231</t>
  </si>
  <si>
    <t>180111</t>
  </si>
  <si>
    <t>180121</t>
  </si>
  <si>
    <t>180131</t>
  </si>
  <si>
    <t>190111</t>
  </si>
  <si>
    <t>CEMENTO PORTLAND TIPO IP (42.5kg) YURA®</t>
  </si>
  <si>
    <t>210112</t>
  </si>
  <si>
    <t>M²</t>
  </si>
  <si>
    <t>240111</t>
  </si>
  <si>
    <t>240112</t>
  </si>
  <si>
    <t>240113</t>
  </si>
  <si>
    <t>240114</t>
  </si>
  <si>
    <t>240115</t>
  </si>
  <si>
    <t>240116</t>
  </si>
  <si>
    <t>240117</t>
  </si>
  <si>
    <t>240118</t>
  </si>
  <si>
    <t>240119</t>
  </si>
  <si>
    <t>240120</t>
  </si>
  <si>
    <t>240121</t>
  </si>
  <si>
    <t>240122</t>
  </si>
  <si>
    <t>240123</t>
  </si>
  <si>
    <t>240124</t>
  </si>
  <si>
    <t>240125</t>
  </si>
  <si>
    <t>240211</t>
  </si>
  <si>
    <t>240212</t>
  </si>
  <si>
    <t>240213</t>
  </si>
  <si>
    <t>240214</t>
  </si>
  <si>
    <t>240215</t>
  </si>
  <si>
    <t>240311</t>
  </si>
  <si>
    <t>240312</t>
  </si>
  <si>
    <t>260111</t>
  </si>
  <si>
    <t>260121</t>
  </si>
  <si>
    <t>260131</t>
  </si>
  <si>
    <t>260141</t>
  </si>
  <si>
    <t>260142</t>
  </si>
  <si>
    <t>260161</t>
  </si>
  <si>
    <t>260171</t>
  </si>
  <si>
    <t>260211</t>
  </si>
  <si>
    <t>260212</t>
  </si>
  <si>
    <t>260213</t>
  </si>
  <si>
    <t>260214</t>
  </si>
  <si>
    <t>260241</t>
  </si>
  <si>
    <t>260251</t>
  </si>
  <si>
    <t>260261</t>
  </si>
  <si>
    <t>260262</t>
  </si>
  <si>
    <t>260263</t>
  </si>
  <si>
    <t>260271</t>
  </si>
  <si>
    <t>260272</t>
  </si>
  <si>
    <t>260311</t>
  </si>
  <si>
    <t>260312</t>
  </si>
  <si>
    <t>260313</t>
  </si>
  <si>
    <t>260314</t>
  </si>
  <si>
    <t>260315</t>
  </si>
  <si>
    <t>260316</t>
  </si>
  <si>
    <t>260321</t>
  </si>
  <si>
    <t>260322</t>
  </si>
  <si>
    <t>260331</t>
  </si>
  <si>
    <t>260332</t>
  </si>
  <si>
    <t xml:space="preserve">ARMELLA ABIERTA DE 1" </t>
  </si>
  <si>
    <t xml:space="preserve">ARMELLA CERRADA DE 1" </t>
  </si>
  <si>
    <t>CANDADO F40</t>
  </si>
  <si>
    <t>CANDADO F50</t>
  </si>
  <si>
    <t>CANDADO F60</t>
  </si>
  <si>
    <t>CANDADO F70</t>
  </si>
  <si>
    <t>270111</t>
  </si>
  <si>
    <t>300111</t>
  </si>
  <si>
    <t>300113</t>
  </si>
  <si>
    <t>300115</t>
  </si>
  <si>
    <t>300117</t>
  </si>
  <si>
    <t>300119</t>
  </si>
  <si>
    <t>300211</t>
  </si>
  <si>
    <t>300212</t>
  </si>
  <si>
    <t>300213</t>
  </si>
  <si>
    <t>300214</t>
  </si>
  <si>
    <t>300215</t>
  </si>
  <si>
    <t>300216</t>
  </si>
  <si>
    <t>300217</t>
  </si>
  <si>
    <t>300218</t>
  </si>
  <si>
    <t>300219</t>
  </si>
  <si>
    <t>300220</t>
  </si>
  <si>
    <t>300221</t>
  </si>
  <si>
    <t>300311</t>
  </si>
  <si>
    <t>300312</t>
  </si>
  <si>
    <t>310111</t>
  </si>
  <si>
    <t>310112</t>
  </si>
  <si>
    <t>310113</t>
  </si>
  <si>
    <t>310121</t>
  </si>
  <si>
    <t>CAJA DE REGISTRO DE CONCRETO PARA AGUA POTABLE 30X60 CM</t>
  </si>
  <si>
    <t>310131</t>
  </si>
  <si>
    <t>310132</t>
  </si>
  <si>
    <t>GLN</t>
  </si>
  <si>
    <t>340111</t>
  </si>
  <si>
    <t>370110</t>
  </si>
  <si>
    <t>370111</t>
  </si>
  <si>
    <t>370112</t>
  </si>
  <si>
    <t>370113</t>
  </si>
  <si>
    <t>370114</t>
  </si>
  <si>
    <t>370141</t>
  </si>
  <si>
    <t>370115</t>
  </si>
  <si>
    <t>370116</t>
  </si>
  <si>
    <t>370117</t>
  </si>
  <si>
    <t>370118</t>
  </si>
  <si>
    <t>370119</t>
  </si>
  <si>
    <t>370120</t>
  </si>
  <si>
    <t>370121</t>
  </si>
  <si>
    <t>370122</t>
  </si>
  <si>
    <t>370123</t>
  </si>
  <si>
    <t>370124</t>
  </si>
  <si>
    <t>370125</t>
  </si>
  <si>
    <t>370126</t>
  </si>
  <si>
    <t>370127</t>
  </si>
  <si>
    <t>370128</t>
  </si>
  <si>
    <t>370129</t>
  </si>
  <si>
    <t>370130</t>
  </si>
  <si>
    <t>370131</t>
  </si>
  <si>
    <t>370132</t>
  </si>
  <si>
    <t>370133</t>
  </si>
  <si>
    <t>370134</t>
  </si>
  <si>
    <t>370135</t>
  </si>
  <si>
    <t>370136</t>
  </si>
  <si>
    <t>370137</t>
  </si>
  <si>
    <t>370138</t>
  </si>
  <si>
    <t>370139</t>
  </si>
  <si>
    <t>370140</t>
  </si>
  <si>
    <t>370142</t>
  </si>
  <si>
    <t>370143</t>
  </si>
  <si>
    <t>370211</t>
  </si>
  <si>
    <t>370212</t>
  </si>
  <si>
    <t>370213</t>
  </si>
  <si>
    <t>370214</t>
  </si>
  <si>
    <t>370215</t>
  </si>
  <si>
    <t>370216</t>
  </si>
  <si>
    <t>370217</t>
  </si>
  <si>
    <t>370218</t>
  </si>
  <si>
    <t>370219</t>
  </si>
  <si>
    <t>370220</t>
  </si>
  <si>
    <t>370221</t>
  </si>
  <si>
    <t>370222</t>
  </si>
  <si>
    <t>370223</t>
  </si>
  <si>
    <t>370224</t>
  </si>
  <si>
    <t>370225</t>
  </si>
  <si>
    <t>370226</t>
  </si>
  <si>
    <t>370227</t>
  </si>
  <si>
    <t>370229</t>
  </si>
  <si>
    <t>370230</t>
  </si>
  <si>
    <t>370231</t>
  </si>
  <si>
    <t>370232</t>
  </si>
  <si>
    <t>370233</t>
  </si>
  <si>
    <t>370234</t>
  </si>
  <si>
    <t>370235</t>
  </si>
  <si>
    <t>370236</t>
  </si>
  <si>
    <t>370237</t>
  </si>
  <si>
    <t>370238</t>
  </si>
  <si>
    <t>370239</t>
  </si>
  <si>
    <t>370240</t>
  </si>
  <si>
    <t>370241</t>
  </si>
  <si>
    <t>370242</t>
  </si>
  <si>
    <t>370243</t>
  </si>
  <si>
    <t>370244</t>
  </si>
  <si>
    <t>370245</t>
  </si>
  <si>
    <t>370246</t>
  </si>
  <si>
    <t>DISCO DE CORTE METAL 14"X1/8" BNA32 DEWALT</t>
  </si>
  <si>
    <t>DISCO PARA PULIR C/5 LIJAS 7 1/2 PULG - 180MM UYUSTOOLS</t>
  </si>
  <si>
    <t>370311</t>
  </si>
  <si>
    <t>370312</t>
  </si>
  <si>
    <t>370313</t>
  </si>
  <si>
    <t>370322</t>
  </si>
  <si>
    <t>050221</t>
  </si>
  <si>
    <t>370332</t>
  </si>
  <si>
    <t>370333</t>
  </si>
  <si>
    <t>370334</t>
  </si>
  <si>
    <t>370335</t>
  </si>
  <si>
    <t>370336</t>
  </si>
  <si>
    <t>370341</t>
  </si>
  <si>
    <t>370342</t>
  </si>
  <si>
    <t>370343</t>
  </si>
  <si>
    <t>370344</t>
  </si>
  <si>
    <t>370345</t>
  </si>
  <si>
    <t>370346</t>
  </si>
  <si>
    <t>370347</t>
  </si>
  <si>
    <t>370348</t>
  </si>
  <si>
    <t>370349</t>
  </si>
  <si>
    <t>370350</t>
  </si>
  <si>
    <t>370351</t>
  </si>
  <si>
    <t>370352</t>
  </si>
  <si>
    <t>370353</t>
  </si>
  <si>
    <t>370354</t>
  </si>
  <si>
    <t>370355</t>
  </si>
  <si>
    <t>370356</t>
  </si>
  <si>
    <t>370357</t>
  </si>
  <si>
    <t>370358</t>
  </si>
  <si>
    <t xml:space="preserve">ESCOBILLA DE ACERO PARA PORCELANATO TRUPER </t>
  </si>
  <si>
    <t>370359</t>
  </si>
  <si>
    <t>370411</t>
  </si>
  <si>
    <t>370412</t>
  </si>
  <si>
    <t>370413</t>
  </si>
  <si>
    <t>370414</t>
  </si>
  <si>
    <t>370415</t>
  </si>
  <si>
    <t>370416</t>
  </si>
  <si>
    <t>370417</t>
  </si>
  <si>
    <t>370418</t>
  </si>
  <si>
    <t>370419</t>
  </si>
  <si>
    <t>370420</t>
  </si>
  <si>
    <t>370421</t>
  </si>
  <si>
    <t>370422</t>
  </si>
  <si>
    <t>370423</t>
  </si>
  <si>
    <t xml:space="preserve">LIJA DE ACERO #120 ABRALIT </t>
  </si>
  <si>
    <t>370424</t>
  </si>
  <si>
    <t>370425</t>
  </si>
  <si>
    <t>370426</t>
  </si>
  <si>
    <t>370427</t>
  </si>
  <si>
    <t>370428</t>
  </si>
  <si>
    <t>370429</t>
  </si>
  <si>
    <t>370430</t>
  </si>
  <si>
    <t>370431</t>
  </si>
  <si>
    <t>370432</t>
  </si>
  <si>
    <t>370433</t>
  </si>
  <si>
    <t>370434</t>
  </si>
  <si>
    <t>370435</t>
  </si>
  <si>
    <t>370436</t>
  </si>
  <si>
    <t>370437</t>
  </si>
  <si>
    <t>370438</t>
  </si>
  <si>
    <t>370439</t>
  </si>
  <si>
    <t>370440</t>
  </si>
  <si>
    <t>370442</t>
  </si>
  <si>
    <t>370443</t>
  </si>
  <si>
    <t>370511</t>
  </si>
  <si>
    <t>370512</t>
  </si>
  <si>
    <t>370513</t>
  </si>
  <si>
    <t>370514</t>
  </si>
  <si>
    <t>370515</t>
  </si>
  <si>
    <t>370516</t>
  </si>
  <si>
    <t>370531</t>
  </si>
  <si>
    <t>370551</t>
  </si>
  <si>
    <t>370571</t>
  </si>
  <si>
    <t>370581</t>
  </si>
  <si>
    <t>370582</t>
  </si>
  <si>
    <t>370583</t>
  </si>
  <si>
    <t>370612</t>
  </si>
  <si>
    <t>370613</t>
  </si>
  <si>
    <t>370614</t>
  </si>
  <si>
    <t>370615</t>
  </si>
  <si>
    <t>370616</t>
  </si>
  <si>
    <t>390110</t>
  </si>
  <si>
    <t>390111</t>
  </si>
  <si>
    <t>390112</t>
  </si>
  <si>
    <t>390113</t>
  </si>
  <si>
    <t>390114</t>
  </si>
  <si>
    <t>390115</t>
  </si>
  <si>
    <t>390116</t>
  </si>
  <si>
    <t>390117</t>
  </si>
  <si>
    <t>390118</t>
  </si>
  <si>
    <t>ROLLO</t>
  </si>
  <si>
    <t>390119</t>
  </si>
  <si>
    <t>PQT</t>
  </si>
  <si>
    <t>390121</t>
  </si>
  <si>
    <t>390122</t>
  </si>
  <si>
    <t>390123</t>
  </si>
  <si>
    <t>390124</t>
  </si>
  <si>
    <t>390125</t>
  </si>
  <si>
    <t>390126</t>
  </si>
  <si>
    <t>390127</t>
  </si>
  <si>
    <t>390128</t>
  </si>
  <si>
    <t>390129</t>
  </si>
  <si>
    <t>390130</t>
  </si>
  <si>
    <t>390131</t>
  </si>
  <si>
    <t>390132</t>
  </si>
  <si>
    <t>390133</t>
  </si>
  <si>
    <t>390134</t>
  </si>
  <si>
    <t>390136</t>
  </si>
  <si>
    <t>390137</t>
  </si>
  <si>
    <t>390138</t>
  </si>
  <si>
    <t>390139</t>
  </si>
  <si>
    <t>KIT DE TINTA DE IMPRESORA EcoTank T504</t>
  </si>
  <si>
    <t>390140</t>
  </si>
  <si>
    <t>390141</t>
  </si>
  <si>
    <t>390142</t>
  </si>
  <si>
    <t>390143</t>
  </si>
  <si>
    <t>390144</t>
  </si>
  <si>
    <t>390145</t>
  </si>
  <si>
    <t>390146</t>
  </si>
  <si>
    <t>390147</t>
  </si>
  <si>
    <t>390148</t>
  </si>
  <si>
    <t>390149</t>
  </si>
  <si>
    <t>390150</t>
  </si>
  <si>
    <t>390151</t>
  </si>
  <si>
    <t>390152</t>
  </si>
  <si>
    <t>390153</t>
  </si>
  <si>
    <t>390154</t>
  </si>
  <si>
    <t>390155</t>
  </si>
  <si>
    <t>390156</t>
  </si>
  <si>
    <t>390157</t>
  </si>
  <si>
    <t>390158</t>
  </si>
  <si>
    <t>390159</t>
  </si>
  <si>
    <t>390161</t>
  </si>
  <si>
    <t>390162</t>
  </si>
  <si>
    <t>390163</t>
  </si>
  <si>
    <t>390164</t>
  </si>
  <si>
    <t>390165</t>
  </si>
  <si>
    <t>390166</t>
  </si>
  <si>
    <t>390167</t>
  </si>
  <si>
    <t>390168</t>
  </si>
  <si>
    <t>390169</t>
  </si>
  <si>
    <t>390170</t>
  </si>
  <si>
    <t>390171</t>
  </si>
  <si>
    <t>390172</t>
  </si>
  <si>
    <t>390173</t>
  </si>
  <si>
    <t>390174</t>
  </si>
  <si>
    <t>390175</t>
  </si>
  <si>
    <t>390176</t>
  </si>
  <si>
    <t>390177</t>
  </si>
  <si>
    <t xml:space="preserve">LIMPIATIPO </t>
  </si>
  <si>
    <t xml:space="preserve">LIMPIADOR SACASARRO </t>
  </si>
  <si>
    <t>TABLERO DE PLASTICO/MADERA PARA OFICINA</t>
  </si>
  <si>
    <t>TACHO DE BASURA 10LT</t>
  </si>
  <si>
    <t>TRAPEADOR</t>
  </si>
  <si>
    <t>420111</t>
  </si>
  <si>
    <t>420112</t>
  </si>
  <si>
    <t>420113</t>
  </si>
  <si>
    <t>420114</t>
  </si>
  <si>
    <t>420121</t>
  </si>
  <si>
    <t>HOJA DE PUERTA VAIVEN COCINA ANCHO 0.85_ ALTURA 2.07_ ESPESOR 0.04</t>
  </si>
  <si>
    <t>420131</t>
  </si>
  <si>
    <t>420141</t>
  </si>
  <si>
    <t>HOJA DE PUERTA PRINCIPAL (INGRESO A Dpto) ANCHO 0.90_ ALTURA 2.07_ ESPESOR 0.045_MADERA</t>
  </si>
  <si>
    <t>420142</t>
  </si>
  <si>
    <t>420511</t>
  </si>
  <si>
    <t>420512</t>
  </si>
  <si>
    <t>ML</t>
  </si>
  <si>
    <t>420513</t>
  </si>
  <si>
    <t>420514</t>
  </si>
  <si>
    <t>MARCO DE PUERTA TIPO BATIENTE LARGO=2.13M 3PZA _REBAJE 10X42MM ANCHO 90MM_ ACABADO NATURAL_ ESPESOR 32MM</t>
  </si>
  <si>
    <t>420211</t>
  </si>
  <si>
    <t>MARCO DE PUERTA TIPO BATIENTE LARGO=2.72M 4PZS_REBAJE 10X42MM ANCHO 90MM_ACABADO NATURAL_ESPESOR 32MM</t>
  </si>
  <si>
    <t>420212</t>
  </si>
  <si>
    <t>MARCO DE PUERTA TIPO VAIVEN LARGO=2.72M 4PZS _SIN REBAJE ANCHO 90MM_ACABADO NATURAL_ESPESOR 32MM x ANCHO 90MM</t>
  </si>
  <si>
    <t>420213</t>
  </si>
  <si>
    <t>420214</t>
  </si>
  <si>
    <t>420221</t>
  </si>
  <si>
    <t>MARCO DE PUERTA TIPO BATIENTE LARGO=2.13M 3PZA _SIN REBAJE 10X42MM ANCHO 90MM_ ACABADO NATURAL_ ESPESOR 32MM</t>
  </si>
  <si>
    <t>420222</t>
  </si>
  <si>
    <t>430111</t>
  </si>
  <si>
    <t>430112</t>
  </si>
  <si>
    <t>430113</t>
  </si>
  <si>
    <t>430114</t>
  </si>
  <si>
    <t>430131</t>
  </si>
  <si>
    <t>430136</t>
  </si>
  <si>
    <t>430137</t>
  </si>
  <si>
    <t>430140</t>
  </si>
  <si>
    <t>P²</t>
  </si>
  <si>
    <t>430145</t>
  </si>
  <si>
    <t>430150</t>
  </si>
  <si>
    <t>430154</t>
  </si>
  <si>
    <t>430159</t>
  </si>
  <si>
    <t>430164</t>
  </si>
  <si>
    <t>430169</t>
  </si>
  <si>
    <t>430174</t>
  </si>
  <si>
    <t>430179</t>
  </si>
  <si>
    <t>430184</t>
  </si>
  <si>
    <t>430188</t>
  </si>
  <si>
    <t>430193</t>
  </si>
  <si>
    <t>430194</t>
  </si>
  <si>
    <t>430198</t>
  </si>
  <si>
    <t>430199</t>
  </si>
  <si>
    <t>430197</t>
  </si>
  <si>
    <t>TABLON DE MADERA 20CM anch. X 3MTS</t>
  </si>
  <si>
    <t>TABLON DE MADERA 25CM anch. X 3MTS</t>
  </si>
  <si>
    <t>LISTONES DE MADERA PINO DE 2"x2"x10´</t>
  </si>
  <si>
    <t>440111</t>
  </si>
  <si>
    <t>460211</t>
  </si>
  <si>
    <t>480111</t>
  </si>
  <si>
    <t>480112</t>
  </si>
  <si>
    <t>480121</t>
  </si>
  <si>
    <t>510111</t>
  </si>
  <si>
    <t>510112</t>
  </si>
  <si>
    <t>510113</t>
  </si>
  <si>
    <t>510121</t>
  </si>
  <si>
    <t>510122</t>
  </si>
  <si>
    <t>510123</t>
  </si>
  <si>
    <t>510211</t>
  </si>
  <si>
    <t>510212</t>
  </si>
  <si>
    <t>510213</t>
  </si>
  <si>
    <t>510214</t>
  </si>
  <si>
    <t>510215</t>
  </si>
  <si>
    <t>830143</t>
  </si>
  <si>
    <t>100822</t>
  </si>
  <si>
    <t>510220</t>
  </si>
  <si>
    <t>510221</t>
  </si>
  <si>
    <t>510219</t>
  </si>
  <si>
    <t>510218</t>
  </si>
  <si>
    <t>510222</t>
  </si>
  <si>
    <t>520111</t>
  </si>
  <si>
    <t>520112</t>
  </si>
  <si>
    <t>520113</t>
  </si>
  <si>
    <t>520114</t>
  </si>
  <si>
    <t>520115</t>
  </si>
  <si>
    <t>520116</t>
  </si>
  <si>
    <t>520117</t>
  </si>
  <si>
    <t>520118</t>
  </si>
  <si>
    <t>520119</t>
  </si>
  <si>
    <t>520120</t>
  </si>
  <si>
    <t>520121</t>
  </si>
  <si>
    <t>520132</t>
  </si>
  <si>
    <t>520211</t>
  </si>
  <si>
    <t>520212</t>
  </si>
  <si>
    <t>520213</t>
  </si>
  <si>
    <t>520214</t>
  </si>
  <si>
    <t>520215</t>
  </si>
  <si>
    <t>520216</t>
  </si>
  <si>
    <t>520217</t>
  </si>
  <si>
    <t>520218</t>
  </si>
  <si>
    <t>520311</t>
  </si>
  <si>
    <t>520312</t>
  </si>
  <si>
    <t>520313</t>
  </si>
  <si>
    <t>520314</t>
  </si>
  <si>
    <t>520315</t>
  </si>
  <si>
    <t>520411</t>
  </si>
  <si>
    <t>520412</t>
  </si>
  <si>
    <t>530101</t>
  </si>
  <si>
    <t>540111</t>
  </si>
  <si>
    <t>540211</t>
  </si>
  <si>
    <t>540212</t>
  </si>
  <si>
    <t>540213</t>
  </si>
  <si>
    <t>540221</t>
  </si>
  <si>
    <t>540223</t>
  </si>
  <si>
    <t>540224</t>
  </si>
  <si>
    <t>540310</t>
  </si>
  <si>
    <t>540311</t>
  </si>
  <si>
    <t>540350</t>
  </si>
  <si>
    <t>540312</t>
  </si>
  <si>
    <t>540313</t>
  </si>
  <si>
    <t>540314</t>
  </si>
  <si>
    <t>540315</t>
  </si>
  <si>
    <t>540410</t>
  </si>
  <si>
    <t>540411</t>
  </si>
  <si>
    <t>540412</t>
  </si>
  <si>
    <t>540413</t>
  </si>
  <si>
    <t>540421</t>
  </si>
  <si>
    <t>540431</t>
  </si>
  <si>
    <t>540511</t>
  </si>
  <si>
    <t>590111</t>
  </si>
  <si>
    <t>590112</t>
  </si>
  <si>
    <t>590113</t>
  </si>
  <si>
    <t>590122</t>
  </si>
  <si>
    <t>MASILLA PARA DRYWALL CONSTRUCTEK 20KG</t>
  </si>
  <si>
    <t>590211</t>
  </si>
  <si>
    <t>590212</t>
  </si>
  <si>
    <t>590221</t>
  </si>
  <si>
    <t>590222</t>
  </si>
  <si>
    <t>590223</t>
  </si>
  <si>
    <t>PLACA FIBROCEMENTO SUPERBOARD ST 8MM 1.22X2.44 METROS</t>
  </si>
  <si>
    <t>590224</t>
  </si>
  <si>
    <t>PLANCHA DE DRYWALLS DE 1/2 GYPLAC</t>
  </si>
  <si>
    <t>600111</t>
  </si>
  <si>
    <t>600112</t>
  </si>
  <si>
    <t>600113</t>
  </si>
  <si>
    <t>600121</t>
  </si>
  <si>
    <t>600131</t>
  </si>
  <si>
    <t>600132</t>
  </si>
  <si>
    <t>600133</t>
  </si>
  <si>
    <t>600134</t>
  </si>
  <si>
    <t>600211</t>
  </si>
  <si>
    <t>600220</t>
  </si>
  <si>
    <t>600310</t>
  </si>
  <si>
    <t>600311</t>
  </si>
  <si>
    <t>600312</t>
  </si>
  <si>
    <t>600313</t>
  </si>
  <si>
    <t>600314</t>
  </si>
  <si>
    <t>600315</t>
  </si>
  <si>
    <t>600316</t>
  </si>
  <si>
    <t>600317</t>
  </si>
  <si>
    <t>600318</t>
  </si>
  <si>
    <t>600319</t>
  </si>
  <si>
    <t>600320</t>
  </si>
  <si>
    <t>600321</t>
  </si>
  <si>
    <t>600322</t>
  </si>
  <si>
    <t>600411</t>
  </si>
  <si>
    <t>600412</t>
  </si>
  <si>
    <t>600413</t>
  </si>
  <si>
    <t>610111</t>
  </si>
  <si>
    <t>610121</t>
  </si>
  <si>
    <t>610141</t>
  </si>
  <si>
    <t>610151</t>
  </si>
  <si>
    <t>610161</t>
  </si>
  <si>
    <t>610162</t>
  </si>
  <si>
    <t>610163</t>
  </si>
  <si>
    <t>610231</t>
  </si>
  <si>
    <t>610232</t>
  </si>
  <si>
    <t>CAJA DE MEDIDOR TRIFÁSICO 40X30</t>
  </si>
  <si>
    <t>650131</t>
  </si>
  <si>
    <t>650132</t>
  </si>
  <si>
    <t>650210</t>
  </si>
  <si>
    <t>650211</t>
  </si>
  <si>
    <t>650311</t>
  </si>
  <si>
    <t>ACOPLE RIGIDO RANURADO 4"-114.3mm LUYUAN® XGQT2</t>
  </si>
  <si>
    <t>710112</t>
  </si>
  <si>
    <t>720111</t>
  </si>
  <si>
    <t>720112</t>
  </si>
  <si>
    <t>720121</t>
  </si>
  <si>
    <t>720122</t>
  </si>
  <si>
    <t>720123</t>
  </si>
  <si>
    <t>720124</t>
  </si>
  <si>
    <t>720125</t>
  </si>
  <si>
    <t>720126</t>
  </si>
  <si>
    <t>720127</t>
  </si>
  <si>
    <t>720128</t>
  </si>
  <si>
    <t>720129</t>
  </si>
  <si>
    <t>720130</t>
  </si>
  <si>
    <t>720131</t>
  </si>
  <si>
    <t>720132</t>
  </si>
  <si>
    <t>720133</t>
  </si>
  <si>
    <t>720134</t>
  </si>
  <si>
    <t>720135</t>
  </si>
  <si>
    <t>720141</t>
  </si>
  <si>
    <t>720142</t>
  </si>
  <si>
    <t>720143</t>
  </si>
  <si>
    <t>720146</t>
  </si>
  <si>
    <t>720147</t>
  </si>
  <si>
    <t>720148</t>
  </si>
  <si>
    <t>720149</t>
  </si>
  <si>
    <t>720151</t>
  </si>
  <si>
    <t>720152</t>
  </si>
  <si>
    <t>720153</t>
  </si>
  <si>
    <t>720154</t>
  </si>
  <si>
    <t>720155</t>
  </si>
  <si>
    <t>720156</t>
  </si>
  <si>
    <t>720157</t>
  </si>
  <si>
    <t>720158</t>
  </si>
  <si>
    <t>720159</t>
  </si>
  <si>
    <t>720160</t>
  </si>
  <si>
    <t>720161</t>
  </si>
  <si>
    <t>720162</t>
  </si>
  <si>
    <t>720163</t>
  </si>
  <si>
    <t>720164</t>
  </si>
  <si>
    <t>720165</t>
  </si>
  <si>
    <t>TUBO 6" PVC SAP DESAGUE PESADO NARANJA</t>
  </si>
  <si>
    <t>720170</t>
  </si>
  <si>
    <t>720171</t>
  </si>
  <si>
    <t>720172</t>
  </si>
  <si>
    <t>720173</t>
  </si>
  <si>
    <t>720174</t>
  </si>
  <si>
    <t>720175</t>
  </si>
  <si>
    <t>720181</t>
  </si>
  <si>
    <t>720182</t>
  </si>
  <si>
    <t>720183</t>
  </si>
  <si>
    <t>720184</t>
  </si>
  <si>
    <t>720185</t>
  </si>
  <si>
    <t>720186</t>
  </si>
  <si>
    <t>720187</t>
  </si>
  <si>
    <t>720188</t>
  </si>
  <si>
    <t>720189</t>
  </si>
  <si>
    <t>720190</t>
  </si>
  <si>
    <t>720191</t>
  </si>
  <si>
    <t>720192</t>
  </si>
  <si>
    <t>UNION DE 1 1/2" HIDRO</t>
  </si>
  <si>
    <t>VALVULA ESFERICA 1/2 " PVC PCP</t>
  </si>
  <si>
    <t>YEE DOBLE 4"X4" PVC SAL</t>
  </si>
  <si>
    <t>720211</t>
  </si>
  <si>
    <t>720212</t>
  </si>
  <si>
    <t>720213</t>
  </si>
  <si>
    <t>720214</t>
  </si>
  <si>
    <t>720215</t>
  </si>
  <si>
    <t>720231</t>
  </si>
  <si>
    <t>720232</t>
  </si>
  <si>
    <t>720233</t>
  </si>
  <si>
    <t>720234</t>
  </si>
  <si>
    <t>720235</t>
  </si>
  <si>
    <t>720251</t>
  </si>
  <si>
    <t>720252</t>
  </si>
  <si>
    <t>720253</t>
  </si>
  <si>
    <t>720254</t>
  </si>
  <si>
    <t>720255</t>
  </si>
  <si>
    <t>720271</t>
  </si>
  <si>
    <t>720272</t>
  </si>
  <si>
    <t>720273</t>
  </si>
  <si>
    <t>720274</t>
  </si>
  <si>
    <t>720275</t>
  </si>
  <si>
    <t>720311</t>
  </si>
  <si>
    <t>720323</t>
  </si>
  <si>
    <t>720325</t>
  </si>
  <si>
    <t>720331</t>
  </si>
  <si>
    <t>720351</t>
  </si>
  <si>
    <t>720352</t>
  </si>
  <si>
    <t>720353</t>
  </si>
  <si>
    <t>720355</t>
  </si>
  <si>
    <t>REDUCCIÓN BUSHING 1 1/2x1"</t>
  </si>
  <si>
    <t>TUBERIA METÁLICA CONDUIT</t>
  </si>
  <si>
    <t>CAJA EMT CONDULET TIPO LB 1/2</t>
  </si>
  <si>
    <t>CAJA EMT CONDULETTIPO LB 3/4</t>
  </si>
  <si>
    <t>CAJA EMT CONDULET TIPO LL 1/2</t>
  </si>
  <si>
    <t>CAJA EMT CONDULET TIPO LL 3/4</t>
  </si>
  <si>
    <t>CAJA OCTOGONAL CONDULET 1/2</t>
  </si>
  <si>
    <t>CAJA RECTANGULAR CONDULET 1/2</t>
  </si>
  <si>
    <t>CURVA EMT CONDUIT 1”</t>
  </si>
  <si>
    <t>CURVA EMT CONDUIT 2"</t>
  </si>
  <si>
    <t>VALVULA CHECK SWING RANURADA FLOWCOM DE 4” UL/FM</t>
  </si>
  <si>
    <t>770111</t>
  </si>
  <si>
    <t xml:space="preserve">VALVULA ANGULAR/ TOMA DE BOMBEROS DE BRONCE H/M A-56 C/R NTP UL/FM de 2 ½” SOON POOL. </t>
  </si>
  <si>
    <t>770121</t>
  </si>
  <si>
    <t xml:space="preserve">VALVULA SIAMESA CROMADO TIPO POSTES O PARED + CLAPER UL/FM. Incluye tapas y cadena </t>
  </si>
  <si>
    <t>770131</t>
  </si>
  <si>
    <t>790111</t>
  </si>
  <si>
    <t>790112</t>
  </si>
  <si>
    <t>790113</t>
  </si>
  <si>
    <t>790114</t>
  </si>
  <si>
    <t>790310</t>
  </si>
  <si>
    <t>790311</t>
  </si>
  <si>
    <t>790321</t>
  </si>
  <si>
    <t>790331</t>
  </si>
  <si>
    <t>790411</t>
  </si>
  <si>
    <t>810111</t>
  </si>
  <si>
    <t>810121</t>
  </si>
  <si>
    <t>810122</t>
  </si>
  <si>
    <t>810131</t>
  </si>
  <si>
    <t>810132</t>
  </si>
  <si>
    <t>810140</t>
  </si>
  <si>
    <t>810141</t>
  </si>
  <si>
    <t>CHEMA VISTA ECO 1GL</t>
  </si>
  <si>
    <t>810211</t>
  </si>
  <si>
    <t>810212</t>
  </si>
  <si>
    <t>810213</t>
  </si>
  <si>
    <t>810231</t>
  </si>
  <si>
    <t>SIKA MAXTACK® ADHESIVO MULTIPROPOSITO 300ML</t>
  </si>
  <si>
    <t>810311</t>
  </si>
  <si>
    <t>810320</t>
  </si>
  <si>
    <t>810321</t>
  </si>
  <si>
    <t>810411</t>
  </si>
  <si>
    <t>810413</t>
  </si>
  <si>
    <t>810511</t>
  </si>
  <si>
    <t>810512</t>
  </si>
  <si>
    <t>810513</t>
  </si>
  <si>
    <t>810550</t>
  </si>
  <si>
    <t>810551</t>
  </si>
  <si>
    <t>810552</t>
  </si>
  <si>
    <t>810514</t>
  </si>
  <si>
    <t>PEGAMENTO CHEMAYOLIC GRIS 25KG</t>
  </si>
  <si>
    <t>PEGAMENTO PARA INTERIORES GRIS 25KG</t>
  </si>
  <si>
    <t>810611</t>
  </si>
  <si>
    <t>810612</t>
  </si>
  <si>
    <t>810621</t>
  </si>
  <si>
    <t>810631</t>
  </si>
  <si>
    <t>810632</t>
  </si>
  <si>
    <t>810641</t>
  </si>
  <si>
    <t>810711</t>
  </si>
  <si>
    <t>810712</t>
  </si>
  <si>
    <t>810750</t>
  </si>
  <si>
    <t>810751</t>
  </si>
  <si>
    <t>810752</t>
  </si>
  <si>
    <t>810753</t>
  </si>
  <si>
    <t>810754</t>
  </si>
  <si>
    <t>810755</t>
  </si>
  <si>
    <t>810756</t>
  </si>
  <si>
    <t>810757</t>
  </si>
  <si>
    <t>510217</t>
  </si>
  <si>
    <t>810812</t>
  </si>
  <si>
    <t>810813</t>
  </si>
  <si>
    <t>810814</t>
  </si>
  <si>
    <t>810815</t>
  </si>
  <si>
    <t>810816</t>
  </si>
  <si>
    <t>810817</t>
  </si>
  <si>
    <t>810818</t>
  </si>
  <si>
    <t>810819</t>
  </si>
  <si>
    <t>810820</t>
  </si>
  <si>
    <t>810821</t>
  </si>
  <si>
    <t>810822</t>
  </si>
  <si>
    <t>810823</t>
  </si>
  <si>
    <t>810824</t>
  </si>
  <si>
    <t>810825</t>
  </si>
  <si>
    <t>810826</t>
  </si>
  <si>
    <t>810827</t>
  </si>
  <si>
    <t>810828</t>
  </si>
  <si>
    <t>810829</t>
  </si>
  <si>
    <t>810830</t>
  </si>
  <si>
    <t>810831</t>
  </si>
  <si>
    <t>810832</t>
  </si>
  <si>
    <t>810851</t>
  </si>
  <si>
    <t>830112</t>
  </si>
  <si>
    <t>830113</t>
  </si>
  <si>
    <t>830115</t>
  </si>
  <si>
    <t>830117</t>
  </si>
  <si>
    <t>830119</t>
  </si>
  <si>
    <t>830121</t>
  </si>
  <si>
    <t>830123</t>
  </si>
  <si>
    <t>830125</t>
  </si>
  <si>
    <t>830127</t>
  </si>
  <si>
    <t>830129</t>
  </si>
  <si>
    <t>830131</t>
  </si>
  <si>
    <t>830133</t>
  </si>
  <si>
    <t>830135</t>
  </si>
  <si>
    <t>830137</t>
  </si>
  <si>
    <t>830139</t>
  </si>
  <si>
    <t>830141</t>
  </si>
  <si>
    <t>790211</t>
  </si>
  <si>
    <t>830145</t>
  </si>
  <si>
    <t>830147</t>
  </si>
  <si>
    <t>830149</t>
  </si>
  <si>
    <t>830151</t>
  </si>
  <si>
    <t>830211</t>
  </si>
  <si>
    <t>830213</t>
  </si>
  <si>
    <t>830215</t>
  </si>
  <si>
    <t>830217</t>
  </si>
  <si>
    <t>830219</t>
  </si>
  <si>
    <t>830221</t>
  </si>
  <si>
    <t>830223</t>
  </si>
  <si>
    <t>830225</t>
  </si>
  <si>
    <t>830227</t>
  </si>
  <si>
    <t>830228</t>
  </si>
  <si>
    <t>830229</t>
  </si>
  <si>
    <t>830231</t>
  </si>
  <si>
    <t>830233</t>
  </si>
  <si>
    <t>830235</t>
  </si>
  <si>
    <t>830237</t>
  </si>
  <si>
    <t>830239</t>
  </si>
  <si>
    <t>830241</t>
  </si>
  <si>
    <t>830242</t>
  </si>
  <si>
    <t>830243</t>
  </si>
  <si>
    <t>830244</t>
  </si>
  <si>
    <t>830245</t>
  </si>
  <si>
    <t>830246</t>
  </si>
  <si>
    <t>830247</t>
  </si>
  <si>
    <t>830248</t>
  </si>
  <si>
    <t>830249</t>
  </si>
  <si>
    <t>830251</t>
  </si>
  <si>
    <t>830252</t>
  </si>
  <si>
    <t>830253</t>
  </si>
  <si>
    <t>830255</t>
  </si>
  <si>
    <t>830256</t>
  </si>
  <si>
    <t>RESPIRADOR DE SILICONA CON FILTROS</t>
  </si>
  <si>
    <t>830311</t>
  </si>
  <si>
    <t>830313</t>
  </si>
  <si>
    <t>830315</t>
  </si>
  <si>
    <t>830317</t>
  </si>
  <si>
    <t>830319</t>
  </si>
  <si>
    <t>830321</t>
  </si>
  <si>
    <t>830323</t>
  </si>
  <si>
    <t>830325</t>
  </si>
  <si>
    <t>830327</t>
  </si>
  <si>
    <t>830329</t>
  </si>
  <si>
    <t>830331</t>
  </si>
  <si>
    <t>830332</t>
  </si>
  <si>
    <t>830333</t>
  </si>
  <si>
    <t>830334</t>
  </si>
  <si>
    <t>830335</t>
  </si>
  <si>
    <t>830336</t>
  </si>
  <si>
    <t>SPRAY BLANCO X 300ML</t>
  </si>
  <si>
    <t>830337</t>
  </si>
  <si>
    <t>840101</t>
  </si>
  <si>
    <t>840211</t>
  </si>
  <si>
    <t>840212</t>
  </si>
  <si>
    <t>840213</t>
  </si>
  <si>
    <t>840214</t>
  </si>
  <si>
    <t>840215</t>
  </si>
  <si>
    <t>840216</t>
  </si>
  <si>
    <t>840217</t>
  </si>
  <si>
    <t>840218</t>
  </si>
  <si>
    <t>850110</t>
  </si>
  <si>
    <t>850111</t>
  </si>
  <si>
    <t>850112</t>
  </si>
  <si>
    <t>850113</t>
  </si>
  <si>
    <t>ANGULO ESQUINERO PARA DRYWALL 30x30x0.30mm x 3.00m</t>
  </si>
  <si>
    <t>850211</t>
  </si>
  <si>
    <t>850221</t>
  </si>
  <si>
    <t>860111</t>
  </si>
  <si>
    <t>860112</t>
  </si>
  <si>
    <t>860113</t>
  </si>
  <si>
    <t>860114</t>
  </si>
  <si>
    <t>860211</t>
  </si>
  <si>
    <t>860213</t>
  </si>
  <si>
    <t>860214</t>
  </si>
  <si>
    <t>860241</t>
  </si>
  <si>
    <t>860242</t>
  </si>
  <si>
    <t>860251</t>
  </si>
  <si>
    <t>860252</t>
  </si>
  <si>
    <t>860262</t>
  </si>
  <si>
    <t>860263</t>
  </si>
  <si>
    <t>860271</t>
  </si>
  <si>
    <t>860272</t>
  </si>
  <si>
    <t>860273</t>
  </si>
  <si>
    <t>PINTURA SATINADA COLOR AMARILLO 1GL</t>
  </si>
  <si>
    <t>860274</t>
  </si>
  <si>
    <t>PINTURA SATINADA COLOR ROJO 1GL</t>
  </si>
  <si>
    <t>860275</t>
  </si>
  <si>
    <t>PINTURA BASE AL ACEITE 1GL</t>
  </si>
  <si>
    <t>860311</t>
  </si>
  <si>
    <t>860321</t>
  </si>
  <si>
    <t>860331</t>
  </si>
  <si>
    <t>860351</t>
  </si>
  <si>
    <t>860415</t>
  </si>
  <si>
    <t>860421</t>
  </si>
  <si>
    <t>860422</t>
  </si>
  <si>
    <t>860431</t>
  </si>
  <si>
    <t>860441</t>
  </si>
  <si>
    <t>860442</t>
  </si>
  <si>
    <t>860451</t>
  </si>
  <si>
    <t>860452</t>
  </si>
  <si>
    <t>860453</t>
  </si>
  <si>
    <t>860454</t>
  </si>
  <si>
    <t>860455</t>
  </si>
  <si>
    <t>870111</t>
  </si>
  <si>
    <t>ALUZINC DE 1.95M</t>
  </si>
  <si>
    <t>870112</t>
  </si>
  <si>
    <t>ALUZINC DE 3.20M</t>
  </si>
  <si>
    <t>870113</t>
  </si>
  <si>
    <t>ALUZINC DE 0.60M</t>
  </si>
  <si>
    <t>870114</t>
  </si>
  <si>
    <t>ALUZINC DE 4.25M</t>
  </si>
  <si>
    <t>870115</t>
  </si>
  <si>
    <t>ALUZINC DE 5.05M</t>
  </si>
  <si>
    <t>870116</t>
  </si>
  <si>
    <t>ALUZINC DE 1.20M</t>
  </si>
  <si>
    <t>870117</t>
  </si>
  <si>
    <t>ALUZINC DE 3.50M</t>
  </si>
  <si>
    <t>870118</t>
  </si>
  <si>
    <t>ALUZINC DE 4.75M</t>
  </si>
  <si>
    <t>870119</t>
  </si>
  <si>
    <t>ALUZINC DE 3.25M</t>
  </si>
  <si>
    <t>870120</t>
  </si>
  <si>
    <t>ALUZINC DE 2.90M</t>
  </si>
  <si>
    <t>870121</t>
  </si>
  <si>
    <t>ALUZINC DE 1.80M</t>
  </si>
  <si>
    <t>870122</t>
  </si>
  <si>
    <t>ALUZINC DE 0.80M</t>
  </si>
  <si>
    <t>870123</t>
  </si>
  <si>
    <t>ALUZINC DE 3.00M</t>
  </si>
  <si>
    <t>870124</t>
  </si>
  <si>
    <t>ALUZINC DE 4.50M</t>
  </si>
  <si>
    <t>870125</t>
  </si>
  <si>
    <t>ALUZINC DE 3.10M</t>
  </si>
  <si>
    <t>870126</t>
  </si>
  <si>
    <t>ALUZINC DE 4.30M</t>
  </si>
  <si>
    <t>870127</t>
  </si>
  <si>
    <t>ALUZINC DE 1.50M</t>
  </si>
  <si>
    <t>870128</t>
  </si>
  <si>
    <t>880111</t>
  </si>
  <si>
    <t>880112</t>
  </si>
  <si>
    <t>900111</t>
  </si>
  <si>
    <t>900112</t>
  </si>
  <si>
    <t>900113</t>
  </si>
  <si>
    <t>900114</t>
  </si>
  <si>
    <t>900115</t>
  </si>
  <si>
    <t>900116</t>
  </si>
  <si>
    <t>900151</t>
  </si>
  <si>
    <t>900150</t>
  </si>
  <si>
    <t>900117</t>
  </si>
  <si>
    <t>900118</t>
  </si>
  <si>
    <t>900119</t>
  </si>
  <si>
    <t>900120</t>
  </si>
  <si>
    <t>900121</t>
  </si>
  <si>
    <t>900122</t>
  </si>
  <si>
    <t>900123</t>
  </si>
  <si>
    <t>900124</t>
  </si>
  <si>
    <t>900125</t>
  </si>
  <si>
    <t>900126</t>
  </si>
  <si>
    <t>900127</t>
  </si>
  <si>
    <t>900129</t>
  </si>
  <si>
    <t>900130</t>
  </si>
  <si>
    <t>900131</t>
  </si>
  <si>
    <t>900132</t>
  </si>
  <si>
    <t>900133</t>
  </si>
  <si>
    <t>900134</t>
  </si>
  <si>
    <t>900135</t>
  </si>
  <si>
    <t>900136</t>
  </si>
  <si>
    <t>900137</t>
  </si>
  <si>
    <t>900138</t>
  </si>
  <si>
    <t>900139</t>
  </si>
  <si>
    <t>900140</t>
  </si>
  <si>
    <t>900141</t>
  </si>
  <si>
    <t>900142</t>
  </si>
  <si>
    <t>900143</t>
  </si>
  <si>
    <t>900144</t>
  </si>
  <si>
    <t>900145</t>
  </si>
  <si>
    <t>900146</t>
  </si>
  <si>
    <t>900147</t>
  </si>
  <si>
    <t>900148</t>
  </si>
  <si>
    <t>900149</t>
  </si>
  <si>
    <t>900152</t>
  </si>
  <si>
    <t>CODO THC BETA PP-RCT DE 20MM X 45°</t>
  </si>
  <si>
    <t>900153</t>
  </si>
  <si>
    <t>910210</t>
  </si>
  <si>
    <t>910211</t>
  </si>
  <si>
    <t>910212</t>
  </si>
  <si>
    <t>910213</t>
  </si>
  <si>
    <t>910214</t>
  </si>
  <si>
    <t>910215</t>
  </si>
  <si>
    <t>910216</t>
  </si>
  <si>
    <t>910217</t>
  </si>
  <si>
    <t>910218</t>
  </si>
  <si>
    <t>910219</t>
  </si>
  <si>
    <t>910220</t>
  </si>
  <si>
    <t>910221</t>
  </si>
  <si>
    <t>910222</t>
  </si>
  <si>
    <t>910223</t>
  </si>
  <si>
    <t>910225</t>
  </si>
  <si>
    <t>910226</t>
  </si>
  <si>
    <t>910227</t>
  </si>
  <si>
    <t>910228</t>
  </si>
  <si>
    <t>910229</t>
  </si>
  <si>
    <t>910230</t>
  </si>
  <si>
    <t>910231</t>
  </si>
  <si>
    <t>910232</t>
  </si>
  <si>
    <t>910233</t>
  </si>
  <si>
    <t>910234</t>
  </si>
  <si>
    <t>910235</t>
  </si>
  <si>
    <t>910236</t>
  </si>
  <si>
    <t>910237</t>
  </si>
  <si>
    <t>910238</t>
  </si>
  <si>
    <t>910239</t>
  </si>
  <si>
    <t>910240</t>
  </si>
  <si>
    <t>910241</t>
  </si>
  <si>
    <t>910242</t>
  </si>
  <si>
    <t>910243</t>
  </si>
  <si>
    <t>910244</t>
  </si>
  <si>
    <t>910245</t>
  </si>
  <si>
    <t>910246</t>
  </si>
  <si>
    <t>910247</t>
  </si>
  <si>
    <t>910248</t>
  </si>
  <si>
    <t>910249</t>
  </si>
  <si>
    <t>910250</t>
  </si>
  <si>
    <t>930111</t>
  </si>
  <si>
    <t>930121</t>
  </si>
  <si>
    <t>930151</t>
  </si>
  <si>
    <t>930152</t>
  </si>
  <si>
    <t>930153</t>
  </si>
  <si>
    <t>930155</t>
  </si>
  <si>
    <t>930171</t>
  </si>
  <si>
    <t>930211</t>
  </si>
  <si>
    <t>930221</t>
  </si>
  <si>
    <t>930222</t>
  </si>
  <si>
    <t>930223</t>
  </si>
  <si>
    <t>930224</t>
  </si>
  <si>
    <t>930225</t>
  </si>
  <si>
    <t>930241</t>
  </si>
  <si>
    <t>930251</t>
  </si>
  <si>
    <t>930261</t>
  </si>
  <si>
    <t>930271</t>
  </si>
  <si>
    <t>930275</t>
  </si>
  <si>
    <t>930276</t>
  </si>
  <si>
    <t>930277</t>
  </si>
  <si>
    <t>930278</t>
  </si>
  <si>
    <t>930279</t>
  </si>
  <si>
    <t>930280</t>
  </si>
  <si>
    <t>930281</t>
  </si>
  <si>
    <t>930282</t>
  </si>
  <si>
    <t>930283</t>
  </si>
  <si>
    <t>930311</t>
  </si>
  <si>
    <t>930321</t>
  </si>
  <si>
    <t>930411</t>
  </si>
  <si>
    <t>930421</t>
  </si>
  <si>
    <t>930511</t>
  </si>
  <si>
    <t>930512</t>
  </si>
  <si>
    <t>940111</t>
  </si>
  <si>
    <t>950111</t>
  </si>
  <si>
    <t>950112</t>
  </si>
  <si>
    <t>950113</t>
  </si>
  <si>
    <t>950114</t>
  </si>
  <si>
    <t>950115</t>
  </si>
  <si>
    <t>950116</t>
  </si>
  <si>
    <t>950117</t>
  </si>
  <si>
    <t>950131</t>
  </si>
  <si>
    <t>950133</t>
  </si>
  <si>
    <t>950134</t>
  </si>
  <si>
    <t>950135</t>
  </si>
  <si>
    <t>950170</t>
  </si>
  <si>
    <t>950171</t>
  </si>
  <si>
    <t>950172</t>
  </si>
  <si>
    <t>950213</t>
  </si>
  <si>
    <t>950215</t>
  </si>
  <si>
    <t>950217</t>
  </si>
  <si>
    <t>950219</t>
  </si>
  <si>
    <t>950221</t>
  </si>
  <si>
    <t>950223</t>
  </si>
  <si>
    <t>950225</t>
  </si>
  <si>
    <t>950227</t>
  </si>
  <si>
    <t>950229</t>
  </si>
  <si>
    <t>950231</t>
  </si>
  <si>
    <t>950233</t>
  </si>
  <si>
    <t>950311</t>
  </si>
  <si>
    <t>950312</t>
  </si>
  <si>
    <t>950313</t>
  </si>
  <si>
    <t>950315</t>
  </si>
  <si>
    <t>950317</t>
  </si>
  <si>
    <t>950319</t>
  </si>
  <si>
    <t>950321</t>
  </si>
  <si>
    <t>950323</t>
  </si>
  <si>
    <t>950325</t>
  </si>
  <si>
    <t>950411</t>
  </si>
  <si>
    <t>950412</t>
  </si>
  <si>
    <t>SIRENA STROBO FLASH 12-100DB OPALUX®</t>
  </si>
  <si>
    <t>950414</t>
  </si>
  <si>
    <t>950415</t>
  </si>
  <si>
    <t>950416</t>
  </si>
  <si>
    <t>950417</t>
  </si>
  <si>
    <t>950418</t>
  </si>
  <si>
    <t>950419</t>
  </si>
  <si>
    <t>950420</t>
  </si>
  <si>
    <t>950421</t>
  </si>
  <si>
    <t>950422</t>
  </si>
  <si>
    <t>950423</t>
  </si>
  <si>
    <t>950453</t>
  </si>
  <si>
    <t>950424</t>
  </si>
  <si>
    <t>950425</t>
  </si>
  <si>
    <t>950426</t>
  </si>
  <si>
    <t>950427</t>
  </si>
  <si>
    <t>950428</t>
  </si>
  <si>
    <t>950433</t>
  </si>
  <si>
    <t>950434</t>
  </si>
  <si>
    <t>950435</t>
  </si>
  <si>
    <t>950436</t>
  </si>
  <si>
    <t>950437</t>
  </si>
  <si>
    <t>950438</t>
  </si>
  <si>
    <t>950439</t>
  </si>
  <si>
    <t>950440</t>
  </si>
  <si>
    <t>950441</t>
  </si>
  <si>
    <t>950442</t>
  </si>
  <si>
    <t>950443</t>
  </si>
  <si>
    <t>950444</t>
  </si>
  <si>
    <t>950445</t>
  </si>
  <si>
    <t>950446</t>
  </si>
  <si>
    <t>950447</t>
  </si>
  <si>
    <t>950451</t>
  </si>
  <si>
    <t>950448</t>
  </si>
  <si>
    <t>950449</t>
  </si>
  <si>
    <t>950450</t>
  </si>
  <si>
    <t>950452</t>
  </si>
  <si>
    <t>960547</t>
  </si>
  <si>
    <t>960548</t>
  </si>
  <si>
    <t>970610</t>
  </si>
  <si>
    <t>970611</t>
  </si>
  <si>
    <t>970612</t>
  </si>
  <si>
    <t>970613</t>
  </si>
  <si>
    <t>970614</t>
  </si>
  <si>
    <t>SISTEMA CENTRALIZADOS</t>
  </si>
  <si>
    <t>SISTEMA DE RIEGO POR GOTEO</t>
  </si>
  <si>
    <t>SISTEMA DE RIEGO POR GOTEO SEGÚN COTIZACION</t>
  </si>
  <si>
    <t>980101</t>
  </si>
  <si>
    <t>SISTEMA DE PUESTA A TIERRA</t>
  </si>
  <si>
    <t>SAL INDUSTRIAL PARA POZO A TIERRA</t>
  </si>
  <si>
    <t>CINTA AISLANTE BLANCO 3M</t>
  </si>
  <si>
    <t>PAQUETE DE APOSITOS</t>
  </si>
  <si>
    <t>PALETA BAJA LENGUA</t>
  </si>
  <si>
    <t>COLIRIO</t>
  </si>
  <si>
    <t>TUBO DE ACERO NEGRO RECTANGULAR DE 1" X 1/2 X 1.8MM</t>
  </si>
  <si>
    <t>CHAPA CANTOL PROVISIONAL</t>
  </si>
  <si>
    <t>NIPLE CROMADO DE 1/2" X 1 1/2"</t>
  </si>
  <si>
    <t>CODO 6"X45º PVC NARANJA</t>
  </si>
  <si>
    <t>POLIURETANO DE 3M DE 180 X 120 BLANCO LECHOSA</t>
  </si>
  <si>
    <t>PISO HMA</t>
  </si>
  <si>
    <t>PISO HMA HX-012</t>
  </si>
  <si>
    <t>PISO HMA HX-014</t>
  </si>
  <si>
    <t>PISO HMA HX-011</t>
  </si>
  <si>
    <t>ZOCALO PARA PISO HMA HX-012</t>
  </si>
  <si>
    <t>ZOCALO PARA PISO HMA HX-014</t>
  </si>
  <si>
    <t>ZOCALO PARA PISO HMA HX-011</t>
  </si>
  <si>
    <t>PVC -SAP</t>
  </si>
  <si>
    <t>TUBO DE PVC 2" SAP</t>
  </si>
  <si>
    <t>TUBO DE PVC 3" SAP</t>
  </si>
  <si>
    <t>CURVA DE PVC 2" SAP</t>
  </si>
  <si>
    <t>CURVA DE PVC 3" SAP</t>
  </si>
  <si>
    <t>TUBO GALVANIZADO DE 2" X 6MTS</t>
  </si>
  <si>
    <t>TUBO GALVANIZADO DE 3" X 6MTS</t>
  </si>
  <si>
    <t>TUBO 6" PVC DESAGUE PESADO</t>
  </si>
  <si>
    <t xml:space="preserve">CINTA DE ACERO INOXIDABLE 1/2″ BAND-IT </t>
  </si>
  <si>
    <t>DOLAR MAS INFLACION MERCADO USA</t>
  </si>
  <si>
    <t>020444</t>
  </si>
  <si>
    <t xml:space="preserve">CANCAMO DE 3/8 </t>
  </si>
  <si>
    <t>020569</t>
  </si>
  <si>
    <t>100248</t>
  </si>
  <si>
    <t>100632</t>
  </si>
  <si>
    <t>100629</t>
  </si>
  <si>
    <t>100658</t>
  </si>
  <si>
    <t>100659</t>
  </si>
  <si>
    <t>100660</t>
  </si>
  <si>
    <t>120132</t>
  </si>
  <si>
    <t>120145</t>
  </si>
  <si>
    <t>APLIQUE DE PARED BRACKET DORMITORIO</t>
  </si>
  <si>
    <t>120146</t>
  </si>
  <si>
    <t>APLIQUE DE PARED BRACKET BAÑO</t>
  </si>
  <si>
    <t>120147</t>
  </si>
  <si>
    <t>FOCO DICROICO 3.5W LUZ CALIDA</t>
  </si>
  <si>
    <t>120148</t>
  </si>
  <si>
    <t>PANEL DOWNLIGHT ADOSABLE CUADRADO 18W (PLAFON) LUZ CALIDA</t>
  </si>
  <si>
    <t>120149</t>
  </si>
  <si>
    <t>PANEL DOWNLIGHT ADOSABLE CUADRADO 12W (PLAFON) LUZ CALIDA</t>
  </si>
  <si>
    <t>120150</t>
  </si>
  <si>
    <t>120231</t>
  </si>
  <si>
    <t>120311</t>
  </si>
  <si>
    <t>120350</t>
  </si>
  <si>
    <t>TOMACORRIENTE DOBLE UNIVERSAL UYUSTOOLS TMA632U (PARA AREAS COMUNES)</t>
  </si>
  <si>
    <t>120386</t>
  </si>
  <si>
    <t>TABLERO ELECTRICO</t>
  </si>
  <si>
    <t>120623</t>
  </si>
  <si>
    <t>INTERRUPTOR TERMOMAGNETICO 3X80A BTICINO®</t>
  </si>
  <si>
    <t>120624</t>
  </si>
  <si>
    <t>INTERRUPTOR TERMOMAGNETICO 3X100A BTICINO®</t>
  </si>
  <si>
    <t>120625</t>
  </si>
  <si>
    <t>INTERRUPTOR TERMOMAGNETICO 3X20A BTICINO®</t>
  </si>
  <si>
    <t>120626</t>
  </si>
  <si>
    <t>CANALETA PARA TIRA LED</t>
  </si>
  <si>
    <t>BLOCKER Y LADRILLO</t>
  </si>
  <si>
    <t>BLOCKER DE ARCILLA</t>
  </si>
  <si>
    <t>BISAGRA PARA SOLDAR HECHIZA 3/4 X 4" (X PAR)</t>
  </si>
  <si>
    <t>260172</t>
  </si>
  <si>
    <t>BISAGRA PARA SOLDAR HECHIZA 1/2 X 4" (X PAR)</t>
  </si>
  <si>
    <t>260173</t>
  </si>
  <si>
    <t>BISAGRA PARA SOLDAR HECHIZA 5/8 X 6" (X PAR)</t>
  </si>
  <si>
    <t>260174</t>
  </si>
  <si>
    <t>260341</t>
  </si>
  <si>
    <t>260351</t>
  </si>
  <si>
    <t>260352</t>
  </si>
  <si>
    <t>260353</t>
  </si>
  <si>
    <t>260354</t>
  </si>
  <si>
    <t>260355</t>
  </si>
  <si>
    <t>260356</t>
  </si>
  <si>
    <t>260357</t>
  </si>
  <si>
    <t>TINTE PARACAS COLOR CAOBA 1/8 GL</t>
  </si>
  <si>
    <t>TINTE PARACAS COLOR CEDRO 1/8 GL</t>
  </si>
  <si>
    <t>TINTE PARACAS COLOR NOGAL 1/8 GL</t>
  </si>
  <si>
    <t>CAJA DE REGISTRO DE CONCRETO MEDIA LUNA DESAGUE 30X60 CM</t>
  </si>
  <si>
    <t>CAJA DE REGISTRO DE CONCRETO DESAGUE 30X60 CM</t>
  </si>
  <si>
    <t>310133</t>
  </si>
  <si>
    <t>370228</t>
  </si>
  <si>
    <t>370247</t>
  </si>
  <si>
    <t>370248</t>
  </si>
  <si>
    <t>370249</t>
  </si>
  <si>
    <t>370250</t>
  </si>
  <si>
    <t>370251</t>
  </si>
  <si>
    <t>RODEL RUBI 8MM PARA PORCELANATO</t>
  </si>
  <si>
    <t>370444</t>
  </si>
  <si>
    <t>370441</t>
  </si>
  <si>
    <t>LIJA NORTON DE MADERA #400</t>
  </si>
  <si>
    <t>370445</t>
  </si>
  <si>
    <t>ADAPTADOR DADO TALADRO 3/8" DEWALT</t>
  </si>
  <si>
    <t>370584</t>
  </si>
  <si>
    <t>390120</t>
  </si>
  <si>
    <t>390178</t>
  </si>
  <si>
    <t>390179</t>
  </si>
  <si>
    <t>390160</t>
  </si>
  <si>
    <t>390180</t>
  </si>
  <si>
    <t>390181</t>
  </si>
  <si>
    <t>FRANELA AMARILLA PARA LIMPIEZA</t>
  </si>
  <si>
    <t>390182</t>
  </si>
  <si>
    <t>TOMACORRIENTE VISIBLE TRIPLE INDUSTRIAL 25A</t>
  </si>
  <si>
    <t>390183</t>
  </si>
  <si>
    <t>TAZA</t>
  </si>
  <si>
    <t>390184</t>
  </si>
  <si>
    <t>430192</t>
  </si>
  <si>
    <t>430191</t>
  </si>
  <si>
    <t>430181</t>
  </si>
  <si>
    <t>460111</t>
  </si>
  <si>
    <t>ANGULO DE ACERO 4" X 4" X 1/8 X 6M</t>
  </si>
  <si>
    <t>510124</t>
  </si>
  <si>
    <t>510223</t>
  </si>
  <si>
    <t>510224</t>
  </si>
  <si>
    <t>510216</t>
  </si>
  <si>
    <t>520131</t>
  </si>
  <si>
    <t>IMPRIMANTE CPP X 4GL</t>
  </si>
  <si>
    <t>DURALATEX CPP BLANCO X 4 GL</t>
  </si>
  <si>
    <t>LATEX PATO MATE CPP BLANCO X 4 GL</t>
  </si>
  <si>
    <t>LATEX PATO MATE CPP BLANCO HUMO X 1 GL</t>
  </si>
  <si>
    <t>CHEMASILLA ACRILICA X 1/4 GL</t>
  </si>
  <si>
    <t>590121</t>
  </si>
  <si>
    <t>MASILLA P90 EASY MIPA 500GR</t>
  </si>
  <si>
    <t>590123</t>
  </si>
  <si>
    <t>590124</t>
  </si>
  <si>
    <t>AQUAPANEL® MORTERO SUPERFICIAL BLANCO 25KG</t>
  </si>
  <si>
    <t>590125</t>
  </si>
  <si>
    <t>590311</t>
  </si>
  <si>
    <t>590312</t>
  </si>
  <si>
    <t>600221</t>
  </si>
  <si>
    <t>600222</t>
  </si>
  <si>
    <t>610131</t>
  </si>
  <si>
    <t>TAPA DE ACERO GALVANIZADO REFORZADO PARA CAJA DE REGISTRO DE AGUA POTABLE 30X25 CM (CON LOGO DE AGUA POTABLE)</t>
  </si>
  <si>
    <t>610164</t>
  </si>
  <si>
    <t>CAJA DE PASO CON TAPA BISELADA 10 X 10 CM</t>
  </si>
  <si>
    <t>610233</t>
  </si>
  <si>
    <t>CAJA DE PASO CON TAPA BISELADA 15 X 15 CM</t>
  </si>
  <si>
    <t>610234</t>
  </si>
  <si>
    <t>CAJA DE PASO CON TAPA BISELADA 20 X 20 CM</t>
  </si>
  <si>
    <t>610235</t>
  </si>
  <si>
    <t>CAJA DE PASO CON TAPA BISELADA 25 X 25 CM</t>
  </si>
  <si>
    <t>610236</t>
  </si>
  <si>
    <t>CAJA DE PASO CON TAPA BISELADA 30 X 30 CM</t>
  </si>
  <si>
    <t>610237</t>
  </si>
  <si>
    <t>CAJA DE PASO CON TAPA BISELADA 35 X 35 CM</t>
  </si>
  <si>
    <t>610238</t>
  </si>
  <si>
    <t>CAJA DE PASO CON TAPA BISELADA 40 X 40 CM</t>
  </si>
  <si>
    <t>610239</t>
  </si>
  <si>
    <t>650133</t>
  </si>
  <si>
    <t>650134</t>
  </si>
  <si>
    <t>ADAPTADOR DE 4" PVC DESAGUE PESADO TUBO NARANJA A GRIS</t>
  </si>
  <si>
    <t>ADAPTADOR DE 6" PVC DESAGUE PESADO TUBO NARANJA A GRIS</t>
  </si>
  <si>
    <t>TEE 1/2" PRESION PVC</t>
  </si>
  <si>
    <t>720166</t>
  </si>
  <si>
    <t>720193</t>
  </si>
  <si>
    <t>720194</t>
  </si>
  <si>
    <t>720195</t>
  </si>
  <si>
    <t>720196</t>
  </si>
  <si>
    <t xml:space="preserve">VALVULA DE PASO TERMOPLASTICA DE 1/2" (LLAVE DE PASO PARA MEDIDOR) </t>
  </si>
  <si>
    <t>720197</t>
  </si>
  <si>
    <t>URP (ADAPTADOR) PVC 1/2 C/R "PESADO"</t>
  </si>
  <si>
    <t>720198</t>
  </si>
  <si>
    <t>720354</t>
  </si>
  <si>
    <t>720356</t>
  </si>
  <si>
    <t>720410</t>
  </si>
  <si>
    <t>720411</t>
  </si>
  <si>
    <t>720412</t>
  </si>
  <si>
    <t>720413</t>
  </si>
  <si>
    <t>720414</t>
  </si>
  <si>
    <t>720415</t>
  </si>
  <si>
    <t>720416</t>
  </si>
  <si>
    <t>730110</t>
  </si>
  <si>
    <t>730111</t>
  </si>
  <si>
    <t>730112</t>
  </si>
  <si>
    <t>730113</t>
  </si>
  <si>
    <t>730114</t>
  </si>
  <si>
    <t>730115</t>
  </si>
  <si>
    <t>730116</t>
  </si>
  <si>
    <t>730117</t>
  </si>
  <si>
    <t>730118</t>
  </si>
  <si>
    <t>730119</t>
  </si>
  <si>
    <t>730120</t>
  </si>
  <si>
    <t>730121</t>
  </si>
  <si>
    <t>730122</t>
  </si>
  <si>
    <t>730123</t>
  </si>
  <si>
    <t>730124</t>
  </si>
  <si>
    <t>VALVULA CHECK VERTICAL 1/2 (CON RESORTE)</t>
  </si>
  <si>
    <t>770133</t>
  </si>
  <si>
    <t>VALVULA CHECK HORIZONTAL 1/2</t>
  </si>
  <si>
    <t>770134</t>
  </si>
  <si>
    <t>810142</t>
  </si>
  <si>
    <t>ADHESIVO Y SELLADOR DE JUNTAS SIKAFLEX - 415 UNIVERSAL 600m BLANCO (SALCHICHA)</t>
  </si>
  <si>
    <t>ADHESIVO Y SELLADOR DE JUNTAS SIKAFLEX - 415 UNIVERSAL 600m MARRÓN (SALCHICHA)</t>
  </si>
  <si>
    <t>ADHESIVO Y SELLADOR DE JUNTAS SIKAFLEX - 415 UNIVERSAL 600m NEGRO (SALCHICHA)</t>
  </si>
  <si>
    <t>810232</t>
  </si>
  <si>
    <t>ADHESIVO Y SELLADOR DE JUNTAS SIKAFLEX 11FC PLUS  300m GRIS HORMIGON</t>
  </si>
  <si>
    <t>810233</t>
  </si>
  <si>
    <t>ADHESIVO Y SELLADOR DE JUNTAS SIKAFLEX 11FC PLUS  300m BLANCO</t>
  </si>
  <si>
    <t>810234</t>
  </si>
  <si>
    <t>810515</t>
  </si>
  <si>
    <t>810516</t>
  </si>
  <si>
    <t>SELLADOR PLUS HF X 5GL</t>
  </si>
  <si>
    <t>SELLADOR DE ADERENCIA PRIMER X 5GL</t>
  </si>
  <si>
    <t xml:space="preserve">FRAGUA GRIS PLATA kg </t>
  </si>
  <si>
    <t>810852</t>
  </si>
  <si>
    <t xml:space="preserve">FRAGUA PULIDO GRIS kg </t>
  </si>
  <si>
    <t>810853</t>
  </si>
  <si>
    <t xml:space="preserve">FRAGUA CELESTE PLUS 1 kg </t>
  </si>
  <si>
    <t>810854</t>
  </si>
  <si>
    <t>FRAGUA SIPO MARRON 1kg</t>
  </si>
  <si>
    <t>810855</t>
  </si>
  <si>
    <t>810856</t>
  </si>
  <si>
    <t>810857</t>
  </si>
  <si>
    <t>810858</t>
  </si>
  <si>
    <t>810859</t>
  </si>
  <si>
    <t>830152</t>
  </si>
  <si>
    <t>830153</t>
  </si>
  <si>
    <t>830254</t>
  </si>
  <si>
    <t>830257</t>
  </si>
  <si>
    <t>840310</t>
  </si>
  <si>
    <t>840311</t>
  </si>
  <si>
    <t>840312</t>
  </si>
  <si>
    <t>840313</t>
  </si>
  <si>
    <t>840314</t>
  </si>
  <si>
    <t>840315</t>
  </si>
  <si>
    <t>850114</t>
  </si>
  <si>
    <t>LACA SELLADORA DURALAX PHILAAC CON CATALIZADOR X 1GL</t>
  </si>
  <si>
    <t>860215</t>
  </si>
  <si>
    <t>860261</t>
  </si>
  <si>
    <t>PINTURA PIROXILINA BLANCA (DUCO) MATIZADO X4GL</t>
  </si>
  <si>
    <t>PINTURA PIROXILINA MARRON (DUCO) MATIZADO X4GL</t>
  </si>
  <si>
    <t>860276</t>
  </si>
  <si>
    <t>860277</t>
  </si>
  <si>
    <t>BARNIZ TRANSPARENTE TEKNO DOBLE ACCION X 1GL</t>
  </si>
  <si>
    <t>PEGAMENTO OATEY X 1/4GL DORADO 946ML</t>
  </si>
  <si>
    <t>PEGAMENTO OATEY X 1/4GL NEGRO 946ML</t>
  </si>
  <si>
    <t>PEGAMENTO OATEY X 1/8GL DORADO 378.2ML</t>
  </si>
  <si>
    <t>PEGAMENTO OATEY X 1/8GL NEGRO 378.2ML</t>
  </si>
  <si>
    <t>PEGAMENTO OATEYRAIN - R- SHINE (AZUL) X 1/4GLN 946ML</t>
  </si>
  <si>
    <t>900128</t>
  </si>
  <si>
    <t>910224</t>
  </si>
  <si>
    <t>950132</t>
  </si>
  <si>
    <t>PERFIL DE PVC TRANSLUCIDO (BL-B 508 ALETA FLEXIBLE ) PARA VIDRIO DE 8MM marca Alutemp</t>
  </si>
  <si>
    <t>950454</t>
  </si>
  <si>
    <t>TOPE DE ESTACIONAMIENTO DE 55CM</t>
  </si>
  <si>
    <t>950455</t>
  </si>
  <si>
    <t>TOPE DE ESTACIONAMIENTO DE 98CM (ESQUINERO)</t>
  </si>
  <si>
    <t>950456</t>
  </si>
  <si>
    <t>TANQUE ROTOPLAST DE 600LT</t>
  </si>
  <si>
    <t>950457</t>
  </si>
  <si>
    <t xml:space="preserve">CONCRETO PREMEZCLADO f`c=210kg/cm2 </t>
  </si>
  <si>
    <t>960549</t>
  </si>
  <si>
    <t>990101</t>
  </si>
  <si>
    <t>TORNILLO SPACK PARA MADERA 5X80 (PUERTAS INTERIORES)</t>
  </si>
  <si>
    <t>TORNILLO SPACK 5X80 color Negro</t>
  </si>
  <si>
    <t xml:space="preserve">TORNILLO SPACK PARA MADERA 6X60 </t>
  </si>
  <si>
    <t>020570</t>
  </si>
  <si>
    <t>TORNILLO SPACK PARA MADERA 4X60</t>
  </si>
  <si>
    <t>020571</t>
  </si>
  <si>
    <t xml:space="preserve">PIEDRA BRUTA </t>
  </si>
  <si>
    <t>050213</t>
  </si>
  <si>
    <t>TERMINAL TIPO OJO 50Mm2</t>
  </si>
  <si>
    <t>060222</t>
  </si>
  <si>
    <t>TERMINAL TIPO OJO 4m2</t>
  </si>
  <si>
    <t>060223</t>
  </si>
  <si>
    <t>CABLE NH-90 10Mm2 COLOR NEGRO INDECO</t>
  </si>
  <si>
    <t>CABLE THW 16MM2</t>
  </si>
  <si>
    <t>070130</t>
  </si>
  <si>
    <t>CABLE NHX-90 25Mm2 COLOR NEGRO INDECO</t>
  </si>
  <si>
    <t>070131</t>
  </si>
  <si>
    <t>CABLE NHX-90 16Mm2 COLOR NEGRO INDECO</t>
  </si>
  <si>
    <t>070132</t>
  </si>
  <si>
    <t>CABLE VULCANIZADO NLT AWG # 2X16</t>
  </si>
  <si>
    <t>070133</t>
  </si>
  <si>
    <t>TOMA RJ45 AH2079EB BTICINO®</t>
  </si>
  <si>
    <t>120387</t>
  </si>
  <si>
    <t>RIEL DIN</t>
  </si>
  <si>
    <t>120497</t>
  </si>
  <si>
    <t>INTERRUPTOR DIFERENCIAL 4X40A BTICINO®</t>
  </si>
  <si>
    <t>120556</t>
  </si>
  <si>
    <t>ITM - ID TRETRAFASICO</t>
  </si>
  <si>
    <t>INTERRUPTOR TERMOMAGNETICO 4X40A BTICINO®</t>
  </si>
  <si>
    <t>120801</t>
  </si>
  <si>
    <t>INTERRUPTOR TERMOMAGNETICO 4X25A BTICINO®</t>
  </si>
  <si>
    <t>120802</t>
  </si>
  <si>
    <t>CABLE N2XOH TRIPLE 3-1X50Mm2, 1KV PVC/PVC, CLASE 2 (NYY)</t>
  </si>
  <si>
    <t>DISCO FLAP DE 7 1/2" GRANO 120 NORTON</t>
  </si>
  <si>
    <t>CINTA AISLANTE VULCANIZADA 3M SCOTCH 23X19MTS</t>
  </si>
  <si>
    <t>370252</t>
  </si>
  <si>
    <t>CIZAYA</t>
  </si>
  <si>
    <t>LIJA NORTON DE MADERA #1000</t>
  </si>
  <si>
    <t>370446</t>
  </si>
  <si>
    <t>LIMPIA VIDRIO HERMETIX</t>
  </si>
  <si>
    <t>370617</t>
  </si>
  <si>
    <t>CILINDRO METALICO COLOR AZUL PARA ACOPIO</t>
  </si>
  <si>
    <t>390185</t>
  </si>
  <si>
    <t>CILINDRO METALICO COLOR NEGRO PARA ACOPIO</t>
  </si>
  <si>
    <t>390186</t>
  </si>
  <si>
    <t>CILINDRO METRALICO COLOR BLANCO PARA ACOPIO</t>
  </si>
  <si>
    <t>390187</t>
  </si>
  <si>
    <t xml:space="preserve">FUNDA PARA IMPRESORA </t>
  </si>
  <si>
    <t>390188</t>
  </si>
  <si>
    <t>LISTELO DECORATIVO BORDE CURVO 12.5MM ALUMINIO MATE</t>
  </si>
  <si>
    <t xml:space="preserve">APLICADOR DE SILICONA (SALCHICHA) SIKA MK-6 </t>
  </si>
  <si>
    <t>480122</t>
  </si>
  <si>
    <t>510225</t>
  </si>
  <si>
    <t>520413</t>
  </si>
  <si>
    <t>TUBO CORRUGADO FLEXIBLE 1"</t>
  </si>
  <si>
    <t>720357</t>
  </si>
  <si>
    <t>CONECTOR EMT CONDUIT 1/2"</t>
  </si>
  <si>
    <t>CURVA EMT CONDUIT 1/2"</t>
  </si>
  <si>
    <t>CURVA EMT CONDUIT 3/4"</t>
  </si>
  <si>
    <t>TUBO EMT CONDUIT 1/2"</t>
  </si>
  <si>
    <t>TUBO EMT CONDUIT 3/4"</t>
  </si>
  <si>
    <t>UNION EMT CONDUIT 1/2"</t>
  </si>
  <si>
    <t>UNION EMT CONDUIT 3/4"</t>
  </si>
  <si>
    <t>TUBO EMT CONDUIT 1"</t>
  </si>
  <si>
    <t>730125</t>
  </si>
  <si>
    <t>CONECTOR EMT CONDUIT 3/4"</t>
  </si>
  <si>
    <t>730126</t>
  </si>
  <si>
    <t>PEGAMENTO CHEMAYOLIC BLANCO EN PASTA 1GL</t>
  </si>
  <si>
    <t>TAPONES AUDITIVOS SIMPLES</t>
  </si>
  <si>
    <t>TAPONES U OREJERAS PARA CASCO</t>
  </si>
  <si>
    <t>BARBIJO QUIRURGICO (MASCARILLA)</t>
  </si>
  <si>
    <t>830258</t>
  </si>
  <si>
    <t>GUANTES DE NITRILO "S"</t>
  </si>
  <si>
    <t>830259</t>
  </si>
  <si>
    <t>GUANTES DE NITRILO "M"</t>
  </si>
  <si>
    <t>830260</t>
  </si>
  <si>
    <t>PRECINTOS X100UND</t>
  </si>
  <si>
    <t>SWITCH ETHERNET DE INTERCOMUNICADOR 4POE ALL 1000(1GB)  DS-3E1505HP-EI/M HIKVISION</t>
  </si>
  <si>
    <t>950234</t>
  </si>
  <si>
    <t xml:space="preserve">CONCRETO PREMEZCLADO f`c=175kg/cm2 </t>
  </si>
  <si>
    <t>960550</t>
  </si>
  <si>
    <t>LACA CATALIZADORA CHEMILAC CHEMISA® X 01 GLN</t>
  </si>
  <si>
    <t>PLACA CIEGA BLANCO + SOPORTE 3 MODULO AH5S0EB BTICINO® LINEA MODUS 4</t>
  </si>
  <si>
    <t>120388</t>
  </si>
  <si>
    <t>LIJA CIRCULAR CON PEGATINA DE 4 PULG #40</t>
  </si>
  <si>
    <t>370447</t>
  </si>
  <si>
    <t>LIJA CIRCULAR CON PEGATINA DE 4 PULG #60</t>
  </si>
  <si>
    <t>370448</t>
  </si>
  <si>
    <t>PLANCHA DE DRYWALLS DE 3/8 GYPLAC</t>
  </si>
  <si>
    <t>PLANCHA DE DRYWALL GYPLAC RH 1/2" (12.7mm) 1.22m x 2.44m</t>
  </si>
  <si>
    <t>590313</t>
  </si>
  <si>
    <t>PLANCHA DE DRYWALL GYPLAC RF 1/2" (12.7mm) 1.22m x 2.44m</t>
  </si>
  <si>
    <t>590314</t>
  </si>
  <si>
    <t>620210</t>
  </si>
  <si>
    <t>620211</t>
  </si>
  <si>
    <t>620212</t>
  </si>
  <si>
    <t>620213</t>
  </si>
  <si>
    <t>620214</t>
  </si>
  <si>
    <t>620215</t>
  </si>
  <si>
    <t>620216</t>
  </si>
  <si>
    <t>620217</t>
  </si>
  <si>
    <t>VARILLA EJE DE 1/2'' (FIERRO LISO)</t>
  </si>
  <si>
    <t>CODO 2X90 SAL NICOLL</t>
  </si>
  <si>
    <t>720199</t>
  </si>
  <si>
    <t xml:space="preserve">ABRAZADERA 01 OREJA LIVIANA 5/8"  </t>
  </si>
  <si>
    <t>020109</t>
  </si>
  <si>
    <t>TORNILLO SPACK PARA MADERA 4X35 (PUERTA PRINCIPAL)</t>
  </si>
  <si>
    <t>TORNILLO CABEZA PLANA 6 X 3/8" color negro</t>
  </si>
  <si>
    <t>TORNILLO CABEZA PLANA 8X 1" color negro</t>
  </si>
  <si>
    <t>TORNILLO CABEZA PLANA 8X 1 1/2" color negro</t>
  </si>
  <si>
    <t>TORNILLO CABEZA PLANA 8X 1/2" color negro</t>
  </si>
  <si>
    <t>TORNILLO PARA MELAMINE 4.0 X 35MM</t>
  </si>
  <si>
    <t>020572</t>
  </si>
  <si>
    <t>TORNILLO PARA MELAMINE 4.0 X 20MM</t>
  </si>
  <si>
    <t>020573</t>
  </si>
  <si>
    <t>CABLE NH_90</t>
  </si>
  <si>
    <t>MEZCLADORA DUCHA-TINA (SEGÚN CUADRO DE ACABADOS)</t>
  </si>
  <si>
    <t>COLUMNA DE DUCHA (SEGÚN CUADRO DE ACABADOS)</t>
  </si>
  <si>
    <t>LUZ DE EMERGENCIA PROVISIONAL</t>
  </si>
  <si>
    <t>110212</t>
  </si>
  <si>
    <t>PRENSA-ESTOPAS DE 3/4" PVC</t>
  </si>
  <si>
    <t>110312</t>
  </si>
  <si>
    <t>PRENSA-ESTOPAS DE 1" METALICA</t>
  </si>
  <si>
    <t>110313</t>
  </si>
  <si>
    <t>PRENSA-ESTOPAS DE 1" PVC</t>
  </si>
  <si>
    <t>110314</t>
  </si>
  <si>
    <t>PRENSA-ESTOPAS DE 4" METALICA</t>
  </si>
  <si>
    <t>110315</t>
  </si>
  <si>
    <t>PRENSA-ESTOPAS DE 4" PVC</t>
  </si>
  <si>
    <t>110316</t>
  </si>
  <si>
    <t xml:space="preserve">TABLERO DE 12 POLOS -  EMPOTRABLE PVC CON TAPA </t>
  </si>
  <si>
    <t>120498</t>
  </si>
  <si>
    <t>INTERRUPTOR DIFERENCIAL 2X16A BTICINO®</t>
  </si>
  <si>
    <t>INTERRUPTOR DIFERENCIAL 2X25A SCHNEIDER®</t>
  </si>
  <si>
    <t>120557</t>
  </si>
  <si>
    <t>UNIÓN MANGUITO AISLADO ROJO 1/4″ (22-16 AWG)</t>
  </si>
  <si>
    <t>120791</t>
  </si>
  <si>
    <t>BOTONERA PARA LUZ LED EN MELAMINA</t>
  </si>
  <si>
    <t>120792</t>
  </si>
  <si>
    <t>CABLE MELLIZO 2X18 AWG P/AUDIO R/N SILICONADO</t>
  </si>
  <si>
    <t>120793</t>
  </si>
  <si>
    <t>120803</t>
  </si>
  <si>
    <t>GRANITO</t>
  </si>
  <si>
    <t>RESINA</t>
  </si>
  <si>
    <t>GL</t>
  </si>
  <si>
    <t>130101</t>
  </si>
  <si>
    <t>AEROSIL (ESPESANTE PARA RESINA)</t>
  </si>
  <si>
    <t>130102</t>
  </si>
  <si>
    <t>COBALTO</t>
  </si>
  <si>
    <t>130103</t>
  </si>
  <si>
    <t>PEROXIDO</t>
  </si>
  <si>
    <t>130104</t>
  </si>
  <si>
    <t>BISAGRA PIVOTANTE</t>
  </si>
  <si>
    <t>260175</t>
  </si>
  <si>
    <t>CHAPA PARA PUERTA DISCAPACITADOS 2 HOJAS</t>
  </si>
  <si>
    <t>260273</t>
  </si>
  <si>
    <t>PICAPORTE PARA CANDADO 5"</t>
  </si>
  <si>
    <t>260358</t>
  </si>
  <si>
    <t>PICARPOTE PASADOR 5"</t>
  </si>
  <si>
    <t>260359</t>
  </si>
  <si>
    <t>PICARPOTE PASADOR 4"</t>
  </si>
  <si>
    <t>260360</t>
  </si>
  <si>
    <t>CINTA POLITETRAFLUORURO DE ETILENO SHURTAPE AMARILLO PARA GAS 12MM X 8YD</t>
  </si>
  <si>
    <t>370253</t>
  </si>
  <si>
    <t>ESCOBILLON INDUSTRIAL</t>
  </si>
  <si>
    <t>SELLO DE ING. RESIDENTE</t>
  </si>
  <si>
    <t>390189</t>
  </si>
  <si>
    <t>SELLO DE ING. DE SEGURIDAD</t>
  </si>
  <si>
    <t>390190</t>
  </si>
  <si>
    <t>TANQUE DE IBC DE 1000LT (CHAVO)</t>
  </si>
  <si>
    <t>390191</t>
  </si>
  <si>
    <t>TAMBOR DE PLASTICO AZUL DE 200L (55 GALONES)</t>
  </si>
  <si>
    <t>390192</t>
  </si>
  <si>
    <t>PLASTICO PARA MESA DE COMEDOR DE OBRA</t>
  </si>
  <si>
    <t>390193</t>
  </si>
  <si>
    <t>GRASA MULTIPROPOSITO</t>
  </si>
  <si>
    <t>390194</t>
  </si>
  <si>
    <t>CHINCHES DORADOS CABEZA PLANA X 100UND</t>
  </si>
  <si>
    <t>390195</t>
  </si>
  <si>
    <t>CHINCHES INDICADORES X 50UND</t>
  </si>
  <si>
    <t>390196</t>
  </si>
  <si>
    <t>LAVAVAJILLAS LIQUIDO 1LT</t>
  </si>
  <si>
    <t>390197</t>
  </si>
  <si>
    <t>KIT DE UTENSILIOS ( TENEDOR, CUCHARA, CUCHARILLA,CUCHILLO)</t>
  </si>
  <si>
    <t>390198</t>
  </si>
  <si>
    <t>TABLON DE MADERA 30CM anch. X 3MTS</t>
  </si>
  <si>
    <t>430182</t>
  </si>
  <si>
    <t>600323</t>
  </si>
  <si>
    <t>PLANCHA GALVANIZADA DE 4MM (CORTE SEGÚN PLANO)</t>
  </si>
  <si>
    <t>610165</t>
  </si>
  <si>
    <t>PLANCHA FLASHING (SEGÚN DISEÑO)</t>
  </si>
  <si>
    <t>610166</t>
  </si>
  <si>
    <t>VALVULA CHECK ANTI-RETORNO EN PVC 4" 110MM DESAGUE</t>
  </si>
  <si>
    <t>VALVULA CHECK ANTI-RETORNO EN PVC 6" 160MM DESAGUE</t>
  </si>
  <si>
    <t>TUBO CORRUGADO FLEXIBLE 5/8"</t>
  </si>
  <si>
    <t>720358</t>
  </si>
  <si>
    <t>UNION EMT CONDUIT 2"</t>
  </si>
  <si>
    <t>730127</t>
  </si>
  <si>
    <t>UNION EMT CONDUIT 1"</t>
  </si>
  <si>
    <t>730128</t>
  </si>
  <si>
    <t>CHEMA LISTO PISO AUTONIVELANTE X25KG</t>
  </si>
  <si>
    <t>810642</t>
  </si>
  <si>
    <t>FRAGUA MILAN GRIS 1kg</t>
  </si>
  <si>
    <t>FRAGUA ARENA OSCURO 1kg</t>
  </si>
  <si>
    <t>FRAGUA GRAFITO 1kg</t>
  </si>
  <si>
    <t>FRAGUA PLATINO 1kg</t>
  </si>
  <si>
    <t>FRAGUA MARFIL 1kg</t>
  </si>
  <si>
    <t>810860</t>
  </si>
  <si>
    <t xml:space="preserve">CASACA DE SEGURIDAD CON CINTA REFLECTIVA </t>
  </si>
  <si>
    <t>CUBRE ZAPATOS QUIRURGICAS DESECHABLES X 50 UND</t>
  </si>
  <si>
    <t>TAFILETE PARA CASCO</t>
  </si>
  <si>
    <t>830261</t>
  </si>
  <si>
    <t>BOTAS DE JEBE PUNTA DE ACERO</t>
  </si>
  <si>
    <t>830262</t>
  </si>
  <si>
    <t>CAPOTIN PARA LLUVIA</t>
  </si>
  <si>
    <t>830263</t>
  </si>
  <si>
    <t>SEÑALIZACION DEFINITIVAS PARA EDIFICIO (SEGÚN DISEÑO)</t>
  </si>
  <si>
    <t>830338</t>
  </si>
  <si>
    <t>PINTURA ACRILICA MATIZADA (SEGÚN DISEÑO)</t>
  </si>
  <si>
    <t>860278</t>
  </si>
  <si>
    <t>900154</t>
  </si>
  <si>
    <t>CINTA MASKING COLOR BLANCO PEGAFAN 5"</t>
  </si>
  <si>
    <t>930284</t>
  </si>
  <si>
    <t>COLA CLASICA PARA MADERA X 1 GLN</t>
  </si>
  <si>
    <t>GALON</t>
  </si>
  <si>
    <t>BANCO PORTA CAJA DE AGUA</t>
  </si>
  <si>
    <t>950458</t>
  </si>
  <si>
    <t>ACANALADORA</t>
  </si>
  <si>
    <t>970615</t>
  </si>
  <si>
    <t>LAVADERO DE COCINA PARA EMPOTRAR LINEA RS15 50.40 PLUS TEKA CON ACCESORIOS</t>
  </si>
  <si>
    <t>LAVADERO DE COCINA PARA EMPOTRAR RECORD ATLANTICO 75x47.3cm DOBLE POZA CON ACCESORIOS</t>
  </si>
  <si>
    <t>100249</t>
  </si>
  <si>
    <t>MEZCLADORA MONOCOMANDO LAVATORIO VAINSA MARTINI ALTO NEGRO</t>
  </si>
  <si>
    <t>100417</t>
  </si>
  <si>
    <t>MEZCLADORA MONOCOMANDO LAVATORIO VAINSA MARTINI BAJO NEGRO</t>
  </si>
  <si>
    <t>100418</t>
  </si>
  <si>
    <t>CHUPON UNIVERSAL 4 EN 1 COFLEX</t>
  </si>
  <si>
    <t>100661</t>
  </si>
  <si>
    <t>KIT DE BAÑO ROMANTIK NEGRO 4 PIEZAS VAINSA</t>
  </si>
  <si>
    <t>100742</t>
  </si>
  <si>
    <t>INTERRUPTOR DOBLE SIMPLE COLOR NEGRO AH2200EANG BTICINO® LINEA MODUS 4</t>
  </si>
  <si>
    <t>120263</t>
  </si>
  <si>
    <t>TOMACORRIENTE DOBLE UNIVERSAL + LÍNEA A TIERRA COLOR NEGRO AH2228EANG BTICINO® LINEA MODUS 4</t>
  </si>
  <si>
    <t>120264</t>
  </si>
  <si>
    <t>INTERRUPTOR TRIPLE COLOR NEGRO AH2300EANG BTICINO® LINEA MODUS 4</t>
  </si>
  <si>
    <t>120265</t>
  </si>
  <si>
    <t>MENEQUE DE TOMA MACHO AEREO 32 AMP 2P + TIERRA AZUL 6H1PP44</t>
  </si>
  <si>
    <t>120794</t>
  </si>
  <si>
    <t>MENEQUE DE TOMA HEMBRA AEREO 32 AMP 2P + TIERRA AZUL 6H1PP44</t>
  </si>
  <si>
    <t>120795</t>
  </si>
  <si>
    <t>MENEQUE DE TOMA HEMBRA EMPOTRABLE 32 AMP 2P + TIERRA AZUL 6H1PP44</t>
  </si>
  <si>
    <t>120796</t>
  </si>
  <si>
    <t>MENEQUES DE TOMA MACHO EMPOTRABLE 32 AMP 2P + TIERRA AZUL 6H1PP44</t>
  </si>
  <si>
    <t>120797</t>
  </si>
  <si>
    <t>INTERRUPTOR DIFERENCIAL 4X63A BTICINO®</t>
  </si>
  <si>
    <t>120804</t>
  </si>
  <si>
    <t>LADRILLO DE TECHO 30X30X20</t>
  </si>
  <si>
    <t>170232</t>
  </si>
  <si>
    <t>BISAGRA DE ALUMINIO / CAPUCHINA INTERMEDIO color Negro</t>
  </si>
  <si>
    <t>PERILLA (BL-B 400 BRILLANTE) MARCA ALUTEMP</t>
  </si>
  <si>
    <t>PERILLA (BL-B 404 CROMADO) MARCA ALUTEMP</t>
  </si>
  <si>
    <t>CERRADURA DE POMO CANTOL PARA DEPOSITO (CHAPA BOLA)</t>
  </si>
  <si>
    <t>260274</t>
  </si>
  <si>
    <t>PICAPORTE PARA CANDADO 4"</t>
  </si>
  <si>
    <t>260361</t>
  </si>
  <si>
    <t xml:space="preserve">ARMELLA ABIERTA DE 2" </t>
  </si>
  <si>
    <t>260362</t>
  </si>
  <si>
    <t xml:space="preserve">ARMELLA CERRADA DE 2" </t>
  </si>
  <si>
    <t>260363</t>
  </si>
  <si>
    <t>260364</t>
  </si>
  <si>
    <t>TINTE AMARILLO OCRE PARA MICROCEMENTO 250ml</t>
  </si>
  <si>
    <t>300222</t>
  </si>
  <si>
    <t>TINTE ROJO PARA MICROCEMENTO 250 ml</t>
  </si>
  <si>
    <t>300223</t>
  </si>
  <si>
    <t>TINTE NEGRO PARA MICROCEMENTO 250 ml</t>
  </si>
  <si>
    <t>300224</t>
  </si>
  <si>
    <t xml:space="preserve">BROCA CONICA DE DESVASTO PARA RUTEADORA RECTA 1/2 X 1/2 X 2" TIMBERLINE </t>
  </si>
  <si>
    <t>DISCO DE SIERRA PARA MADERA 7-1/4"</t>
  </si>
  <si>
    <t>DISCO DIAMANTADO DE PULIR 7 1/4" (180MM)</t>
  </si>
  <si>
    <t>370254</t>
  </si>
  <si>
    <t>CINTA AISLANTE AMARILLO 3M</t>
  </si>
  <si>
    <t>370255</t>
  </si>
  <si>
    <t>DISCO DE SIERRA PARA MADERA 4-1/2"</t>
  </si>
  <si>
    <t>370256</t>
  </si>
  <si>
    <t xml:space="preserve">BROCA DE CORONA DE DIAMANTE 28MM </t>
  </si>
  <si>
    <t>370257</t>
  </si>
  <si>
    <t>BROCA CONICA DIAMANTADA 2-60MM (BROCA FRESA)</t>
  </si>
  <si>
    <t>370258</t>
  </si>
  <si>
    <t>370360</t>
  </si>
  <si>
    <t>RODEL RUBI 18MM PARA PORCELANATO</t>
  </si>
  <si>
    <t>370361</t>
  </si>
  <si>
    <t>LIJA CIRCULAR CON PEGATINA DE 9 PULG #180</t>
  </si>
  <si>
    <t>370449</t>
  </si>
  <si>
    <t>LIJA CIRCULAR CON PEGATINA DE 9 PULG #220</t>
  </si>
  <si>
    <t>370450</t>
  </si>
  <si>
    <t>POMO PLASTICO PP/PINTURA 1/4'' (SIN CONTENIDO)</t>
  </si>
  <si>
    <t>390199</t>
  </si>
  <si>
    <t>ESCRITORIO DE MELAMINE</t>
  </si>
  <si>
    <t>390105</t>
  </si>
  <si>
    <t>ESTANTE DE MELAMINE PARA ARCHIVADORES</t>
  </si>
  <si>
    <t>390106</t>
  </si>
  <si>
    <t>DISPENSADOR DE JABÓN LIQUIDO</t>
  </si>
  <si>
    <t>390107</t>
  </si>
  <si>
    <t>MACETERO</t>
  </si>
  <si>
    <t>390108</t>
  </si>
  <si>
    <t xml:space="preserve">COPAS DE LOGO </t>
  </si>
  <si>
    <t>390109</t>
  </si>
  <si>
    <t>ESPUMANTE</t>
  </si>
  <si>
    <t>390101</t>
  </si>
  <si>
    <t>BOLSA DE BASURA DE 220 LT</t>
  </si>
  <si>
    <t>390102</t>
  </si>
  <si>
    <t>ANGULO DE ACERO 1-1/2" X 1-1/2" X 1/8" X 6M</t>
  </si>
  <si>
    <t>PLATINA 1-1/4" X 3/16" X 6M</t>
  </si>
  <si>
    <t>PLATINA 1-1/4 X 2.4MM</t>
  </si>
  <si>
    <t>ANGULO DE ACERO 1"X 1" X 2.5M</t>
  </si>
  <si>
    <t>PLATINA 1" X 1/8" X 6MM</t>
  </si>
  <si>
    <t>510125</t>
  </si>
  <si>
    <t>PLATINA 1-1/2" X 1/8"MM</t>
  </si>
  <si>
    <t>510126</t>
  </si>
  <si>
    <t>TUBO DE ACERO NEGRO CUADRADO DE 1-1/2" X 1.8MM</t>
  </si>
  <si>
    <t>TUBO DE ACERO NEGRO CUADRADO DE 1-1/4" X 1.8MM</t>
  </si>
  <si>
    <t xml:space="preserve">TUBO DE ACERO RECTANGULAR DE 4" X 1-1/2''  X 1.3 </t>
  </si>
  <si>
    <t>ANGULO DE ALUMINIO 1-1/2 X 1-1/2 X 5.95M INTERMEDIO color Negro</t>
  </si>
  <si>
    <t xml:space="preserve">ANGULO DE ALUMINIO ESPIGUERO 1 X 1-1/2 X 1.3 MM  </t>
  </si>
  <si>
    <t>TUBO RECTANGULAR 2" X 1/2" (5219) CORP. LIMATAMBO COLOR NEGRO</t>
  </si>
  <si>
    <t>TUBO RECTANGULAR 3 X 1/4" X 1-1/2 X 1.3 INTERMEDIO NEGRO (523020)</t>
  </si>
  <si>
    <t>TUBO RECTANGULAR 4" X 1/2 X 1.3 INTERMEDIO NEGRO (514220)</t>
  </si>
  <si>
    <t>520414</t>
  </si>
  <si>
    <t>TOPE DE PUERTA NEGRO (801520)</t>
  </si>
  <si>
    <t>520415</t>
  </si>
  <si>
    <t>PINTURA AMERICAN COLORS SATINADO NEGRO X 1GL</t>
  </si>
  <si>
    <t>540316</t>
  </si>
  <si>
    <t>SIKA® MASIFLEX C/CATALIZADOR 600GR</t>
  </si>
  <si>
    <t>590126</t>
  </si>
  <si>
    <t>SILICONA SELLOTEC NEUTRA SC5000-S COLOR BLANCO</t>
  </si>
  <si>
    <t>TUBO DE ACERO REDONDO 1 1/4''X1.8MM</t>
  </si>
  <si>
    <t>TUBO DE ACERO REDONDO 1/2" X1.8MM</t>
  </si>
  <si>
    <t>TUBO DE ACERO REDONDO 1" X1.8MM</t>
  </si>
  <si>
    <t>SIKAREP®-500 (MORTERO DE REPARACION)</t>
  </si>
  <si>
    <t>810643</t>
  </si>
  <si>
    <t xml:space="preserve">MICROCEMENTO DESENCOFRADO X 10kg COLOR BLANCO </t>
  </si>
  <si>
    <t>810758</t>
  </si>
  <si>
    <t>FRAGUA TABACO 1kg</t>
  </si>
  <si>
    <t>DICLOFENACO 1% GEL 50g.</t>
  </si>
  <si>
    <t>830144</t>
  </si>
  <si>
    <t>PISO SPC COLOR HX-005</t>
  </si>
  <si>
    <t>840219</t>
  </si>
  <si>
    <t>ZOCALO DE SPC COLOR HX-005</t>
  </si>
  <si>
    <t>840220</t>
  </si>
  <si>
    <t>MASSA DE POLIA 102 (MASA DE PULIR) SHERWIN WILLIAMS</t>
  </si>
  <si>
    <t>860115</t>
  </si>
  <si>
    <t>ESMALTE SINTETICO GLOSS BLANCO GA-1000 X 1GL</t>
  </si>
  <si>
    <t>ESMALTE SINTETICO GLOSS NEGRO GA-7000 X 1GL</t>
  </si>
  <si>
    <t>ESMALTE SINTETICO GLOSS NARANJA X 1GL</t>
  </si>
  <si>
    <t>PINTURA DE TRAFICO COLOR BLANCO</t>
  </si>
  <si>
    <t>860279</t>
  </si>
  <si>
    <t>PINTURA PRATA NASDAQ MET 2010-13X COD.LAZZURIL 82151 - COD. UNIV. KH SHERWIN WILLIAMS</t>
  </si>
  <si>
    <t>860280</t>
  </si>
  <si>
    <t>ESMALTE SINTETICO GLOSS NEGRO MATE GA-7001 X 1GL</t>
  </si>
  <si>
    <t>860281</t>
  </si>
  <si>
    <t>TELA ARPILLERA 2X200M</t>
  </si>
  <si>
    <t>CINTA MASKING COLOR BLANCO PEGAFAN 1-1/2"</t>
  </si>
  <si>
    <t>CINTA MASKING COLOR BLANCO PEGAFAN 1/2"</t>
  </si>
  <si>
    <t>930285</t>
  </si>
  <si>
    <t>ROCIADOR CON PUNTA DE METAL</t>
  </si>
  <si>
    <t>CABEZAL DE ENCHUFE + TIERRA 15AMP AMARILLO C/ABRAZADERA</t>
  </si>
  <si>
    <t>SOPORTE PARA VIDRIO CROMADOS DE 1'' (TOPE)</t>
  </si>
  <si>
    <t>950459</t>
  </si>
  <si>
    <t>SISTEMA DE DETECTOR DE HUMO CENTRALIZADO SEGÚN COTIZACION</t>
  </si>
  <si>
    <t>980102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</si>
</sst>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"/>
    <numFmt numFmtId="165" formatCode="000"/>
    <numFmt numFmtId="168" formatCode="00.00"/>
  </numFmts>
  <fonts count="19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color theme="1"/>
      <name val="Swis721 LtEx BT"/>
      <family val="2"/>
    </font>
    <font>
      <sz val="8"/>
      <color theme="1"/>
      <name val="Swis721 LtEx BT"/>
      <family val="2"/>
    </font>
    <font>
      <b/>
      <sz val="8"/>
      <color rgb="FF0070C0"/>
      <name val="Swis721 LtEx BT"/>
      <family val="2"/>
    </font>
    <font>
      <b/>
      <sz val="8"/>
      <color rgb="FF00B050"/>
      <name val="Swis721 LtEx BT"/>
      <family val="2"/>
    </font>
    <font>
      <b/>
      <sz val="8"/>
      <color rgb="FFFF0000"/>
      <name val="Swis721 LtEx BT"/>
      <family val="2"/>
    </font>
    <font>
      <sz val="10"/>
      <color rgb="FF000000"/>
      <name val="Calibri"/>
      <family val="1"/>
      <scheme val="minor"/>
    </font>
    <font>
      <sz val="12"/>
      <color theme="1"/>
      <name val="Swis721 LtEx BT"/>
      <family val="2"/>
    </font>
    <font>
      <b/>
      <sz val="12"/>
      <color theme="1"/>
      <name val="Swis721 LtEx BT"/>
      <family val="2"/>
    </font>
    <font>
      <b/>
      <sz val="48"/>
      <color theme="0"/>
      <name val="Swis721 LtEx BT"/>
      <family val="2"/>
    </font>
    <font>
      <b/>
      <sz val="12"/>
      <color theme="0"/>
      <name val="Segoe UI"/>
      <family val="2"/>
    </font>
    <font>
      <b/>
      <sz val="11"/>
      <color theme="0"/>
      <name val="Segoe UI"/>
      <family val="2"/>
    </font>
    <font>
      <b/>
      <sz val="12"/>
      <color rgb="FF2F75B5"/>
      <name val="Segoe UI"/>
      <family val="2"/>
    </font>
    <font>
      <b/>
      <sz val="11"/>
      <color rgb="FF3A3838"/>
      <name val="Segoe UI"/>
      <family val="2"/>
    </font>
    <font>
      <b/>
      <sz val="12"/>
      <color rgb="FF00B050"/>
      <name val="Segoe UI"/>
      <family val="2"/>
    </font>
    <font>
      <b/>
      <sz val="12"/>
      <color theme="1"/>
      <name val="Segoe UI"/>
      <family val="2"/>
    </font>
    <font>
      <sz val="12"/>
      <color theme="1"/>
      <name val="Segoe UI"/>
      <family val="2"/>
    </font>
    <font>
      <sz val="11"/>
      <color rgb="FF3A3838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2F2F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hair">
        <color theme="0" tint="-0.34998626667073579"/>
      </right>
      <top style="thin">
        <color auto="1"/>
      </top>
      <bottom style="hair">
        <color theme="0" tint="-0.34998626667073579"/>
      </bottom>
      <diagonal/>
    </border>
    <border>
      <left style="hair">
        <color theme="0" tint="-0.34998626667073579"/>
      </left>
      <right style="hair">
        <color theme="0" tint="-0.34998626667073579"/>
      </right>
      <top style="thin">
        <color auto="1"/>
      </top>
      <bottom style="hair">
        <color theme="0" tint="-0.34998626667073579"/>
      </bottom>
      <diagonal/>
    </border>
    <border>
      <left style="hair">
        <color theme="0" tint="-0.34998626667073579"/>
      </left>
      <right style="hair">
        <color theme="0" tint="-0.34998626667073579"/>
      </right>
      <top/>
      <bottom style="hair">
        <color theme="0" tint="-0.34998626667073579"/>
      </bottom>
      <diagonal/>
    </border>
    <border>
      <left/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 style="hair">
        <color theme="0" tint="-0.34998626667073579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94">
    <xf numFmtId="0" fontId="0" fillId="0" borderId="0" xfId="0"/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3" fillId="0" borderId="3" xfId="0" applyFont="1" applyBorder="1"/>
    <xf numFmtId="0" fontId="4" fillId="0" borderId="4" xfId="0" applyFont="1" applyBorder="1"/>
    <xf numFmtId="0" fontId="4" fillId="0" borderId="5" xfId="0" applyFont="1" applyBorder="1"/>
    <xf numFmtId="0" fontId="4" fillId="0" borderId="5" xfId="0" applyFont="1" applyBorder="1" applyAlignment="1">
      <alignment horizontal="right"/>
    </xf>
    <xf numFmtId="164" fontId="4" fillId="0" borderId="5" xfId="0" applyNumberFormat="1" applyFont="1" applyBorder="1" applyAlignment="1">
      <alignment horizontal="center"/>
    </xf>
    <xf numFmtId="0" fontId="3" fillId="0" borderId="4" xfId="0" applyFont="1" applyBorder="1"/>
    <xf numFmtId="0" fontId="3" fillId="0" borderId="5" xfId="0" applyFont="1" applyBorder="1"/>
    <xf numFmtId="0" fontId="5" fillId="0" borderId="5" xfId="0" applyFont="1" applyBorder="1"/>
    <xf numFmtId="0" fontId="5" fillId="0" borderId="4" xfId="0" applyFont="1" applyBorder="1"/>
    <xf numFmtId="0" fontId="3" fillId="3" borderId="5" xfId="0" applyFont="1" applyFill="1" applyBorder="1" applyAlignment="1">
      <alignment horizontal="right"/>
    </xf>
    <xf numFmtId="0" fontId="3" fillId="3" borderId="5" xfId="0" applyFont="1" applyFill="1" applyBorder="1"/>
    <xf numFmtId="164" fontId="3" fillId="3" borderId="5" xfId="0" applyNumberFormat="1" applyFont="1" applyFill="1" applyBorder="1" applyAlignment="1">
      <alignment horizontal="center"/>
    </xf>
    <xf numFmtId="0" fontId="3" fillId="3" borderId="4" xfId="0" applyFont="1" applyFill="1" applyBorder="1"/>
    <xf numFmtId="0" fontId="2" fillId="3" borderId="5" xfId="0" applyFont="1" applyFill="1" applyBorder="1" applyAlignment="1">
      <alignment horizontal="right"/>
    </xf>
    <xf numFmtId="0" fontId="3" fillId="0" borderId="5" xfId="0" applyFont="1" applyBorder="1" applyAlignment="1">
      <alignment horizontal="right"/>
    </xf>
    <xf numFmtId="0" fontId="2" fillId="3" borderId="5" xfId="0" quotePrefix="1" applyFont="1" applyFill="1" applyBorder="1" applyAlignment="1">
      <alignment horizontal="right"/>
    </xf>
    <xf numFmtId="0" fontId="2" fillId="0" borderId="5" xfId="0" applyFont="1" applyBorder="1" applyAlignment="1">
      <alignment horizontal="right"/>
    </xf>
    <xf numFmtId="0" fontId="2" fillId="0" borderId="5" xfId="0" applyFont="1" applyBorder="1"/>
    <xf numFmtId="0" fontId="6" fillId="0" borderId="5" xfId="0" applyFont="1" applyBorder="1" applyAlignment="1">
      <alignment horizontal="right"/>
    </xf>
    <xf numFmtId="0" fontId="6" fillId="2" borderId="5" xfId="0" applyFont="1" applyFill="1" applyBorder="1" applyAlignment="1">
      <alignment horizontal="right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 vertical="top"/>
    </xf>
    <xf numFmtId="0" fontId="4" fillId="0" borderId="3" xfId="0" applyFont="1" applyBorder="1" applyAlignment="1">
      <alignment horizontal="right" indent="1"/>
    </xf>
    <xf numFmtId="164" fontId="4" fillId="0" borderId="3" xfId="0" quotePrefix="1" applyNumberFormat="1" applyFont="1" applyBorder="1" applyAlignment="1">
      <alignment horizontal="right" indent="1"/>
    </xf>
    <xf numFmtId="0" fontId="4" fillId="0" borderId="3" xfId="0" applyFont="1" applyBorder="1"/>
    <xf numFmtId="0" fontId="4" fillId="0" borderId="3" xfId="0" applyFont="1" applyBorder="1" applyAlignment="1">
      <alignment horizontal="center"/>
    </xf>
    <xf numFmtId="164" fontId="4" fillId="0" borderId="3" xfId="0" applyNumberFormat="1" applyFont="1" applyBorder="1" applyAlignment="1">
      <alignment horizontal="center"/>
    </xf>
    <xf numFmtId="0" fontId="4" fillId="0" borderId="3" xfId="0" applyFont="1" applyBorder="1" applyAlignment="1">
      <alignment horizontal="right"/>
    </xf>
    <xf numFmtId="0" fontId="5" fillId="3" borderId="5" xfId="0" quotePrefix="1" applyFont="1" applyFill="1" applyBorder="1" applyAlignment="1">
      <alignment horizontal="right" indent="1"/>
    </xf>
    <xf numFmtId="164" fontId="5" fillId="3" borderId="5" xfId="0" quotePrefix="1" applyNumberFormat="1" applyFont="1" applyFill="1" applyBorder="1" applyAlignment="1">
      <alignment horizontal="right" indent="1"/>
    </xf>
    <xf numFmtId="0" fontId="5" fillId="3" borderId="5" xfId="0" applyFont="1" applyFill="1" applyBorder="1"/>
    <xf numFmtId="0" fontId="5" fillId="3" borderId="5" xfId="0" applyFont="1" applyFill="1" applyBorder="1" applyAlignment="1">
      <alignment horizontal="center"/>
    </xf>
    <xf numFmtId="164" fontId="5" fillId="3" borderId="5" xfId="0" applyNumberFormat="1" applyFont="1" applyFill="1" applyBorder="1" applyAlignment="1">
      <alignment horizontal="center"/>
    </xf>
    <xf numFmtId="0" fontId="5" fillId="3" borderId="5" xfId="0" applyFont="1" applyFill="1" applyBorder="1" applyAlignment="1">
      <alignment horizontal="right"/>
    </xf>
    <xf numFmtId="0" fontId="3" fillId="0" borderId="5" xfId="0" applyFont="1" applyBorder="1" applyAlignment="1">
      <alignment horizontal="right" indent="1"/>
    </xf>
    <xf numFmtId="164" fontId="3" fillId="0" borderId="5" xfId="0" applyNumberFormat="1" applyFont="1" applyBorder="1" applyAlignment="1">
      <alignment horizontal="right" indent="1"/>
    </xf>
    <xf numFmtId="0" fontId="3" fillId="0" borderId="5" xfId="0" applyFont="1" applyBorder="1" applyAlignment="1">
      <alignment horizontal="center"/>
    </xf>
    <xf numFmtId="164" fontId="3" fillId="0" borderId="5" xfId="0" applyNumberFormat="1" applyFont="1" applyBorder="1" applyAlignment="1">
      <alignment horizontal="center"/>
    </xf>
    <xf numFmtId="0" fontId="2" fillId="0" borderId="5" xfId="0" applyFont="1" applyBorder="1" applyAlignment="1">
      <alignment horizontal="right" indent="1"/>
    </xf>
    <xf numFmtId="0" fontId="4" fillId="0" borderId="5" xfId="0" quotePrefix="1" applyFont="1" applyBorder="1" applyAlignment="1">
      <alignment horizontal="right" indent="1"/>
    </xf>
    <xf numFmtId="164" fontId="4" fillId="0" borderId="5" xfId="0" quotePrefix="1" applyNumberFormat="1" applyFont="1" applyBorder="1" applyAlignment="1">
      <alignment horizontal="right" indent="1"/>
    </xf>
    <xf numFmtId="0" fontId="4" fillId="0" borderId="5" xfId="0" applyFont="1" applyBorder="1" applyAlignment="1">
      <alignment horizontal="center"/>
    </xf>
    <xf numFmtId="0" fontId="2" fillId="0" borderId="5" xfId="0" quotePrefix="1" applyFont="1" applyBorder="1" applyAlignment="1">
      <alignment horizontal="right" indent="1"/>
    </xf>
    <xf numFmtId="0" fontId="2" fillId="0" borderId="5" xfId="0" quotePrefix="1" applyFont="1" applyBorder="1" applyAlignment="1">
      <alignment horizontal="right"/>
    </xf>
    <xf numFmtId="0" fontId="2" fillId="3" borderId="5" xfId="0" quotePrefix="1" applyFont="1" applyFill="1" applyBorder="1" applyAlignment="1">
      <alignment horizontal="right" indent="1"/>
    </xf>
    <xf numFmtId="0" fontId="3" fillId="3" borderId="5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right" indent="1"/>
    </xf>
    <xf numFmtId="0" fontId="3" fillId="3" borderId="5" xfId="0" applyFont="1" applyFill="1" applyBorder="1" applyAlignment="1">
      <alignment horizontal="right" indent="1"/>
    </xf>
    <xf numFmtId="0" fontId="6" fillId="0" borderId="5" xfId="0" applyFont="1" applyBorder="1" applyAlignment="1">
      <alignment horizontal="right" indent="1"/>
    </xf>
    <xf numFmtId="0" fontId="6" fillId="2" borderId="5" xfId="0" applyFont="1" applyFill="1" applyBorder="1" applyAlignment="1">
      <alignment horizontal="right" indent="1"/>
    </xf>
    <xf numFmtId="0" fontId="2" fillId="0" borderId="6" xfId="0" applyFont="1" applyBorder="1" applyAlignment="1">
      <alignment horizontal="right" indent="1"/>
    </xf>
    <xf numFmtId="0" fontId="4" fillId="0" borderId="3" xfId="0" quotePrefix="1" applyFont="1" applyBorder="1" applyAlignment="1">
      <alignment horizontal="right" indent="1"/>
    </xf>
    <xf numFmtId="165" fontId="5" fillId="3" borderId="5" xfId="0" quotePrefix="1" applyNumberFormat="1" applyFont="1" applyFill="1" applyBorder="1" applyAlignment="1">
      <alignment horizontal="right" indent="1"/>
    </xf>
    <xf numFmtId="165" fontId="3" fillId="0" borderId="5" xfId="0" quotePrefix="1" applyNumberFormat="1" applyFont="1" applyBorder="1" applyAlignment="1">
      <alignment horizontal="right" indent="1"/>
    </xf>
    <xf numFmtId="0" fontId="0" fillId="2" borderId="0" xfId="0" applyFill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49" fontId="12" fillId="4" borderId="0" xfId="0" applyNumberFormat="1" applyFont="1" applyFill="1" applyAlignment="1">
      <alignment horizontal="center" vertical="center"/>
    </xf>
    <xf numFmtId="164" fontId="13" fillId="5" borderId="0" xfId="0" applyNumberFormat="1" applyFont="1" applyFill="1" applyAlignment="1">
      <alignment horizontal="center" vertical="center"/>
    </xf>
    <xf numFmtId="0" fontId="13" fillId="5" borderId="0" xfId="0" applyFont="1" applyFill="1" applyAlignment="1">
      <alignment horizontal="left" vertical="center"/>
    </xf>
    <xf numFmtId="0" fontId="13" fillId="5" borderId="0" xfId="0" applyFont="1" applyFill="1" applyAlignment="1">
      <alignment horizontal="center" vertical="center"/>
    </xf>
    <xf numFmtId="49" fontId="14" fillId="5" borderId="0" xfId="0" applyNumberFormat="1" applyFont="1" applyFill="1" applyAlignment="1">
      <alignment horizontal="left" vertical="center"/>
    </xf>
    <xf numFmtId="164" fontId="15" fillId="6" borderId="0" xfId="0" applyNumberFormat="1" applyFont="1" applyFill="1" applyAlignment="1">
      <alignment horizontal="center" vertical="center"/>
    </xf>
    <xf numFmtId="0" fontId="15" fillId="6" borderId="0" xfId="0" applyFont="1" applyFill="1" applyAlignment="1">
      <alignment horizontal="left" vertical="center"/>
    </xf>
    <xf numFmtId="0" fontId="15" fillId="6" borderId="0" xfId="0" applyFont="1" applyFill="1" applyAlignment="1">
      <alignment horizontal="center" vertical="center"/>
    </xf>
    <xf numFmtId="49" fontId="14" fillId="6" borderId="0" xfId="0" applyNumberFormat="1" applyFont="1" applyFill="1" applyAlignment="1">
      <alignment horizontal="center" vertical="center"/>
    </xf>
    <xf numFmtId="164" fontId="16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164" fontId="17" fillId="0" borderId="0" xfId="0" applyNumberFormat="1" applyFont="1" applyAlignment="1">
      <alignment horizontal="center" vertical="center"/>
    </xf>
    <xf numFmtId="49" fontId="18" fillId="0" borderId="0" xfId="0" applyNumberFormat="1" applyFont="1" applyAlignment="1">
      <alignment horizontal="center" vertical="center"/>
    </xf>
    <xf numFmtId="164" fontId="17" fillId="5" borderId="0" xfId="0" applyNumberFormat="1" applyFont="1" applyFill="1" applyAlignment="1">
      <alignment horizontal="center" vertical="center"/>
    </xf>
    <xf numFmtId="0" fontId="17" fillId="5" borderId="0" xfId="0" applyFont="1" applyFill="1" applyAlignment="1">
      <alignment horizontal="center" vertical="center"/>
    </xf>
    <xf numFmtId="49" fontId="18" fillId="5" borderId="0" xfId="0" applyNumberFormat="1" applyFont="1" applyFill="1" applyAlignment="1">
      <alignment horizontal="center" vertical="center"/>
    </xf>
    <xf numFmtId="164" fontId="17" fillId="6" borderId="0" xfId="0" applyNumberFormat="1" applyFont="1" applyFill="1" applyAlignment="1">
      <alignment horizontal="center" vertical="center"/>
    </xf>
    <xf numFmtId="0" fontId="17" fillId="6" borderId="0" xfId="0" applyFont="1" applyFill="1" applyAlignment="1">
      <alignment horizontal="center" vertical="center"/>
    </xf>
    <xf numFmtId="49" fontId="18" fillId="6" borderId="0" xfId="0" applyNumberFormat="1" applyFont="1" applyFill="1" applyAlignment="1">
      <alignment horizontal="center" vertical="center"/>
    </xf>
    <xf numFmtId="168" fontId="13" fillId="5" borderId="0" xfId="0" applyNumberFormat="1" applyFont="1" applyFill="1" applyAlignment="1">
      <alignment horizontal="left" vertical="center"/>
    </xf>
    <xf numFmtId="168" fontId="13" fillId="5" borderId="0" xfId="0" applyNumberFormat="1" applyFont="1" applyFill="1" applyAlignment="1">
      <alignment horizontal="center" vertical="center"/>
    </xf>
    <xf numFmtId="164" fontId="13" fillId="5" borderId="0" xfId="0" applyNumberFormat="1" applyFont="1" applyFill="1" applyAlignment="1" applyProtection="1">
      <alignment horizontal="center" vertical="center"/>
      <protection hidden="1"/>
    </xf>
    <xf numFmtId="168" fontId="13" fillId="5" borderId="0" xfId="0" applyNumberFormat="1" applyFont="1" applyFill="1" applyAlignment="1" applyProtection="1">
      <alignment horizontal="left" vertical="center"/>
      <protection hidden="1"/>
    </xf>
    <xf numFmtId="168" fontId="13" fillId="5" borderId="0" xfId="0" applyNumberFormat="1" applyFont="1" applyFill="1" applyAlignment="1" applyProtection="1">
      <alignment horizontal="center" vertical="center"/>
      <protection hidden="1"/>
    </xf>
    <xf numFmtId="164" fontId="15" fillId="6" borderId="0" xfId="0" applyNumberFormat="1" applyFont="1" applyFill="1" applyAlignment="1" applyProtection="1">
      <alignment horizontal="center" vertical="center"/>
      <protection hidden="1"/>
    </xf>
    <xf numFmtId="0" fontId="15" fillId="6" borderId="0" xfId="0" applyFont="1" applyFill="1" applyAlignment="1" applyProtection="1">
      <alignment horizontal="left" vertical="center"/>
      <protection hidden="1"/>
    </xf>
    <xf numFmtId="0" fontId="15" fillId="6" borderId="0" xfId="0" applyFont="1" applyFill="1" applyAlignment="1" applyProtection="1">
      <alignment horizontal="center" vertical="center"/>
      <protection hidden="1"/>
    </xf>
    <xf numFmtId="164" fontId="16" fillId="0" borderId="0" xfId="0" applyNumberFormat="1" applyFont="1" applyAlignment="1" applyProtection="1">
      <alignment horizontal="center" vertical="center"/>
      <protection hidden="1"/>
    </xf>
    <xf numFmtId="0" fontId="17" fillId="0" borderId="0" xfId="0" applyFont="1" applyAlignment="1" applyProtection="1">
      <alignment horizontal="left" vertical="center"/>
      <protection hidden="1"/>
    </xf>
    <xf numFmtId="0" fontId="16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4" borderId="0" xfId="0" applyFont="1" applyFill="1" applyAlignment="1">
      <alignment horizontal="center" vertical="center"/>
    </xf>
  </cellXfs>
  <cellStyles count="2">
    <cellStyle name="Normal" xfId="0" builtinId="0"/>
    <cellStyle name="Normal 2" xfId="1" xr:uid="{BC9E3A5B-12E9-4324-A87C-B7B691C8729C}"/>
  </cellStyles>
  <dxfs count="19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1"/>
        <color rgb="FF3A3838"/>
        <name val="Segoe UI"/>
        <family val="2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numFmt numFmtId="164" formatCode="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Segoe UI"/>
        <family val="2"/>
        <scheme val="none"/>
      </font>
      <alignment horizontal="left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name val="Segoe UI"/>
        <family val="2"/>
        <scheme val="none"/>
      </font>
      <numFmt numFmtId="164" formatCode="00"/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name val="Segoe UI"/>
        <family val="2"/>
        <scheme val="none"/>
      </font>
      <numFmt numFmtId="164" formatCode="00"/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name val="Segoe UI"/>
        <family val="2"/>
        <scheme val="none"/>
      </font>
      <numFmt numFmtId="164" formatCode="0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Segoe UI"/>
        <family val="2"/>
        <scheme val="none"/>
      </font>
      <fill>
        <patternFill patternType="solid">
          <fgColor indexed="64"/>
          <bgColor rgb="FF5B9BD5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connections" Target="connections.xml"/><Relationship Id="rId10" Type="http://schemas.microsoft.com/office/2017/06/relationships/rdRichValue" Target="richData/rdrichvalue.xml"/><Relationship Id="rId4" Type="http://schemas.openxmlformats.org/officeDocument/2006/relationships/theme" Target="theme/theme1.xml"/><Relationship Id="rId9" Type="http://schemas.microsoft.com/office/2022/10/relationships/richValueRel" Target="richData/richValueRel.xml"/><Relationship Id="rId14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9B75C90F-69B9-49A7-8C37-B053573F8A44}" autoFormatId="16" applyNumberFormats="0" applyBorderFormats="0" applyFontFormats="0" applyPatternFormats="0" applyAlignmentFormats="0" applyWidthHeightFormats="0">
  <queryTableRefresh nextId="4">
    <queryTableFields count="3">
      <queryTableField id="1" name="ELEMENTO" tableColumnId="1"/>
      <queryTableField id="2" name="IUPC" tableColumnId="2"/>
      <queryTableField id="3" name="Column1" tableColumnId="3"/>
    </queryTableFields>
  </queryTableRefresh>
</queryTable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EDF107-9B57-4C19-BD9F-E43B50DED31D}" name="Tabla_diccionario_iupc_completo" displayName="Tabla_diccionario_iupc_completo" ref="A1:C1929" tableType="queryTable" totalsRowShown="0" headerRowDxfId="18" dataDxfId="17">
  <autoFilter ref="A1:C1929" xr:uid="{96EDF107-9B57-4C19-BD9F-E43B50DED31D}">
    <filterColumn colId="1">
      <filters>
        <filter val="83"/>
      </filters>
    </filterColumn>
  </autoFilter>
  <sortState xmlns:xlrd2="http://schemas.microsoft.com/office/spreadsheetml/2017/richdata2" ref="A2:C1929">
    <sortCondition ref="A2:A1929"/>
  </sortState>
  <tableColumns count="3">
    <tableColumn id="1" xr3:uid="{03D077D4-C20B-471F-83F2-2EB6FACCBCEC}" uniqueName="1" name="ELEMENTO" queryTableFieldId="1" dataDxfId="16"/>
    <tableColumn id="2" xr3:uid="{5167D2B8-9E23-424F-B632-D1F130D4F639}" uniqueName="2" name="IUPC" queryTableFieldId="2" dataDxfId="15"/>
    <tableColumn id="3" xr3:uid="{F578FDBE-8F79-4406-AE55-61DD0A8EFA1B}" uniqueName="3" name="Column1" queryTableFieldId="3" dataDxfId="1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DB23E8C-C082-4A45-8EBF-DBFF71568574}" name="Materiales3.0" displayName="Materiales3.0" ref="A9:H1946" totalsRowShown="0" headerRowDxfId="13">
  <sortState xmlns:xlrd2="http://schemas.microsoft.com/office/spreadsheetml/2017/richdata2" ref="A10:H1154">
    <sortCondition ref="D9:D1755"/>
  </sortState>
  <tableColumns count="8">
    <tableColumn id="1" xr3:uid="{991462D5-18F2-4867-B6FC-A6FEA5C11AC1}" name="IU" dataDxfId="12"/>
    <tableColumn id="2" xr3:uid="{BE13E5D7-51BD-440E-8D42-898B55E8E4B8}" name="GRUPO" dataDxfId="11"/>
    <tableColumn id="3" xr3:uid="{69C1217D-68F2-44C1-AB9E-5597C4639E8E}" name="Nro" dataDxfId="10"/>
    <tableColumn id="4" xr3:uid="{5CC6751F-EA18-4D5F-B255-E48824F7A2C1}" name="DESCRIPCION" dataDxfId="9"/>
    <tableColumn id="5" xr3:uid="{E9C78835-DBB8-4214-80D8-9703AC02574B}" name="UND" dataDxfId="8"/>
    <tableColumn id="6" xr3:uid="{95BDFF38-92A7-4944-A8D5-510D4E4E4D71}" name="CODIGO" dataDxfId="7"/>
    <tableColumn id="7" xr3:uid="{308999DE-A5ED-423B-9214-EC2B8682379B}" name="XX" dataDxfId="6"/>
    <tableColumn id="8" xr3:uid="{2CB8CB00-5101-4FA8-AC07-67C4D7C72030}" name="COD." dataDxfId="5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hyperlink" Target="https://www.ferropolis.pe/products/adaptador-1-2-c-r-pvc-pav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A1:P783"/>
  <sheetViews>
    <sheetView showZeros="0" topLeftCell="E1" zoomScaleNormal="100" workbookViewId="0">
      <selection activeCell="H8" sqref="H8"/>
    </sheetView>
  </sheetViews>
  <sheetFormatPr baseColWidth="10" defaultColWidth="8.86328125" defaultRowHeight="19.149999999999999" customHeight="1"/>
  <cols>
    <col min="1" max="1" width="11.265625" style="8" hidden="1" customWidth="1"/>
    <col min="2" max="3" width="10.73046875" style="9" hidden="1" customWidth="1"/>
    <col min="4" max="4" width="14" style="9" hidden="1" customWidth="1"/>
    <col min="5" max="7" width="7.73046875" style="37" customWidth="1"/>
    <col min="8" max="8" width="68.73046875" style="9" customWidth="1"/>
    <col min="9" max="9" width="8.86328125" style="39"/>
    <col min="10" max="13" width="0" style="9" hidden="1" customWidth="1"/>
    <col min="14" max="15" width="9.1328125" style="17" hidden="1" customWidth="1"/>
    <col min="16" max="16" width="10.59765625" style="9" customWidth="1"/>
    <col min="17" max="16384" width="8.86328125" style="9"/>
  </cols>
  <sheetData>
    <row r="1" spans="1:16" s="3" customFormat="1" ht="19.149999999999999" customHeight="1">
      <c r="A1" s="1" t="s">
        <v>0</v>
      </c>
      <c r="B1" s="2" t="s">
        <v>1</v>
      </c>
      <c r="C1" s="2" t="s">
        <v>2</v>
      </c>
      <c r="D1" s="2" t="s">
        <v>3</v>
      </c>
      <c r="E1" s="23" t="s">
        <v>7</v>
      </c>
      <c r="F1" s="23" t="s">
        <v>831</v>
      </c>
      <c r="G1" s="53" t="s">
        <v>834</v>
      </c>
      <c r="H1" s="23" t="s">
        <v>828</v>
      </c>
      <c r="I1" s="23" t="s">
        <v>829</v>
      </c>
      <c r="J1" s="24" t="s">
        <v>830</v>
      </c>
      <c r="K1" s="24" t="s">
        <v>4</v>
      </c>
      <c r="L1" s="24" t="s">
        <v>5</v>
      </c>
      <c r="M1" s="24" t="s">
        <v>6</v>
      </c>
      <c r="N1" s="24" t="s">
        <v>7</v>
      </c>
      <c r="O1" s="24"/>
      <c r="P1" s="23" t="s">
        <v>6</v>
      </c>
    </row>
    <row r="2" spans="1:16" s="5" customFormat="1" ht="19.149999999999999" customHeight="1">
      <c r="A2" s="4">
        <v>6</v>
      </c>
      <c r="B2" s="5">
        <v>1</v>
      </c>
      <c r="C2" s="5">
        <v>188</v>
      </c>
      <c r="D2" s="5">
        <v>60010188</v>
      </c>
      <c r="E2" s="25" t="s">
        <v>785</v>
      </c>
      <c r="F2" s="26">
        <v>0</v>
      </c>
      <c r="G2" s="54">
        <v>0</v>
      </c>
      <c r="H2" s="27" t="s">
        <v>832</v>
      </c>
      <c r="I2" s="28"/>
      <c r="J2" s="27"/>
      <c r="K2" s="29"/>
      <c r="L2" s="29"/>
      <c r="M2" s="29"/>
      <c r="N2" s="30"/>
      <c r="O2" s="30"/>
      <c r="P2" s="29"/>
    </row>
    <row r="3" spans="1:16" ht="19.149999999999999" customHeight="1">
      <c r="A3" s="8">
        <v>30</v>
      </c>
      <c r="B3" s="9">
        <v>1</v>
      </c>
      <c r="C3" s="9">
        <v>472</v>
      </c>
      <c r="D3" s="9">
        <v>300010472</v>
      </c>
      <c r="E3" s="31" t="s">
        <v>785</v>
      </c>
      <c r="F3" s="32">
        <v>1</v>
      </c>
      <c r="G3" s="55">
        <v>0</v>
      </c>
      <c r="H3" s="33" t="s">
        <v>2765</v>
      </c>
      <c r="I3" s="34"/>
      <c r="J3" s="33"/>
      <c r="K3" s="35"/>
      <c r="L3" s="35"/>
      <c r="M3" s="35"/>
      <c r="N3" s="36"/>
      <c r="O3" s="36"/>
      <c r="P3" s="35"/>
    </row>
    <row r="4" spans="1:16" s="10" customFormat="1" ht="19.149999999999999" customHeight="1">
      <c r="A4" s="11">
        <v>6</v>
      </c>
      <c r="B4" s="10">
        <v>1</v>
      </c>
      <c r="C4" s="10">
        <v>188</v>
      </c>
      <c r="D4" s="10">
        <v>60010188</v>
      </c>
      <c r="E4" s="37" t="s">
        <v>785</v>
      </c>
      <c r="F4" s="38">
        <f>F3</f>
        <v>1</v>
      </c>
      <c r="G4" s="37"/>
      <c r="H4" s="9" t="s">
        <v>2770</v>
      </c>
      <c r="I4" s="39" t="s">
        <v>773</v>
      </c>
      <c r="J4" s="9">
        <v>4.0999999999999996</v>
      </c>
      <c r="K4" s="40">
        <v>3</v>
      </c>
      <c r="L4" s="40">
        <v>4</v>
      </c>
      <c r="M4" s="40" t="str">
        <f t="shared" ref="M4:M11" si="0">TEXT(K4,"00")&amp;TEXT(L4,"00")</f>
        <v>0304</v>
      </c>
      <c r="N4" s="17" t="s">
        <v>785</v>
      </c>
      <c r="O4" s="17"/>
      <c r="P4" s="40" t="str">
        <f t="shared" ref="P4:P11" si="1">TEXT(E4,"00")&amp;TEXT(F4,"00")&amp;TEXT(G4,"000")</f>
        <v>0201000</v>
      </c>
    </row>
    <row r="5" spans="1:16" s="10" customFormat="1" ht="19.149999999999999" customHeight="1">
      <c r="A5" s="11">
        <v>6</v>
      </c>
      <c r="B5" s="10">
        <v>1</v>
      </c>
      <c r="C5" s="10">
        <v>188</v>
      </c>
      <c r="D5" s="10">
        <v>60010188</v>
      </c>
      <c r="E5" s="37" t="s">
        <v>785</v>
      </c>
      <c r="F5" s="38">
        <f>F3</f>
        <v>1</v>
      </c>
      <c r="G5" s="37"/>
      <c r="H5" s="9" t="s">
        <v>2771</v>
      </c>
      <c r="I5" s="39" t="s">
        <v>773</v>
      </c>
      <c r="J5" s="9">
        <v>4.0999999999999996</v>
      </c>
      <c r="K5" s="40">
        <v>3</v>
      </c>
      <c r="L5" s="40">
        <v>4</v>
      </c>
      <c r="M5" s="40" t="str">
        <f t="shared" si="0"/>
        <v>0304</v>
      </c>
      <c r="N5" s="17" t="s">
        <v>785</v>
      </c>
      <c r="O5" s="17"/>
      <c r="P5" s="40" t="str">
        <f t="shared" si="1"/>
        <v>0201000</v>
      </c>
    </row>
    <row r="6" spans="1:16" s="10" customFormat="1" ht="19.149999999999999" customHeight="1">
      <c r="A6" s="11">
        <v>6</v>
      </c>
      <c r="B6" s="10">
        <v>1</v>
      </c>
      <c r="C6" s="10">
        <v>188</v>
      </c>
      <c r="D6" s="10">
        <v>60010188</v>
      </c>
      <c r="E6" s="37" t="s">
        <v>785</v>
      </c>
      <c r="F6" s="38">
        <f>F3</f>
        <v>1</v>
      </c>
      <c r="G6" s="37"/>
      <c r="H6" s="9" t="s">
        <v>107</v>
      </c>
      <c r="I6" s="39" t="s">
        <v>773</v>
      </c>
      <c r="J6" s="9">
        <v>4.0999999999999996</v>
      </c>
      <c r="K6" s="40">
        <v>3</v>
      </c>
      <c r="L6" s="40">
        <v>4</v>
      </c>
      <c r="M6" s="40" t="str">
        <f t="shared" si="0"/>
        <v>0304</v>
      </c>
      <c r="N6" s="17" t="s">
        <v>785</v>
      </c>
      <c r="O6" s="17"/>
      <c r="P6" s="40" t="str">
        <f t="shared" si="1"/>
        <v>0201000</v>
      </c>
    </row>
    <row r="7" spans="1:16" ht="19.149999999999999" customHeight="1">
      <c r="A7" s="15">
        <v>6</v>
      </c>
      <c r="B7" s="13">
        <v>1</v>
      </c>
      <c r="C7" s="13">
        <v>188</v>
      </c>
      <c r="D7" s="13">
        <v>60010188</v>
      </c>
      <c r="E7" s="37" t="s">
        <v>785</v>
      </c>
      <c r="F7" s="38">
        <f>F6</f>
        <v>1</v>
      </c>
      <c r="H7" s="9" t="s">
        <v>108</v>
      </c>
      <c r="I7" s="39" t="s">
        <v>773</v>
      </c>
      <c r="J7" s="9">
        <v>4</v>
      </c>
      <c r="K7" s="40">
        <v>3</v>
      </c>
      <c r="L7" s="40">
        <v>4</v>
      </c>
      <c r="M7" s="40" t="str">
        <f t="shared" si="0"/>
        <v>0304</v>
      </c>
      <c r="N7" s="17" t="s">
        <v>785</v>
      </c>
      <c r="P7" s="40" t="str">
        <f t="shared" si="1"/>
        <v>0201000</v>
      </c>
    </row>
    <row r="8" spans="1:16" ht="19.149999999999999" customHeight="1">
      <c r="A8" s="15">
        <v>6</v>
      </c>
      <c r="B8" s="13">
        <v>1</v>
      </c>
      <c r="C8" s="13">
        <v>1</v>
      </c>
      <c r="D8" s="13">
        <v>60010001</v>
      </c>
      <c r="E8" s="37" t="s">
        <v>785</v>
      </c>
      <c r="F8" s="38">
        <f>F7</f>
        <v>1</v>
      </c>
      <c r="H8" s="9" t="s">
        <v>109</v>
      </c>
      <c r="I8" s="39" t="s">
        <v>773</v>
      </c>
      <c r="J8" s="9">
        <v>8.9</v>
      </c>
      <c r="K8" s="40">
        <v>3</v>
      </c>
      <c r="L8" s="40">
        <v>4</v>
      </c>
      <c r="M8" s="40" t="str">
        <f t="shared" si="0"/>
        <v>0304</v>
      </c>
      <c r="N8" s="17" t="s">
        <v>785</v>
      </c>
      <c r="P8" s="40" t="str">
        <f t="shared" si="1"/>
        <v>0201000</v>
      </c>
    </row>
    <row r="9" spans="1:16" ht="19.149999999999999" customHeight="1">
      <c r="A9" s="15">
        <v>6</v>
      </c>
      <c r="B9" s="13">
        <v>1</v>
      </c>
      <c r="C9" s="13">
        <v>187</v>
      </c>
      <c r="D9" s="13">
        <v>60010187</v>
      </c>
      <c r="E9" s="37" t="s">
        <v>785</v>
      </c>
      <c r="F9" s="38">
        <f>F8</f>
        <v>1</v>
      </c>
      <c r="H9" s="9" t="s">
        <v>110</v>
      </c>
      <c r="I9" s="39" t="s">
        <v>773</v>
      </c>
      <c r="J9" s="9">
        <v>8</v>
      </c>
      <c r="K9" s="40">
        <v>3</v>
      </c>
      <c r="L9" s="40">
        <v>4</v>
      </c>
      <c r="M9" s="40" t="str">
        <f t="shared" si="0"/>
        <v>0304</v>
      </c>
      <c r="N9" s="17" t="s">
        <v>785</v>
      </c>
      <c r="P9" s="40" t="str">
        <f t="shared" si="1"/>
        <v>0201000</v>
      </c>
    </row>
    <row r="10" spans="1:16" s="10" customFormat="1" ht="19.149999999999999" customHeight="1">
      <c r="A10" s="11">
        <v>6</v>
      </c>
      <c r="B10" s="10">
        <v>1</v>
      </c>
      <c r="C10" s="10">
        <v>188</v>
      </c>
      <c r="D10" s="10">
        <v>60010188</v>
      </c>
      <c r="E10" s="37" t="s">
        <v>785</v>
      </c>
      <c r="F10" s="38">
        <f>F9</f>
        <v>1</v>
      </c>
      <c r="G10" s="37"/>
      <c r="H10" s="9" t="s">
        <v>111</v>
      </c>
      <c r="I10" s="39" t="s">
        <v>773</v>
      </c>
      <c r="J10" s="9">
        <v>10</v>
      </c>
      <c r="K10" s="40">
        <v>3</v>
      </c>
      <c r="L10" s="40">
        <v>4</v>
      </c>
      <c r="M10" s="40" t="str">
        <f t="shared" si="0"/>
        <v>0304</v>
      </c>
      <c r="N10" s="17" t="s">
        <v>785</v>
      </c>
      <c r="O10" s="17"/>
      <c r="P10" s="40" t="str">
        <f t="shared" si="1"/>
        <v>0201000</v>
      </c>
    </row>
    <row r="11" spans="1:16" ht="19.149999999999999" customHeight="1">
      <c r="A11" s="15">
        <v>43</v>
      </c>
      <c r="B11" s="13">
        <v>1</v>
      </c>
      <c r="C11" s="13">
        <v>550</v>
      </c>
      <c r="D11" s="13">
        <v>430010550</v>
      </c>
      <c r="E11" s="37" t="s">
        <v>785</v>
      </c>
      <c r="F11" s="38">
        <f>F10</f>
        <v>1</v>
      </c>
      <c r="H11" s="9" t="s">
        <v>112</v>
      </c>
      <c r="I11" s="39" t="s">
        <v>773</v>
      </c>
      <c r="J11" s="9">
        <v>15</v>
      </c>
      <c r="K11" s="40">
        <v>3</v>
      </c>
      <c r="L11" s="40">
        <v>4</v>
      </c>
      <c r="M11" s="40" t="str">
        <f t="shared" si="0"/>
        <v>0304</v>
      </c>
      <c r="N11" s="17" t="s">
        <v>785</v>
      </c>
      <c r="P11" s="40" t="str">
        <f t="shared" si="1"/>
        <v>0201000</v>
      </c>
    </row>
    <row r="12" spans="1:16" ht="19.149999999999999" customHeight="1">
      <c r="A12" s="8">
        <v>30</v>
      </c>
      <c r="B12" s="9">
        <v>1</v>
      </c>
      <c r="C12" s="9">
        <v>472</v>
      </c>
      <c r="D12" s="9">
        <v>300010472</v>
      </c>
      <c r="E12" s="31" t="s">
        <v>785</v>
      </c>
      <c r="F12" s="31" t="s">
        <v>785</v>
      </c>
      <c r="G12" s="55">
        <v>0</v>
      </c>
      <c r="H12" s="33" t="s">
        <v>2766</v>
      </c>
      <c r="I12" s="34"/>
      <c r="J12" s="33"/>
      <c r="K12" s="35"/>
      <c r="L12" s="35"/>
      <c r="M12" s="35"/>
      <c r="N12" s="36"/>
      <c r="O12" s="36"/>
      <c r="P12" s="35"/>
    </row>
    <row r="13" spans="1:16" ht="19.149999999999999" customHeight="1">
      <c r="A13" s="15">
        <v>43</v>
      </c>
      <c r="B13" s="13">
        <v>1</v>
      </c>
      <c r="C13" s="13">
        <v>551</v>
      </c>
      <c r="D13" s="13">
        <v>430010551</v>
      </c>
      <c r="E13" s="37" t="s">
        <v>785</v>
      </c>
      <c r="F13" s="37" t="str">
        <f>F12</f>
        <v>02</v>
      </c>
      <c r="H13" s="9" t="s">
        <v>8</v>
      </c>
      <c r="I13" s="39" t="s">
        <v>771</v>
      </c>
      <c r="J13" s="9">
        <v>20</v>
      </c>
      <c r="K13" s="40">
        <v>2</v>
      </c>
      <c r="L13" s="40">
        <v>1</v>
      </c>
      <c r="M13" s="40" t="str">
        <f>TEXT(K13,"00")&amp;TEXT(L13,"00")</f>
        <v>0201</v>
      </c>
      <c r="N13" s="19" t="s">
        <v>785</v>
      </c>
      <c r="P13" s="40" t="str">
        <f>TEXT(E13,"00")&amp;TEXT(F13,"00")&amp;TEXT(G13,"000")</f>
        <v>0202000</v>
      </c>
    </row>
    <row r="14" spans="1:16" ht="19.149999999999999" customHeight="1">
      <c r="A14" s="15">
        <v>30</v>
      </c>
      <c r="B14" s="13">
        <v>1</v>
      </c>
      <c r="C14" s="13">
        <v>419</v>
      </c>
      <c r="D14" s="13">
        <v>300010419</v>
      </c>
      <c r="E14" s="37" t="s">
        <v>785</v>
      </c>
      <c r="F14" s="37" t="str">
        <f>F13</f>
        <v>02</v>
      </c>
      <c r="H14" s="9" t="s">
        <v>9</v>
      </c>
      <c r="I14" s="39" t="s">
        <v>771</v>
      </c>
      <c r="J14" s="9">
        <v>3.8</v>
      </c>
      <c r="K14" s="40">
        <v>2</v>
      </c>
      <c r="L14" s="40">
        <v>1</v>
      </c>
      <c r="M14" s="40" t="str">
        <f>TEXT(K14,"00")&amp;TEXT(L14,"00")</f>
        <v>0201</v>
      </c>
      <c r="N14" s="19" t="s">
        <v>785</v>
      </c>
      <c r="P14" s="40" t="str">
        <f>TEXT(E14,"00")&amp;TEXT(F14,"00")&amp;TEXT(G14,"000")</f>
        <v>0202000</v>
      </c>
    </row>
    <row r="15" spans="1:16" ht="19.149999999999999" customHeight="1">
      <c r="A15" s="15">
        <v>65</v>
      </c>
      <c r="B15" s="13">
        <v>1</v>
      </c>
      <c r="C15" s="13">
        <v>716</v>
      </c>
      <c r="D15" s="13">
        <v>650010716</v>
      </c>
      <c r="E15" s="37" t="s">
        <v>785</v>
      </c>
      <c r="F15" s="37" t="str">
        <f>F14</f>
        <v>02</v>
      </c>
      <c r="H15" s="9" t="s">
        <v>10</v>
      </c>
      <c r="I15" s="39" t="s">
        <v>771</v>
      </c>
      <c r="J15" s="9">
        <v>3.8</v>
      </c>
      <c r="K15" s="40">
        <v>2</v>
      </c>
      <c r="L15" s="40">
        <v>1</v>
      </c>
      <c r="M15" s="40" t="str">
        <f>TEXT(K15,"00")&amp;TEXT(L15,"00")</f>
        <v>0201</v>
      </c>
      <c r="N15" s="19" t="s">
        <v>785</v>
      </c>
      <c r="P15" s="40" t="str">
        <f>TEXT(E15,"00")&amp;TEXT(F15,"00")&amp;TEXT(G15,"000")</f>
        <v>0202000</v>
      </c>
    </row>
    <row r="16" spans="1:16" ht="19.149999999999999" customHeight="1">
      <c r="A16" s="8">
        <v>66</v>
      </c>
      <c r="B16" s="9">
        <v>1</v>
      </c>
      <c r="C16" s="9">
        <v>766</v>
      </c>
      <c r="D16" s="9">
        <v>660010766</v>
      </c>
      <c r="E16" s="31" t="s">
        <v>785</v>
      </c>
      <c r="F16" s="31" t="s">
        <v>787</v>
      </c>
      <c r="G16" s="55">
        <v>0</v>
      </c>
      <c r="H16" s="33" t="s">
        <v>833</v>
      </c>
      <c r="I16" s="34"/>
      <c r="J16" s="33"/>
      <c r="K16" s="35"/>
      <c r="L16" s="35"/>
      <c r="M16" s="35"/>
      <c r="N16" s="36"/>
      <c r="O16" s="36"/>
      <c r="P16" s="35"/>
    </row>
    <row r="17" spans="1:16" ht="19.149999999999999" customHeight="1">
      <c r="A17" s="15">
        <v>66</v>
      </c>
      <c r="B17" s="13">
        <v>1</v>
      </c>
      <c r="C17" s="13">
        <v>758</v>
      </c>
      <c r="D17" s="13">
        <v>660010758</v>
      </c>
      <c r="E17" s="37" t="s">
        <v>785</v>
      </c>
      <c r="F17" s="37" t="str">
        <f>F16</f>
        <v>03</v>
      </c>
      <c r="H17" s="9" t="s">
        <v>11</v>
      </c>
      <c r="I17" s="39" t="s">
        <v>772</v>
      </c>
      <c r="J17" s="9">
        <v>12</v>
      </c>
      <c r="K17" s="40">
        <v>2</v>
      </c>
      <c r="L17" s="40">
        <v>1</v>
      </c>
      <c r="M17" s="40" t="str">
        <f>TEXT(K17,"00")&amp;TEXT(L17,"00")</f>
        <v>0201</v>
      </c>
      <c r="N17" s="17" t="s">
        <v>785</v>
      </c>
      <c r="P17" s="40" t="str">
        <f>TEXT(E17,"00")&amp;TEXT(F17,"00")&amp;TEXT(G17,"000")</f>
        <v>0203000</v>
      </c>
    </row>
    <row r="18" spans="1:16" ht="19.149999999999999" customHeight="1">
      <c r="A18" s="15">
        <v>66</v>
      </c>
      <c r="B18" s="13">
        <v>1</v>
      </c>
      <c r="C18" s="13">
        <v>757</v>
      </c>
      <c r="D18" s="13">
        <v>660010757</v>
      </c>
      <c r="E18" s="37" t="s">
        <v>785</v>
      </c>
      <c r="F18" s="37" t="str">
        <f>F17</f>
        <v>03</v>
      </c>
      <c r="H18" s="9" t="s">
        <v>12</v>
      </c>
      <c r="I18" s="39" t="s">
        <v>772</v>
      </c>
      <c r="J18" s="9">
        <v>12</v>
      </c>
      <c r="K18" s="40">
        <v>2</v>
      </c>
      <c r="L18" s="40">
        <v>1</v>
      </c>
      <c r="M18" s="40" t="str">
        <f>TEXT(K18,"00")&amp;TEXT(L18,"00")</f>
        <v>0201</v>
      </c>
      <c r="N18" s="17" t="s">
        <v>785</v>
      </c>
      <c r="P18" s="40" t="str">
        <f>TEXT(E18,"00")&amp;TEXT(F18,"00")&amp;TEXT(G18,"000")</f>
        <v>0203000</v>
      </c>
    </row>
    <row r="19" spans="1:16" ht="19.149999999999999" customHeight="1">
      <c r="A19" s="15">
        <v>72</v>
      </c>
      <c r="B19" s="13">
        <v>1</v>
      </c>
      <c r="C19" s="13">
        <v>14</v>
      </c>
      <c r="D19" s="13">
        <v>720010014</v>
      </c>
      <c r="E19" s="37" t="s">
        <v>785</v>
      </c>
      <c r="F19" s="37" t="str">
        <f>F18</f>
        <v>03</v>
      </c>
      <c r="H19" s="9" t="s">
        <v>13</v>
      </c>
      <c r="I19" s="39" t="s">
        <v>771</v>
      </c>
      <c r="J19" s="9">
        <v>10</v>
      </c>
      <c r="K19" s="40">
        <v>2</v>
      </c>
      <c r="L19" s="40">
        <v>1</v>
      </c>
      <c r="M19" s="40" t="str">
        <f>TEXT(K19,"00")&amp;TEXT(L19,"00")</f>
        <v>0201</v>
      </c>
      <c r="N19" s="17" t="s">
        <v>785</v>
      </c>
      <c r="P19" s="40" t="str">
        <f>TEXT(E19,"00")&amp;TEXT(F19,"00")&amp;TEXT(G19,"000")</f>
        <v>0203000</v>
      </c>
    </row>
    <row r="20" spans="1:16" ht="19.149999999999999" customHeight="1">
      <c r="A20" s="8">
        <v>66</v>
      </c>
      <c r="B20" s="9">
        <v>1</v>
      </c>
      <c r="C20" s="9">
        <v>766</v>
      </c>
      <c r="D20" s="9">
        <v>660010766</v>
      </c>
      <c r="E20" s="31" t="s">
        <v>785</v>
      </c>
      <c r="F20" s="31" t="s">
        <v>797</v>
      </c>
      <c r="G20" s="55">
        <v>0</v>
      </c>
      <c r="H20" s="33" t="s">
        <v>2767</v>
      </c>
      <c r="I20" s="34"/>
      <c r="J20" s="33"/>
      <c r="K20" s="35"/>
      <c r="L20" s="35"/>
      <c r="M20" s="35"/>
      <c r="N20" s="36"/>
      <c r="O20" s="36"/>
      <c r="P20" s="35"/>
    </row>
    <row r="21" spans="1:16" ht="19.149999999999999" customHeight="1">
      <c r="A21" s="15">
        <v>65</v>
      </c>
      <c r="B21" s="13">
        <v>1</v>
      </c>
      <c r="C21" s="13">
        <v>717</v>
      </c>
      <c r="D21" s="13">
        <v>650010717</v>
      </c>
      <c r="E21" s="37" t="s">
        <v>785</v>
      </c>
      <c r="F21" s="37" t="str">
        <f t="shared" ref="F21:F31" si="2">F20</f>
        <v>04</v>
      </c>
      <c r="H21" s="9" t="s">
        <v>117</v>
      </c>
      <c r="I21" s="39" t="s">
        <v>773</v>
      </c>
      <c r="J21" s="9">
        <v>0.6</v>
      </c>
      <c r="K21" s="40">
        <v>3</v>
      </c>
      <c r="L21" s="40">
        <v>4</v>
      </c>
      <c r="M21" s="40" t="str">
        <f t="shared" ref="M21:M32" si="3">TEXT(K21,"00")&amp;TEXT(L21,"00")</f>
        <v>0304</v>
      </c>
      <c r="N21" s="19" t="s">
        <v>785</v>
      </c>
      <c r="P21" s="40" t="str">
        <f t="shared" ref="P21:P32" si="4">TEXT(E21,"00")&amp;TEXT(F21,"00")&amp;TEXT(G21,"000")</f>
        <v>0204000</v>
      </c>
    </row>
    <row r="22" spans="1:16" ht="19.149999999999999" customHeight="1">
      <c r="A22" s="15">
        <v>30</v>
      </c>
      <c r="B22" s="13">
        <v>1</v>
      </c>
      <c r="C22" s="13">
        <v>460</v>
      </c>
      <c r="D22" s="13">
        <v>300010460</v>
      </c>
      <c r="E22" s="41" t="s">
        <v>785</v>
      </c>
      <c r="F22" s="37" t="str">
        <f t="shared" si="2"/>
        <v>04</v>
      </c>
      <c r="G22" s="41"/>
      <c r="H22" s="9" t="s">
        <v>698</v>
      </c>
      <c r="I22" s="39" t="s">
        <v>773</v>
      </c>
      <c r="J22" s="9">
        <v>5.9</v>
      </c>
      <c r="K22" s="40"/>
      <c r="L22" s="40"/>
      <c r="M22" s="40" t="str">
        <f t="shared" si="3"/>
        <v>0000</v>
      </c>
      <c r="N22" s="19" t="s">
        <v>785</v>
      </c>
      <c r="O22" s="19"/>
      <c r="P22" s="40" t="str">
        <f t="shared" si="4"/>
        <v>0204000</v>
      </c>
    </row>
    <row r="23" spans="1:16" ht="19.149999999999999" customHeight="1">
      <c r="A23" s="15">
        <v>65</v>
      </c>
      <c r="B23" s="13">
        <v>1</v>
      </c>
      <c r="C23" s="13">
        <v>714</v>
      </c>
      <c r="D23" s="13">
        <v>650010714</v>
      </c>
      <c r="E23" s="41" t="s">
        <v>785</v>
      </c>
      <c r="F23" s="37" t="str">
        <f t="shared" si="2"/>
        <v>04</v>
      </c>
      <c r="G23" s="41"/>
      <c r="H23" s="9" t="s">
        <v>729</v>
      </c>
      <c r="I23" s="39" t="s">
        <v>773</v>
      </c>
      <c r="J23" s="9">
        <v>5</v>
      </c>
      <c r="K23" s="40"/>
      <c r="L23" s="40"/>
      <c r="M23" s="40" t="str">
        <f t="shared" si="3"/>
        <v>0000</v>
      </c>
      <c r="N23" s="19" t="s">
        <v>785</v>
      </c>
      <c r="O23" s="19"/>
      <c r="P23" s="40" t="str">
        <f t="shared" si="4"/>
        <v>0204000</v>
      </c>
    </row>
    <row r="24" spans="1:16" ht="19.149999999999999" customHeight="1">
      <c r="A24" s="15">
        <v>30</v>
      </c>
      <c r="B24" s="13">
        <v>1</v>
      </c>
      <c r="C24" s="13">
        <v>39</v>
      </c>
      <c r="D24" s="13">
        <v>300010039</v>
      </c>
      <c r="E24" s="37" t="s">
        <v>785</v>
      </c>
      <c r="F24" s="37" t="str">
        <f t="shared" si="2"/>
        <v>04</v>
      </c>
      <c r="H24" s="9" t="s">
        <v>175</v>
      </c>
      <c r="I24" s="39" t="s">
        <v>773</v>
      </c>
      <c r="J24" s="9">
        <v>3</v>
      </c>
      <c r="K24" s="40">
        <v>3</v>
      </c>
      <c r="L24" s="40">
        <v>4</v>
      </c>
      <c r="M24" s="40" t="str">
        <f t="shared" si="3"/>
        <v>0304</v>
      </c>
      <c r="N24" s="17" t="s">
        <v>785</v>
      </c>
      <c r="P24" s="40" t="str">
        <f t="shared" si="4"/>
        <v>0204000</v>
      </c>
    </row>
    <row r="25" spans="1:16" ht="19.149999999999999" customHeight="1">
      <c r="A25" s="15">
        <v>65</v>
      </c>
      <c r="B25" s="13">
        <v>1</v>
      </c>
      <c r="C25" s="13">
        <v>669</v>
      </c>
      <c r="D25" s="13">
        <v>650010669</v>
      </c>
      <c r="E25" s="41" t="s">
        <v>785</v>
      </c>
      <c r="F25" s="37" t="str">
        <f t="shared" si="2"/>
        <v>04</v>
      </c>
      <c r="G25" s="41"/>
      <c r="H25" s="9" t="s">
        <v>690</v>
      </c>
      <c r="I25" s="39" t="s">
        <v>773</v>
      </c>
      <c r="J25" s="9">
        <v>0.17</v>
      </c>
      <c r="K25" s="40"/>
      <c r="L25" s="40"/>
      <c r="M25" s="40" t="str">
        <f t="shared" si="3"/>
        <v>0000</v>
      </c>
      <c r="N25" s="19" t="s">
        <v>785</v>
      </c>
      <c r="O25" s="19"/>
      <c r="P25" s="40" t="str">
        <f t="shared" si="4"/>
        <v>0204000</v>
      </c>
    </row>
    <row r="26" spans="1:16" ht="19.149999999999999" customHeight="1">
      <c r="A26" s="15">
        <v>65</v>
      </c>
      <c r="B26" s="13">
        <v>1</v>
      </c>
      <c r="C26" s="13">
        <v>708</v>
      </c>
      <c r="D26" s="13">
        <v>650010708</v>
      </c>
      <c r="E26" s="37" t="s">
        <v>785</v>
      </c>
      <c r="F26" s="37" t="str">
        <f t="shared" si="2"/>
        <v>04</v>
      </c>
      <c r="H26" s="9" t="s">
        <v>118</v>
      </c>
      <c r="I26" s="39" t="s">
        <v>773</v>
      </c>
      <c r="J26" s="9">
        <v>4.5</v>
      </c>
      <c r="K26" s="40">
        <v>3</v>
      </c>
      <c r="L26" s="40">
        <v>4</v>
      </c>
      <c r="M26" s="40" t="str">
        <f t="shared" si="3"/>
        <v>0304</v>
      </c>
      <c r="N26" s="17" t="s">
        <v>785</v>
      </c>
      <c r="P26" s="40" t="str">
        <f t="shared" si="4"/>
        <v>0204000</v>
      </c>
    </row>
    <row r="27" spans="1:16" ht="19.149999999999999" customHeight="1">
      <c r="A27" s="15">
        <v>65</v>
      </c>
      <c r="B27" s="13">
        <v>1</v>
      </c>
      <c r="C27" s="13">
        <v>670</v>
      </c>
      <c r="D27" s="13">
        <v>650010670</v>
      </c>
      <c r="E27" s="37" t="s">
        <v>785</v>
      </c>
      <c r="F27" s="37" t="str">
        <f t="shared" si="2"/>
        <v>04</v>
      </c>
      <c r="H27" s="9" t="s">
        <v>119</v>
      </c>
      <c r="I27" s="39" t="s">
        <v>773</v>
      </c>
      <c r="J27" s="9">
        <v>1.3</v>
      </c>
      <c r="K27" s="40">
        <v>3</v>
      </c>
      <c r="L27" s="40">
        <v>4</v>
      </c>
      <c r="M27" s="40" t="str">
        <f t="shared" si="3"/>
        <v>0304</v>
      </c>
      <c r="N27" s="17" t="s">
        <v>785</v>
      </c>
      <c r="P27" s="40" t="str">
        <f t="shared" si="4"/>
        <v>0204000</v>
      </c>
    </row>
    <row r="28" spans="1:16" ht="19.149999999999999" customHeight="1">
      <c r="A28" s="15">
        <v>65</v>
      </c>
      <c r="B28" s="13">
        <v>1</v>
      </c>
      <c r="C28" s="13">
        <v>713</v>
      </c>
      <c r="D28" s="13">
        <v>650010713</v>
      </c>
      <c r="E28" s="41" t="s">
        <v>785</v>
      </c>
      <c r="F28" s="37" t="str">
        <f t="shared" si="2"/>
        <v>04</v>
      </c>
      <c r="G28" s="41"/>
      <c r="H28" s="9" t="s">
        <v>691</v>
      </c>
      <c r="I28" s="39" t="s">
        <v>773</v>
      </c>
      <c r="J28" s="9">
        <v>1.65</v>
      </c>
      <c r="K28" s="40"/>
      <c r="L28" s="40"/>
      <c r="M28" s="40" t="str">
        <f t="shared" si="3"/>
        <v>0000</v>
      </c>
      <c r="N28" s="19" t="s">
        <v>785</v>
      </c>
      <c r="O28" s="19"/>
      <c r="P28" s="40" t="str">
        <f t="shared" si="4"/>
        <v>0204000</v>
      </c>
    </row>
    <row r="29" spans="1:16" ht="19.149999999999999" customHeight="1">
      <c r="A29" s="15">
        <v>65</v>
      </c>
      <c r="B29" s="13">
        <v>1</v>
      </c>
      <c r="C29" s="13">
        <v>671</v>
      </c>
      <c r="D29" s="13">
        <v>650010671</v>
      </c>
      <c r="E29" s="41" t="s">
        <v>785</v>
      </c>
      <c r="F29" s="37" t="str">
        <f t="shared" si="2"/>
        <v>04</v>
      </c>
      <c r="G29" s="41"/>
      <c r="H29" s="9" t="s">
        <v>759</v>
      </c>
      <c r="I29" s="39" t="s">
        <v>773</v>
      </c>
      <c r="J29" s="9">
        <v>0.5</v>
      </c>
      <c r="K29" s="40"/>
      <c r="L29" s="40"/>
      <c r="M29" s="40" t="str">
        <f t="shared" si="3"/>
        <v>0000</v>
      </c>
      <c r="N29" s="19" t="s">
        <v>785</v>
      </c>
      <c r="O29" s="19"/>
      <c r="P29" s="40" t="str">
        <f t="shared" si="4"/>
        <v>0204000</v>
      </c>
    </row>
    <row r="30" spans="1:16" ht="19.149999999999999" customHeight="1">
      <c r="A30" s="15">
        <v>78</v>
      </c>
      <c r="B30" s="13">
        <v>1</v>
      </c>
      <c r="C30" s="13">
        <v>3</v>
      </c>
      <c r="D30" s="13">
        <v>780010003</v>
      </c>
      <c r="E30" s="37" t="s">
        <v>785</v>
      </c>
      <c r="F30" s="37" t="str">
        <f t="shared" si="2"/>
        <v>04</v>
      </c>
      <c r="H30" s="9" t="s">
        <v>186</v>
      </c>
      <c r="I30" s="39" t="s">
        <v>773</v>
      </c>
      <c r="J30" s="9">
        <v>1.2</v>
      </c>
      <c r="K30" s="40">
        <v>3</v>
      </c>
      <c r="L30" s="40">
        <v>4</v>
      </c>
      <c r="M30" s="40" t="str">
        <f t="shared" si="3"/>
        <v>0304</v>
      </c>
      <c r="N30" s="17" t="s">
        <v>785</v>
      </c>
      <c r="P30" s="40" t="str">
        <f t="shared" si="4"/>
        <v>0204000</v>
      </c>
    </row>
    <row r="31" spans="1:16" ht="19.149999999999999" customHeight="1">
      <c r="A31" s="15">
        <v>65</v>
      </c>
      <c r="B31" s="13">
        <v>1</v>
      </c>
      <c r="C31" s="13">
        <v>725</v>
      </c>
      <c r="D31" s="13">
        <v>650010725</v>
      </c>
      <c r="E31" s="37" t="s">
        <v>785</v>
      </c>
      <c r="F31" s="37" t="str">
        <f t="shared" si="2"/>
        <v>04</v>
      </c>
      <c r="H31" s="9" t="s">
        <v>187</v>
      </c>
      <c r="I31" s="39" t="s">
        <v>773</v>
      </c>
      <c r="J31" s="9">
        <v>1</v>
      </c>
      <c r="K31" s="40">
        <v>3</v>
      </c>
      <c r="L31" s="40">
        <v>4</v>
      </c>
      <c r="M31" s="40" t="str">
        <f t="shared" si="3"/>
        <v>0304</v>
      </c>
      <c r="N31" s="17" t="s">
        <v>785</v>
      </c>
      <c r="P31" s="40" t="str">
        <f t="shared" si="4"/>
        <v>0204000</v>
      </c>
    </row>
    <row r="32" spans="1:16" ht="19.149999999999999" customHeight="1">
      <c r="A32" s="15">
        <v>65</v>
      </c>
      <c r="B32" s="13">
        <v>1</v>
      </c>
      <c r="C32" s="13">
        <v>721</v>
      </c>
      <c r="D32" s="13">
        <v>650010721</v>
      </c>
      <c r="E32" s="37" t="s">
        <v>785</v>
      </c>
      <c r="F32" s="37" t="str">
        <f>F30</f>
        <v>04</v>
      </c>
      <c r="H32" s="9" t="s">
        <v>188</v>
      </c>
      <c r="I32" s="39" t="s">
        <v>773</v>
      </c>
      <c r="J32" s="9">
        <v>4.5</v>
      </c>
      <c r="K32" s="40">
        <v>3</v>
      </c>
      <c r="L32" s="40">
        <v>4</v>
      </c>
      <c r="M32" s="40" t="str">
        <f t="shared" si="3"/>
        <v>0304</v>
      </c>
      <c r="N32" s="17" t="s">
        <v>785</v>
      </c>
      <c r="P32" s="40" t="str">
        <f t="shared" si="4"/>
        <v>0204000</v>
      </c>
    </row>
    <row r="33" spans="1:16" ht="19.149999999999999" customHeight="1">
      <c r="A33" s="4">
        <v>6</v>
      </c>
      <c r="B33" s="5">
        <v>1</v>
      </c>
      <c r="C33" s="5">
        <v>188</v>
      </c>
      <c r="D33" s="5">
        <v>60010188</v>
      </c>
      <c r="E33" s="42" t="s">
        <v>787</v>
      </c>
      <c r="F33" s="43">
        <v>0</v>
      </c>
      <c r="G33" s="42">
        <v>0</v>
      </c>
      <c r="H33" s="5" t="s">
        <v>2764</v>
      </c>
      <c r="I33" s="44"/>
      <c r="J33" s="5"/>
      <c r="K33" s="7"/>
      <c r="L33" s="7"/>
      <c r="M33" s="7"/>
      <c r="N33" s="6"/>
      <c r="O33" s="6"/>
      <c r="P33" s="7"/>
    </row>
    <row r="34" spans="1:16" s="5" customFormat="1" ht="19.149999999999999" customHeight="1">
      <c r="A34" s="8">
        <v>66</v>
      </c>
      <c r="B34" s="9">
        <v>1</v>
      </c>
      <c r="C34" s="9">
        <v>766</v>
      </c>
      <c r="D34" s="9">
        <v>660010766</v>
      </c>
      <c r="E34" s="31" t="s">
        <v>787</v>
      </c>
      <c r="F34" s="32">
        <v>1</v>
      </c>
      <c r="G34" s="55">
        <v>0</v>
      </c>
      <c r="H34" s="33" t="s">
        <v>2764</v>
      </c>
      <c r="I34" s="34"/>
      <c r="J34" s="33"/>
      <c r="K34" s="35"/>
      <c r="L34" s="35"/>
      <c r="M34" s="35"/>
      <c r="N34" s="36"/>
      <c r="O34" s="36"/>
      <c r="P34" s="35"/>
    </row>
    <row r="35" spans="1:16" ht="19.149999999999999" customHeight="1">
      <c r="A35" s="15">
        <v>30</v>
      </c>
      <c r="B35" s="13">
        <v>1</v>
      </c>
      <c r="C35" s="13">
        <v>41</v>
      </c>
      <c r="D35" s="13">
        <v>300010041</v>
      </c>
      <c r="E35" s="37" t="s">
        <v>787</v>
      </c>
      <c r="F35" s="38">
        <f t="shared" ref="F35:F40" si="5">F34</f>
        <v>1</v>
      </c>
      <c r="G35" s="56">
        <v>1</v>
      </c>
      <c r="H35" s="9" t="s">
        <v>15</v>
      </c>
      <c r="I35" s="39" t="s">
        <v>781</v>
      </c>
      <c r="J35" s="9">
        <v>135.29</v>
      </c>
      <c r="K35" s="14">
        <v>2</v>
      </c>
      <c r="L35" s="14">
        <v>1</v>
      </c>
      <c r="M35" s="14" t="str">
        <f t="shared" ref="M35:M40" si="6">TEXT(K35,"00")&amp;TEXT(L35,"00")</f>
        <v>0201</v>
      </c>
      <c r="N35" s="17" t="s">
        <v>787</v>
      </c>
      <c r="P35" s="40" t="str">
        <f t="shared" ref="P35:P40" si="7">TEXT(E35,"00")&amp;TEXT(F35,"00")&amp;TEXT(G35,"000")</f>
        <v>0301001</v>
      </c>
    </row>
    <row r="36" spans="1:16" ht="19.149999999999999" customHeight="1">
      <c r="A36" s="15">
        <v>65</v>
      </c>
      <c r="B36" s="13">
        <v>1</v>
      </c>
      <c r="C36" s="13">
        <v>712</v>
      </c>
      <c r="D36" s="13">
        <v>650010712</v>
      </c>
      <c r="E36" s="37" t="s">
        <v>787</v>
      </c>
      <c r="F36" s="38">
        <f t="shared" si="5"/>
        <v>1</v>
      </c>
      <c r="G36" s="56">
        <v>2</v>
      </c>
      <c r="H36" s="9" t="s">
        <v>18</v>
      </c>
      <c r="I36" s="39" t="s">
        <v>781</v>
      </c>
      <c r="J36" s="9">
        <v>76.930000000000007</v>
      </c>
      <c r="K36" s="14">
        <v>2</v>
      </c>
      <c r="L36" s="14">
        <v>1</v>
      </c>
      <c r="M36" s="14" t="str">
        <f t="shared" si="6"/>
        <v>0201</v>
      </c>
      <c r="N36" s="17" t="s">
        <v>787</v>
      </c>
      <c r="P36" s="40" t="str">
        <f t="shared" si="7"/>
        <v>0301002</v>
      </c>
    </row>
    <row r="37" spans="1:16" ht="19.149999999999999" customHeight="1">
      <c r="A37" s="8">
        <v>3</v>
      </c>
      <c r="B37" s="9">
        <v>1</v>
      </c>
      <c r="C37" s="9">
        <v>185</v>
      </c>
      <c r="D37" s="9">
        <v>30010185</v>
      </c>
      <c r="E37" s="37" t="s">
        <v>787</v>
      </c>
      <c r="F37" s="38">
        <f t="shared" si="5"/>
        <v>1</v>
      </c>
      <c r="G37" s="56">
        <v>3</v>
      </c>
      <c r="H37" s="9" t="s">
        <v>20</v>
      </c>
      <c r="I37" s="39" t="s">
        <v>781</v>
      </c>
      <c r="J37" s="9">
        <v>53.92</v>
      </c>
      <c r="K37" s="14">
        <v>2</v>
      </c>
      <c r="L37" s="14">
        <v>1</v>
      </c>
      <c r="M37" s="14" t="str">
        <f t="shared" si="6"/>
        <v>0201</v>
      </c>
      <c r="N37" s="17" t="s">
        <v>787</v>
      </c>
      <c r="P37" s="40" t="str">
        <f t="shared" si="7"/>
        <v>0301003</v>
      </c>
    </row>
    <row r="38" spans="1:16" ht="19.149999999999999" customHeight="1">
      <c r="A38" s="8">
        <v>3</v>
      </c>
      <c r="B38" s="9">
        <v>1</v>
      </c>
      <c r="C38" s="9">
        <v>182</v>
      </c>
      <c r="D38" s="9">
        <v>30010182</v>
      </c>
      <c r="E38" s="37" t="s">
        <v>787</v>
      </c>
      <c r="F38" s="38">
        <f t="shared" si="5"/>
        <v>1</v>
      </c>
      <c r="G38" s="56">
        <v>4</v>
      </c>
      <c r="H38" s="9" t="s">
        <v>16</v>
      </c>
      <c r="I38" s="39" t="s">
        <v>781</v>
      </c>
      <c r="J38" s="9">
        <v>34.86</v>
      </c>
      <c r="K38" s="14">
        <v>2</v>
      </c>
      <c r="L38" s="14">
        <v>1</v>
      </c>
      <c r="M38" s="14" t="str">
        <f t="shared" si="6"/>
        <v>0201</v>
      </c>
      <c r="N38" s="17" t="s">
        <v>787</v>
      </c>
      <c r="P38" s="40" t="str">
        <f t="shared" si="7"/>
        <v>0301004</v>
      </c>
    </row>
    <row r="39" spans="1:16" ht="19.149999999999999" customHeight="1">
      <c r="A39" s="8">
        <v>3</v>
      </c>
      <c r="B39" s="9">
        <v>1</v>
      </c>
      <c r="C39" s="9">
        <v>1</v>
      </c>
      <c r="D39" s="9">
        <v>30010001</v>
      </c>
      <c r="E39" s="37" t="s">
        <v>787</v>
      </c>
      <c r="F39" s="38">
        <f t="shared" si="5"/>
        <v>1</v>
      </c>
      <c r="G39" s="56">
        <v>5</v>
      </c>
      <c r="H39" s="9" t="s">
        <v>19</v>
      </c>
      <c r="I39" s="39" t="s">
        <v>781</v>
      </c>
      <c r="J39" s="9">
        <v>19.45</v>
      </c>
      <c r="K39" s="14">
        <v>2</v>
      </c>
      <c r="L39" s="14">
        <v>1</v>
      </c>
      <c r="M39" s="14" t="str">
        <f t="shared" si="6"/>
        <v>0201</v>
      </c>
      <c r="N39" s="17" t="s">
        <v>787</v>
      </c>
      <c r="P39" s="40" t="str">
        <f t="shared" si="7"/>
        <v>0301005</v>
      </c>
    </row>
    <row r="40" spans="1:16" ht="19.149999999999999" customHeight="1">
      <c r="A40" s="8">
        <v>3</v>
      </c>
      <c r="B40" s="9">
        <v>1</v>
      </c>
      <c r="C40" s="9">
        <v>184</v>
      </c>
      <c r="D40" s="9">
        <v>30010184</v>
      </c>
      <c r="E40" s="37" t="s">
        <v>787</v>
      </c>
      <c r="F40" s="38">
        <f t="shared" si="5"/>
        <v>1</v>
      </c>
      <c r="G40" s="56">
        <v>6</v>
      </c>
      <c r="H40" s="9" t="s">
        <v>17</v>
      </c>
      <c r="I40" s="39" t="s">
        <v>781</v>
      </c>
      <c r="J40" s="9">
        <v>8.1999999999999993</v>
      </c>
      <c r="K40" s="14">
        <v>2</v>
      </c>
      <c r="L40" s="14">
        <v>1</v>
      </c>
      <c r="M40" s="14" t="str">
        <f t="shared" si="6"/>
        <v>0201</v>
      </c>
      <c r="N40" s="17" t="s">
        <v>787</v>
      </c>
      <c r="P40" s="40" t="str">
        <f t="shared" si="7"/>
        <v>0301006</v>
      </c>
    </row>
    <row r="41" spans="1:16" ht="19.149999999999999" customHeight="1">
      <c r="A41" s="4">
        <v>6</v>
      </c>
      <c r="B41" s="5">
        <v>1</v>
      </c>
      <c r="C41" s="5">
        <v>188</v>
      </c>
      <c r="D41" s="5">
        <v>60010188</v>
      </c>
      <c r="E41" s="42" t="s">
        <v>797</v>
      </c>
      <c r="F41" s="43">
        <v>0</v>
      </c>
      <c r="G41" s="42">
        <v>0</v>
      </c>
      <c r="H41" s="5" t="s">
        <v>2769</v>
      </c>
      <c r="I41" s="44"/>
      <c r="J41" s="5"/>
      <c r="K41" s="7"/>
      <c r="L41" s="7"/>
      <c r="M41" s="7"/>
      <c r="N41" s="6"/>
      <c r="O41" s="6"/>
      <c r="P41" s="7"/>
    </row>
    <row r="42" spans="1:16" s="5" customFormat="1" ht="19.149999999999999" customHeight="1">
      <c r="A42" s="8">
        <v>3</v>
      </c>
      <c r="B42" s="9">
        <v>1</v>
      </c>
      <c r="C42" s="9">
        <v>181</v>
      </c>
      <c r="D42" s="9">
        <v>30010181</v>
      </c>
      <c r="E42" s="37" t="s">
        <v>797</v>
      </c>
      <c r="F42" s="37"/>
      <c r="G42" s="37"/>
      <c r="H42" s="9" t="s">
        <v>37</v>
      </c>
      <c r="I42" s="39" t="s">
        <v>774</v>
      </c>
      <c r="J42" s="9">
        <v>140</v>
      </c>
      <c r="K42" s="40">
        <v>3</v>
      </c>
      <c r="L42" s="40">
        <v>1</v>
      </c>
      <c r="M42" s="40" t="str">
        <f t="shared" ref="M42:M105" si="8">TEXT(K42,"00")&amp;TEXT(L42,"00")</f>
        <v>0301</v>
      </c>
      <c r="N42" s="17" t="s">
        <v>797</v>
      </c>
      <c r="O42" s="17"/>
      <c r="P42" s="40" t="str">
        <f t="shared" ref="P42:P105" si="9">TEXT(E42,"00")&amp;TEXT(F42,"00")&amp;TEXT(G42,"000")</f>
        <v>0400000</v>
      </c>
    </row>
    <row r="43" spans="1:16" ht="19.149999999999999" customHeight="1">
      <c r="A43" s="8">
        <v>3</v>
      </c>
      <c r="B43" s="9">
        <v>1</v>
      </c>
      <c r="C43" s="9">
        <v>183</v>
      </c>
      <c r="D43" s="9">
        <v>30010183</v>
      </c>
      <c r="E43" s="37" t="s">
        <v>797</v>
      </c>
      <c r="H43" s="9" t="s">
        <v>38</v>
      </c>
      <c r="I43" s="39" t="s">
        <v>774</v>
      </c>
      <c r="J43" s="9">
        <v>60</v>
      </c>
      <c r="K43" s="40">
        <v>3</v>
      </c>
      <c r="L43" s="40">
        <v>1</v>
      </c>
      <c r="M43" s="40" t="str">
        <f t="shared" si="8"/>
        <v>0301</v>
      </c>
      <c r="N43" s="17" t="s">
        <v>797</v>
      </c>
      <c r="P43" s="40" t="str">
        <f t="shared" si="9"/>
        <v>0400000</v>
      </c>
    </row>
    <row r="44" spans="1:16" ht="19.149999999999999" customHeight="1">
      <c r="A44" s="15">
        <v>4</v>
      </c>
      <c r="B44" s="13">
        <v>1</v>
      </c>
      <c r="C44" s="13">
        <v>1</v>
      </c>
      <c r="D44" s="13">
        <v>40010001</v>
      </c>
      <c r="E44" s="45" t="s">
        <v>797</v>
      </c>
      <c r="F44" s="45"/>
      <c r="G44" s="45"/>
      <c r="H44" s="9" t="s">
        <v>523</v>
      </c>
      <c r="I44" s="39" t="s">
        <v>773</v>
      </c>
      <c r="J44" s="9">
        <v>27.9</v>
      </c>
      <c r="K44" s="40">
        <v>5</v>
      </c>
      <c r="L44" s="40">
        <v>1</v>
      </c>
      <c r="M44" s="40" t="str">
        <f t="shared" si="8"/>
        <v>0501</v>
      </c>
      <c r="N44" s="46" t="s">
        <v>797</v>
      </c>
      <c r="O44" s="46"/>
      <c r="P44" s="40" t="str">
        <f t="shared" si="9"/>
        <v>0400000</v>
      </c>
    </row>
    <row r="45" spans="1:16" ht="19.149999999999999" customHeight="1">
      <c r="A45" s="15">
        <v>4</v>
      </c>
      <c r="B45" s="13">
        <v>1</v>
      </c>
      <c r="C45" s="13">
        <v>186</v>
      </c>
      <c r="D45" s="13">
        <v>40010186</v>
      </c>
      <c r="E45" s="37" t="s">
        <v>797</v>
      </c>
      <c r="H45" s="9" t="s">
        <v>238</v>
      </c>
      <c r="I45" s="39" t="s">
        <v>773</v>
      </c>
      <c r="J45" s="9">
        <v>85</v>
      </c>
      <c r="K45" s="40">
        <v>3</v>
      </c>
      <c r="L45" s="40">
        <v>5</v>
      </c>
      <c r="M45" s="40" t="str">
        <f t="shared" si="8"/>
        <v>0305</v>
      </c>
      <c r="N45" s="17" t="s">
        <v>797</v>
      </c>
      <c r="P45" s="40" t="str">
        <f t="shared" si="9"/>
        <v>0400000</v>
      </c>
    </row>
    <row r="46" spans="1:16" ht="19.149999999999999" customHeight="1">
      <c r="A46" s="15">
        <v>30</v>
      </c>
      <c r="B46" s="13">
        <v>1</v>
      </c>
      <c r="C46" s="13">
        <v>385</v>
      </c>
      <c r="D46" s="13">
        <v>300010385</v>
      </c>
      <c r="E46" s="37" t="s">
        <v>797</v>
      </c>
      <c r="H46" s="9" t="s">
        <v>239</v>
      </c>
      <c r="I46" s="39" t="s">
        <v>773</v>
      </c>
      <c r="J46" s="9">
        <v>300</v>
      </c>
      <c r="K46" s="40">
        <v>3</v>
      </c>
      <c r="L46" s="40">
        <v>5</v>
      </c>
      <c r="M46" s="40" t="str">
        <f t="shared" si="8"/>
        <v>0305</v>
      </c>
      <c r="N46" s="17" t="s">
        <v>797</v>
      </c>
      <c r="P46" s="40" t="str">
        <f t="shared" si="9"/>
        <v>0400000</v>
      </c>
    </row>
    <row r="47" spans="1:16" ht="19.149999999999999" customHeight="1">
      <c r="A47" s="15">
        <v>30</v>
      </c>
      <c r="B47" s="13">
        <v>1</v>
      </c>
      <c r="C47" s="13">
        <v>384</v>
      </c>
      <c r="D47" s="13">
        <v>300010384</v>
      </c>
      <c r="E47" s="37" t="s">
        <v>797</v>
      </c>
      <c r="H47" s="9" t="s">
        <v>97</v>
      </c>
      <c r="I47" s="39" t="s">
        <v>773</v>
      </c>
      <c r="J47" s="9">
        <v>5</v>
      </c>
      <c r="K47" s="40">
        <v>3</v>
      </c>
      <c r="L47" s="40">
        <v>3</v>
      </c>
      <c r="M47" s="40" t="str">
        <f t="shared" si="8"/>
        <v>0303</v>
      </c>
      <c r="N47" s="17" t="s">
        <v>797</v>
      </c>
      <c r="P47" s="40" t="str">
        <f t="shared" si="9"/>
        <v>0400000</v>
      </c>
    </row>
    <row r="48" spans="1:16" ht="19.149999999999999" customHeight="1">
      <c r="A48" s="15">
        <v>54</v>
      </c>
      <c r="B48" s="13">
        <v>1</v>
      </c>
      <c r="C48" s="13">
        <v>3</v>
      </c>
      <c r="D48" s="13">
        <v>540010003</v>
      </c>
      <c r="E48" s="45" t="s">
        <v>797</v>
      </c>
      <c r="F48" s="45"/>
      <c r="G48" s="45"/>
      <c r="H48" s="9" t="s">
        <v>575</v>
      </c>
      <c r="I48" s="39" t="s">
        <v>774</v>
      </c>
      <c r="J48" s="9">
        <v>150</v>
      </c>
      <c r="K48" s="40">
        <v>5</v>
      </c>
      <c r="L48" s="40">
        <v>1</v>
      </c>
      <c r="M48" s="40" t="str">
        <f t="shared" si="8"/>
        <v>0501</v>
      </c>
      <c r="N48" s="46" t="s">
        <v>797</v>
      </c>
      <c r="O48" s="46"/>
      <c r="P48" s="40" t="str">
        <f t="shared" si="9"/>
        <v>0400000</v>
      </c>
    </row>
    <row r="49" spans="1:16" ht="19.149999999999999" customHeight="1">
      <c r="A49" s="15">
        <v>12</v>
      </c>
      <c r="B49" s="13">
        <v>1</v>
      </c>
      <c r="C49" s="13">
        <v>313</v>
      </c>
      <c r="D49" s="13">
        <v>120010313</v>
      </c>
      <c r="E49" s="37" t="s">
        <v>798</v>
      </c>
      <c r="H49" s="9" t="s">
        <v>39</v>
      </c>
      <c r="I49" s="39" t="s">
        <v>774</v>
      </c>
      <c r="J49" s="9">
        <v>60</v>
      </c>
      <c r="K49" s="14">
        <v>3</v>
      </c>
      <c r="L49" s="14">
        <v>1</v>
      </c>
      <c r="M49" s="14" t="str">
        <f t="shared" si="8"/>
        <v>0301</v>
      </c>
      <c r="N49" s="17" t="s">
        <v>798</v>
      </c>
      <c r="P49" s="14" t="str">
        <f t="shared" si="9"/>
        <v>0500000</v>
      </c>
    </row>
    <row r="50" spans="1:16" ht="19.149999999999999" customHeight="1">
      <c r="A50" s="15">
        <v>12</v>
      </c>
      <c r="B50" s="13">
        <v>1</v>
      </c>
      <c r="C50" s="13">
        <v>316</v>
      </c>
      <c r="D50" s="13">
        <v>120010316</v>
      </c>
      <c r="E50" s="37" t="s">
        <v>798</v>
      </c>
      <c r="H50" s="9" t="s">
        <v>40</v>
      </c>
      <c r="I50" s="39" t="s">
        <v>774</v>
      </c>
      <c r="J50" s="9">
        <v>72</v>
      </c>
      <c r="K50" s="14">
        <v>3</v>
      </c>
      <c r="L50" s="14">
        <v>1</v>
      </c>
      <c r="M50" s="14" t="str">
        <f t="shared" si="8"/>
        <v>0301</v>
      </c>
      <c r="N50" s="17" t="s">
        <v>798</v>
      </c>
      <c r="P50" s="14" t="str">
        <f t="shared" si="9"/>
        <v>0500000</v>
      </c>
    </row>
    <row r="51" spans="1:16" ht="19.149999999999999" customHeight="1">
      <c r="A51" s="8">
        <v>5</v>
      </c>
      <c r="B51" s="9">
        <v>1</v>
      </c>
      <c r="C51" s="9">
        <v>3</v>
      </c>
      <c r="D51" s="9">
        <v>50010003</v>
      </c>
      <c r="E51" s="37" t="s">
        <v>798</v>
      </c>
      <c r="H51" s="9" t="s">
        <v>41</v>
      </c>
      <c r="I51" s="39" t="s">
        <v>774</v>
      </c>
      <c r="J51" s="9">
        <v>70</v>
      </c>
      <c r="K51" s="14">
        <v>3</v>
      </c>
      <c r="L51" s="14">
        <v>1</v>
      </c>
      <c r="M51" s="14" t="str">
        <f t="shared" si="8"/>
        <v>0301</v>
      </c>
      <c r="N51" s="17" t="s">
        <v>798</v>
      </c>
      <c r="P51" s="14" t="str">
        <f t="shared" si="9"/>
        <v>0500000</v>
      </c>
    </row>
    <row r="52" spans="1:16" ht="19.149999999999999" customHeight="1">
      <c r="A52" s="8">
        <v>5</v>
      </c>
      <c r="B52" s="9">
        <v>1</v>
      </c>
      <c r="C52" s="9">
        <v>1</v>
      </c>
      <c r="D52" s="9">
        <v>50010001</v>
      </c>
      <c r="E52" s="47" t="s">
        <v>809</v>
      </c>
      <c r="F52" s="47"/>
      <c r="G52" s="47"/>
      <c r="H52" s="13" t="s">
        <v>524</v>
      </c>
      <c r="I52" s="48" t="s">
        <v>773</v>
      </c>
      <c r="J52" s="13">
        <v>1.5</v>
      </c>
      <c r="K52" s="14">
        <v>5</v>
      </c>
      <c r="L52" s="14">
        <v>1</v>
      </c>
      <c r="M52" s="14" t="str">
        <f t="shared" si="8"/>
        <v>0501</v>
      </c>
      <c r="N52" s="18" t="s">
        <v>809</v>
      </c>
      <c r="O52" s="18"/>
      <c r="P52" s="14" t="str">
        <f t="shared" si="9"/>
        <v>0600000</v>
      </c>
    </row>
    <row r="53" spans="1:16" ht="19.149999999999999" customHeight="1">
      <c r="A53" s="8">
        <v>5</v>
      </c>
      <c r="B53" s="9">
        <v>1</v>
      </c>
      <c r="C53" s="9">
        <v>2</v>
      </c>
      <c r="D53" s="9">
        <v>50010002</v>
      </c>
      <c r="E53" s="47" t="s">
        <v>809</v>
      </c>
      <c r="F53" s="47"/>
      <c r="G53" s="47"/>
      <c r="H53" s="13" t="s">
        <v>525</v>
      </c>
      <c r="I53" s="48" t="s">
        <v>773</v>
      </c>
      <c r="J53" s="13">
        <v>14</v>
      </c>
      <c r="K53" s="14">
        <v>5</v>
      </c>
      <c r="L53" s="14">
        <v>1</v>
      </c>
      <c r="M53" s="14" t="str">
        <f t="shared" si="8"/>
        <v>0501</v>
      </c>
      <c r="N53" s="18" t="s">
        <v>809</v>
      </c>
      <c r="O53" s="18"/>
      <c r="P53" s="14" t="str">
        <f t="shared" si="9"/>
        <v>0600000</v>
      </c>
    </row>
    <row r="54" spans="1:16" ht="19.149999999999999" customHeight="1">
      <c r="A54" s="15">
        <v>65</v>
      </c>
      <c r="B54" s="13">
        <v>1</v>
      </c>
      <c r="C54" s="13">
        <v>680</v>
      </c>
      <c r="D54" s="13">
        <v>650010680</v>
      </c>
      <c r="E54" s="49" t="s">
        <v>809</v>
      </c>
      <c r="F54" s="49"/>
      <c r="G54" s="49"/>
      <c r="H54" s="13" t="s">
        <v>497</v>
      </c>
      <c r="I54" s="48" t="s">
        <v>777</v>
      </c>
      <c r="J54" s="13">
        <v>10</v>
      </c>
      <c r="K54" s="14">
        <v>5</v>
      </c>
      <c r="L54" s="14">
        <v>1</v>
      </c>
      <c r="M54" s="14" t="str">
        <f t="shared" si="8"/>
        <v>0501</v>
      </c>
      <c r="N54" s="16" t="s">
        <v>809</v>
      </c>
      <c r="O54" s="16"/>
      <c r="P54" s="14" t="str">
        <f t="shared" si="9"/>
        <v>0600000</v>
      </c>
    </row>
    <row r="55" spans="1:16" ht="19.149999999999999" customHeight="1">
      <c r="A55" s="15">
        <v>12</v>
      </c>
      <c r="B55" s="13">
        <v>1</v>
      </c>
      <c r="C55" s="13">
        <v>260</v>
      </c>
      <c r="D55" s="13">
        <v>120010260</v>
      </c>
      <c r="E55" s="49" t="s">
        <v>809</v>
      </c>
      <c r="F55" s="49"/>
      <c r="G55" s="49"/>
      <c r="H55" s="13" t="s">
        <v>498</v>
      </c>
      <c r="I55" s="48" t="s">
        <v>773</v>
      </c>
      <c r="J55" s="13">
        <v>8</v>
      </c>
      <c r="K55" s="14">
        <v>5</v>
      </c>
      <c r="L55" s="14">
        <v>1</v>
      </c>
      <c r="M55" s="14" t="str">
        <f t="shared" si="8"/>
        <v>0501</v>
      </c>
      <c r="N55" s="16" t="s">
        <v>809</v>
      </c>
      <c r="O55" s="16"/>
      <c r="P55" s="14" t="str">
        <f t="shared" si="9"/>
        <v>0600000</v>
      </c>
    </row>
    <row r="56" spans="1:16" ht="19.149999999999999" customHeight="1">
      <c r="A56" s="15">
        <v>12</v>
      </c>
      <c r="B56" s="13">
        <v>1</v>
      </c>
      <c r="C56" s="13">
        <v>323</v>
      </c>
      <c r="D56" s="13">
        <v>120010323</v>
      </c>
      <c r="E56" s="50" t="s">
        <v>809</v>
      </c>
      <c r="F56" s="50"/>
      <c r="G56" s="50"/>
      <c r="H56" s="13" t="s">
        <v>169</v>
      </c>
      <c r="I56" s="48" t="s">
        <v>771</v>
      </c>
      <c r="J56" s="13">
        <v>3.36</v>
      </c>
      <c r="K56" s="14">
        <v>3</v>
      </c>
      <c r="L56" s="14">
        <v>4</v>
      </c>
      <c r="M56" s="14" t="str">
        <f t="shared" si="8"/>
        <v>0304</v>
      </c>
      <c r="N56" s="12" t="s">
        <v>809</v>
      </c>
      <c r="O56" s="12"/>
      <c r="P56" s="14" t="str">
        <f t="shared" si="9"/>
        <v>0600000</v>
      </c>
    </row>
    <row r="57" spans="1:16" ht="19.149999999999999" customHeight="1">
      <c r="A57" s="15">
        <v>7</v>
      </c>
      <c r="B57" s="13">
        <v>1</v>
      </c>
      <c r="C57" s="13">
        <v>1</v>
      </c>
      <c r="D57" s="13">
        <v>70010001</v>
      </c>
      <c r="E57" s="47" t="s">
        <v>809</v>
      </c>
      <c r="F57" s="47"/>
      <c r="G57" s="47"/>
      <c r="H57" s="13" t="s">
        <v>556</v>
      </c>
      <c r="I57" s="48" t="s">
        <v>773</v>
      </c>
      <c r="J57" s="13">
        <v>50</v>
      </c>
      <c r="K57" s="14">
        <v>5</v>
      </c>
      <c r="L57" s="14">
        <v>1</v>
      </c>
      <c r="M57" s="14" t="str">
        <f t="shared" si="8"/>
        <v>0501</v>
      </c>
      <c r="N57" s="18" t="s">
        <v>809</v>
      </c>
      <c r="O57" s="18"/>
      <c r="P57" s="14" t="str">
        <f t="shared" si="9"/>
        <v>0600000</v>
      </c>
    </row>
    <row r="58" spans="1:16" ht="19.149999999999999" customHeight="1">
      <c r="A58" s="15">
        <v>6</v>
      </c>
      <c r="B58" s="13">
        <v>1</v>
      </c>
      <c r="C58" s="13">
        <v>190</v>
      </c>
      <c r="D58" s="13">
        <v>60010190</v>
      </c>
      <c r="E58" s="47" t="s">
        <v>809</v>
      </c>
      <c r="F58" s="47"/>
      <c r="G58" s="47"/>
      <c r="H58" s="13" t="s">
        <v>565</v>
      </c>
      <c r="I58" s="48" t="s">
        <v>773</v>
      </c>
      <c r="J58" s="13">
        <v>606</v>
      </c>
      <c r="K58" s="14">
        <v>5</v>
      </c>
      <c r="L58" s="14">
        <v>1</v>
      </c>
      <c r="M58" s="14" t="str">
        <f t="shared" si="8"/>
        <v>0501</v>
      </c>
      <c r="N58" s="18" t="s">
        <v>809</v>
      </c>
      <c r="O58" s="18"/>
      <c r="P58" s="14" t="str">
        <f t="shared" si="9"/>
        <v>0600000</v>
      </c>
    </row>
    <row r="59" spans="1:16" ht="19.149999999999999" customHeight="1">
      <c r="A59" s="15">
        <v>12</v>
      </c>
      <c r="B59" s="13">
        <v>1</v>
      </c>
      <c r="C59" s="13">
        <v>261</v>
      </c>
      <c r="D59" s="13">
        <v>120010261</v>
      </c>
      <c r="E59" s="47" t="s">
        <v>809</v>
      </c>
      <c r="F59" s="47"/>
      <c r="G59" s="47"/>
      <c r="H59" s="13" t="s">
        <v>570</v>
      </c>
      <c r="I59" s="48" t="s">
        <v>773</v>
      </c>
      <c r="J59" s="13">
        <v>1.5</v>
      </c>
      <c r="K59" s="14">
        <v>5</v>
      </c>
      <c r="L59" s="14">
        <v>1</v>
      </c>
      <c r="M59" s="14" t="str">
        <f t="shared" si="8"/>
        <v>0501</v>
      </c>
      <c r="N59" s="18" t="s">
        <v>809</v>
      </c>
      <c r="O59" s="18"/>
      <c r="P59" s="14" t="str">
        <f t="shared" si="9"/>
        <v>0600000</v>
      </c>
    </row>
    <row r="60" spans="1:16" ht="19.149999999999999" customHeight="1">
      <c r="A60" s="15">
        <v>30</v>
      </c>
      <c r="B60" s="13">
        <v>1</v>
      </c>
      <c r="C60" s="13">
        <v>477</v>
      </c>
      <c r="D60" s="13">
        <v>300010477</v>
      </c>
      <c r="E60" s="47" t="s">
        <v>809</v>
      </c>
      <c r="F60" s="47"/>
      <c r="G60" s="47"/>
      <c r="H60" s="13" t="s">
        <v>571</v>
      </c>
      <c r="I60" s="48" t="s">
        <v>773</v>
      </c>
      <c r="J60" s="13">
        <v>12</v>
      </c>
      <c r="K60" s="14">
        <v>5</v>
      </c>
      <c r="L60" s="14">
        <v>1</v>
      </c>
      <c r="M60" s="14" t="str">
        <f t="shared" si="8"/>
        <v>0501</v>
      </c>
      <c r="N60" s="18" t="s">
        <v>809</v>
      </c>
      <c r="O60" s="18"/>
      <c r="P60" s="14" t="str">
        <f t="shared" si="9"/>
        <v>0600000</v>
      </c>
    </row>
    <row r="61" spans="1:16" ht="19.149999999999999" customHeight="1">
      <c r="A61" s="15">
        <v>12</v>
      </c>
      <c r="B61" s="13">
        <v>1</v>
      </c>
      <c r="C61" s="13">
        <v>265</v>
      </c>
      <c r="D61" s="13">
        <v>120010265</v>
      </c>
      <c r="E61" s="47" t="s">
        <v>809</v>
      </c>
      <c r="F61" s="47"/>
      <c r="G61" s="47"/>
      <c r="H61" s="13" t="s">
        <v>572</v>
      </c>
      <c r="I61" s="48" t="s">
        <v>773</v>
      </c>
      <c r="J61" s="13">
        <v>8</v>
      </c>
      <c r="K61" s="14">
        <v>5</v>
      </c>
      <c r="L61" s="14">
        <v>1</v>
      </c>
      <c r="M61" s="14" t="str">
        <f t="shared" si="8"/>
        <v>0501</v>
      </c>
      <c r="N61" s="18" t="s">
        <v>809</v>
      </c>
      <c r="O61" s="18"/>
      <c r="P61" s="14" t="str">
        <f t="shared" si="9"/>
        <v>0600000</v>
      </c>
    </row>
    <row r="62" spans="1:16" ht="19.149999999999999" customHeight="1">
      <c r="A62" s="15">
        <v>12</v>
      </c>
      <c r="B62" s="13">
        <v>1</v>
      </c>
      <c r="C62" s="13">
        <v>264</v>
      </c>
      <c r="D62" s="13">
        <v>120010264</v>
      </c>
      <c r="E62" s="47" t="s">
        <v>809</v>
      </c>
      <c r="F62" s="47"/>
      <c r="G62" s="47"/>
      <c r="H62" s="13" t="s">
        <v>573</v>
      </c>
      <c r="I62" s="48" t="s">
        <v>773</v>
      </c>
      <c r="J62" s="13">
        <v>10</v>
      </c>
      <c r="K62" s="14">
        <v>5</v>
      </c>
      <c r="L62" s="14">
        <v>1</v>
      </c>
      <c r="M62" s="14" t="str">
        <f t="shared" si="8"/>
        <v>0501</v>
      </c>
      <c r="N62" s="18" t="s">
        <v>809</v>
      </c>
      <c r="O62" s="18"/>
      <c r="P62" s="14" t="str">
        <f t="shared" si="9"/>
        <v>0600000</v>
      </c>
    </row>
    <row r="63" spans="1:16" ht="19.149999999999999" customHeight="1">
      <c r="A63" s="15">
        <v>12</v>
      </c>
      <c r="B63" s="13">
        <v>1</v>
      </c>
      <c r="C63" s="13">
        <v>263</v>
      </c>
      <c r="D63" s="13">
        <v>120010263</v>
      </c>
      <c r="E63" s="49" t="s">
        <v>809</v>
      </c>
      <c r="F63" s="49"/>
      <c r="G63" s="49"/>
      <c r="H63" s="13" t="s">
        <v>499</v>
      </c>
      <c r="I63" s="48" t="s">
        <v>773</v>
      </c>
      <c r="J63" s="13">
        <v>299</v>
      </c>
      <c r="K63" s="14">
        <v>5</v>
      </c>
      <c r="L63" s="14">
        <v>1</v>
      </c>
      <c r="M63" s="14" t="str">
        <f t="shared" si="8"/>
        <v>0501</v>
      </c>
      <c r="N63" s="16" t="s">
        <v>809</v>
      </c>
      <c r="O63" s="16"/>
      <c r="P63" s="14" t="str">
        <f t="shared" si="9"/>
        <v>0600000</v>
      </c>
    </row>
    <row r="64" spans="1:16" ht="19.149999999999999" customHeight="1">
      <c r="A64" s="15">
        <v>12</v>
      </c>
      <c r="B64" s="13">
        <v>1</v>
      </c>
      <c r="C64" s="13">
        <v>262</v>
      </c>
      <c r="D64" s="13">
        <v>120010262</v>
      </c>
      <c r="E64" s="41" t="s">
        <v>821</v>
      </c>
      <c r="F64" s="41"/>
      <c r="G64" s="41"/>
      <c r="H64" s="9" t="s">
        <v>500</v>
      </c>
      <c r="I64" s="39" t="s">
        <v>777</v>
      </c>
      <c r="J64" s="9">
        <v>1.71</v>
      </c>
      <c r="K64" s="14">
        <v>5</v>
      </c>
      <c r="L64" s="14">
        <v>1</v>
      </c>
      <c r="M64" s="14" t="str">
        <f t="shared" si="8"/>
        <v>0501</v>
      </c>
      <c r="N64" s="19" t="s">
        <v>821</v>
      </c>
      <c r="O64" s="19"/>
      <c r="P64" s="14" t="str">
        <f t="shared" si="9"/>
        <v>0700000</v>
      </c>
    </row>
    <row r="65" spans="1:16" ht="19.149999999999999" customHeight="1">
      <c r="A65" s="15">
        <v>6</v>
      </c>
      <c r="B65" s="13">
        <v>1</v>
      </c>
      <c r="C65" s="13">
        <v>189</v>
      </c>
      <c r="D65" s="13">
        <v>60010189</v>
      </c>
      <c r="E65" s="41" t="s">
        <v>821</v>
      </c>
      <c r="F65" s="41"/>
      <c r="G65" s="41"/>
      <c r="H65" s="9" t="s">
        <v>501</v>
      </c>
      <c r="I65" s="39" t="s">
        <v>777</v>
      </c>
      <c r="J65" s="9">
        <v>1.71</v>
      </c>
      <c r="K65" s="14">
        <v>5</v>
      </c>
      <c r="L65" s="14">
        <v>1</v>
      </c>
      <c r="M65" s="14" t="str">
        <f t="shared" si="8"/>
        <v>0501</v>
      </c>
      <c r="N65" s="19" t="s">
        <v>821</v>
      </c>
      <c r="O65" s="19"/>
      <c r="P65" s="14" t="str">
        <f t="shared" si="9"/>
        <v>0700000</v>
      </c>
    </row>
    <row r="66" spans="1:16" ht="19.149999999999999" customHeight="1">
      <c r="A66" s="8">
        <v>7</v>
      </c>
      <c r="B66" s="9">
        <v>1</v>
      </c>
      <c r="C66" s="9">
        <v>193</v>
      </c>
      <c r="D66" s="9">
        <v>70010193</v>
      </c>
      <c r="E66" s="41" t="s">
        <v>821</v>
      </c>
      <c r="F66" s="41"/>
      <c r="G66" s="41"/>
      <c r="H66" s="9" t="s">
        <v>502</v>
      </c>
      <c r="I66" s="39" t="s">
        <v>777</v>
      </c>
      <c r="J66" s="9">
        <v>1.71</v>
      </c>
      <c r="K66" s="14">
        <v>5</v>
      </c>
      <c r="L66" s="14">
        <v>1</v>
      </c>
      <c r="M66" s="14" t="str">
        <f t="shared" si="8"/>
        <v>0501</v>
      </c>
      <c r="N66" s="19" t="s">
        <v>821</v>
      </c>
      <c r="O66" s="19"/>
      <c r="P66" s="14" t="str">
        <f t="shared" si="9"/>
        <v>0700000</v>
      </c>
    </row>
    <row r="67" spans="1:16" ht="19.149999999999999" customHeight="1">
      <c r="A67" s="8">
        <v>7</v>
      </c>
      <c r="B67" s="9">
        <v>1</v>
      </c>
      <c r="C67" s="9">
        <v>194</v>
      </c>
      <c r="D67" s="9">
        <v>70010194</v>
      </c>
      <c r="E67" s="41" t="s">
        <v>821</v>
      </c>
      <c r="F67" s="41"/>
      <c r="G67" s="41"/>
      <c r="H67" s="9" t="s">
        <v>503</v>
      </c>
      <c r="I67" s="39" t="s">
        <v>777</v>
      </c>
      <c r="J67" s="9">
        <v>1.71</v>
      </c>
      <c r="K67" s="14">
        <v>5</v>
      </c>
      <c r="L67" s="14">
        <v>1</v>
      </c>
      <c r="M67" s="14" t="str">
        <f t="shared" si="8"/>
        <v>0501</v>
      </c>
      <c r="N67" s="19" t="s">
        <v>821</v>
      </c>
      <c r="O67" s="19"/>
      <c r="P67" s="14" t="str">
        <f t="shared" si="9"/>
        <v>0700000</v>
      </c>
    </row>
    <row r="68" spans="1:16" ht="19.149999999999999" customHeight="1">
      <c r="A68" s="8">
        <v>7</v>
      </c>
      <c r="B68" s="9">
        <v>1</v>
      </c>
      <c r="C68" s="9">
        <v>195</v>
      </c>
      <c r="D68" s="9">
        <v>70010195</v>
      </c>
      <c r="E68" s="41" t="s">
        <v>821</v>
      </c>
      <c r="F68" s="41"/>
      <c r="G68" s="41"/>
      <c r="H68" s="9" t="s">
        <v>504</v>
      </c>
      <c r="I68" s="39" t="s">
        <v>777</v>
      </c>
      <c r="J68" s="9">
        <v>1.71</v>
      </c>
      <c r="K68" s="14">
        <v>5</v>
      </c>
      <c r="L68" s="14">
        <v>1</v>
      </c>
      <c r="M68" s="14" t="str">
        <f t="shared" si="8"/>
        <v>0501</v>
      </c>
      <c r="N68" s="19" t="s">
        <v>821</v>
      </c>
      <c r="O68" s="19"/>
      <c r="P68" s="14" t="str">
        <f t="shared" si="9"/>
        <v>0700000</v>
      </c>
    </row>
    <row r="69" spans="1:16" ht="19.149999999999999" customHeight="1">
      <c r="A69" s="8">
        <v>7</v>
      </c>
      <c r="B69" s="9">
        <v>1</v>
      </c>
      <c r="C69" s="9">
        <v>192</v>
      </c>
      <c r="D69" s="9">
        <v>70010192</v>
      </c>
      <c r="E69" s="41" t="s">
        <v>821</v>
      </c>
      <c r="F69" s="41"/>
      <c r="G69" s="41"/>
      <c r="H69" s="9" t="s">
        <v>505</v>
      </c>
      <c r="I69" s="39" t="s">
        <v>777</v>
      </c>
      <c r="J69" s="9">
        <v>2.8</v>
      </c>
      <c r="K69" s="14">
        <v>5</v>
      </c>
      <c r="L69" s="14">
        <v>1</v>
      </c>
      <c r="M69" s="14" t="str">
        <f t="shared" si="8"/>
        <v>0501</v>
      </c>
      <c r="N69" s="19" t="s">
        <v>821</v>
      </c>
      <c r="O69" s="19"/>
      <c r="P69" s="14" t="str">
        <f t="shared" si="9"/>
        <v>0700000</v>
      </c>
    </row>
    <row r="70" spans="1:16" ht="19.149999999999999" customHeight="1">
      <c r="A70" s="8">
        <v>7</v>
      </c>
      <c r="B70" s="9">
        <v>1</v>
      </c>
      <c r="C70" s="9">
        <v>191</v>
      </c>
      <c r="D70" s="9">
        <v>70010191</v>
      </c>
      <c r="E70" s="41" t="s">
        <v>821</v>
      </c>
      <c r="F70" s="41"/>
      <c r="G70" s="41"/>
      <c r="H70" s="9" t="s">
        <v>506</v>
      </c>
      <c r="I70" s="39" t="s">
        <v>777</v>
      </c>
      <c r="J70" s="9">
        <v>2.8</v>
      </c>
      <c r="K70" s="14">
        <v>5</v>
      </c>
      <c r="L70" s="14">
        <v>1</v>
      </c>
      <c r="M70" s="14" t="str">
        <f t="shared" si="8"/>
        <v>0501</v>
      </c>
      <c r="N70" s="19" t="s">
        <v>821</v>
      </c>
      <c r="O70" s="19"/>
      <c r="P70" s="14" t="str">
        <f t="shared" si="9"/>
        <v>0700000</v>
      </c>
    </row>
    <row r="71" spans="1:16" ht="19.149999999999999" customHeight="1">
      <c r="A71" s="8">
        <v>7</v>
      </c>
      <c r="B71" s="9">
        <v>1</v>
      </c>
      <c r="C71" s="9">
        <v>198</v>
      </c>
      <c r="D71" s="9">
        <v>70010198</v>
      </c>
      <c r="E71" s="41" t="s">
        <v>821</v>
      </c>
      <c r="F71" s="41"/>
      <c r="G71" s="41"/>
      <c r="H71" s="9" t="s">
        <v>507</v>
      </c>
      <c r="I71" s="39" t="s">
        <v>777</v>
      </c>
      <c r="J71" s="9">
        <v>2.8</v>
      </c>
      <c r="K71" s="14">
        <v>5</v>
      </c>
      <c r="L71" s="14">
        <v>1</v>
      </c>
      <c r="M71" s="14" t="str">
        <f t="shared" si="8"/>
        <v>0501</v>
      </c>
      <c r="N71" s="19" t="s">
        <v>821</v>
      </c>
      <c r="O71" s="19"/>
      <c r="P71" s="14" t="str">
        <f t="shared" si="9"/>
        <v>0700000</v>
      </c>
    </row>
    <row r="72" spans="1:16" ht="19.149999999999999" customHeight="1">
      <c r="A72" s="8">
        <v>7</v>
      </c>
      <c r="B72" s="9">
        <v>1</v>
      </c>
      <c r="C72" s="9">
        <v>197</v>
      </c>
      <c r="D72" s="9">
        <v>70010197</v>
      </c>
      <c r="E72" s="41" t="s">
        <v>821</v>
      </c>
      <c r="F72" s="41"/>
      <c r="G72" s="41"/>
      <c r="H72" s="9" t="s">
        <v>508</v>
      </c>
      <c r="I72" s="39" t="s">
        <v>777</v>
      </c>
      <c r="J72" s="9">
        <v>4.99</v>
      </c>
      <c r="K72" s="14">
        <v>5</v>
      </c>
      <c r="L72" s="14">
        <v>1</v>
      </c>
      <c r="M72" s="14" t="str">
        <f t="shared" si="8"/>
        <v>0501</v>
      </c>
      <c r="N72" s="19" t="s">
        <v>821</v>
      </c>
      <c r="O72" s="19"/>
      <c r="P72" s="14" t="str">
        <f t="shared" si="9"/>
        <v>0700000</v>
      </c>
    </row>
    <row r="73" spans="1:16" ht="19.149999999999999" customHeight="1">
      <c r="A73" s="8">
        <v>7</v>
      </c>
      <c r="B73" s="9">
        <v>1</v>
      </c>
      <c r="C73" s="9">
        <v>196</v>
      </c>
      <c r="D73" s="9">
        <v>70010196</v>
      </c>
      <c r="E73" s="41" t="s">
        <v>821</v>
      </c>
      <c r="F73" s="41"/>
      <c r="G73" s="41"/>
      <c r="H73" s="9" t="s">
        <v>509</v>
      </c>
      <c r="I73" s="39" t="s">
        <v>777</v>
      </c>
      <c r="J73" s="9">
        <v>7.8</v>
      </c>
      <c r="K73" s="14">
        <v>5</v>
      </c>
      <c r="L73" s="14">
        <v>1</v>
      </c>
      <c r="M73" s="14" t="str">
        <f t="shared" si="8"/>
        <v>0501</v>
      </c>
      <c r="N73" s="19" t="s">
        <v>821</v>
      </c>
      <c r="O73" s="19"/>
      <c r="P73" s="14" t="str">
        <f t="shared" si="9"/>
        <v>0700000</v>
      </c>
    </row>
    <row r="74" spans="1:16" ht="19.149999999999999" customHeight="1">
      <c r="A74" s="8">
        <v>7</v>
      </c>
      <c r="B74" s="9">
        <v>1</v>
      </c>
      <c r="C74" s="9">
        <v>2</v>
      </c>
      <c r="D74" s="9">
        <v>70010002</v>
      </c>
      <c r="E74" s="41" t="s">
        <v>821</v>
      </c>
      <c r="F74" s="41"/>
      <c r="G74" s="41"/>
      <c r="H74" s="9" t="s">
        <v>510</v>
      </c>
      <c r="I74" s="39" t="s">
        <v>777</v>
      </c>
      <c r="J74" s="9">
        <v>3.29</v>
      </c>
      <c r="K74" s="14">
        <v>5</v>
      </c>
      <c r="L74" s="14">
        <v>1</v>
      </c>
      <c r="M74" s="14" t="str">
        <f t="shared" si="8"/>
        <v>0501</v>
      </c>
      <c r="N74" s="19" t="s">
        <v>821</v>
      </c>
      <c r="O74" s="19"/>
      <c r="P74" s="14" t="str">
        <f t="shared" si="9"/>
        <v>0700000</v>
      </c>
    </row>
    <row r="75" spans="1:16" ht="19.149999999999999" customHeight="1">
      <c r="A75" s="8">
        <v>7</v>
      </c>
      <c r="B75" s="9">
        <v>1</v>
      </c>
      <c r="C75" s="9">
        <v>199</v>
      </c>
      <c r="D75" s="9">
        <v>70010199</v>
      </c>
      <c r="E75" s="50" t="s">
        <v>818</v>
      </c>
      <c r="F75" s="50"/>
      <c r="G75" s="50"/>
      <c r="H75" s="13" t="s">
        <v>439</v>
      </c>
      <c r="I75" s="48" t="s">
        <v>773</v>
      </c>
      <c r="J75" s="13">
        <v>14.9</v>
      </c>
      <c r="K75" s="14">
        <v>4</v>
      </c>
      <c r="L75" s="14">
        <v>2</v>
      </c>
      <c r="M75" s="14" t="str">
        <f t="shared" si="8"/>
        <v>0402</v>
      </c>
      <c r="N75" s="12" t="s">
        <v>818</v>
      </c>
      <c r="O75" s="12"/>
      <c r="P75" s="14" t="str">
        <f t="shared" si="9"/>
        <v>1000000</v>
      </c>
    </row>
    <row r="76" spans="1:16" ht="19.149999999999999" customHeight="1">
      <c r="A76" s="8">
        <v>8</v>
      </c>
      <c r="B76" s="9">
        <v>1</v>
      </c>
      <c r="C76" s="9">
        <v>1</v>
      </c>
      <c r="D76" s="9">
        <v>80010001</v>
      </c>
      <c r="E76" s="50" t="s">
        <v>818</v>
      </c>
      <c r="F76" s="50"/>
      <c r="G76" s="50"/>
      <c r="H76" s="13" t="s">
        <v>369</v>
      </c>
      <c r="I76" s="48" t="s">
        <v>773</v>
      </c>
      <c r="J76" s="13">
        <v>0</v>
      </c>
      <c r="K76" s="14">
        <v>4</v>
      </c>
      <c r="L76" s="14">
        <v>1</v>
      </c>
      <c r="M76" s="14" t="str">
        <f t="shared" si="8"/>
        <v>0401</v>
      </c>
      <c r="N76" s="12" t="s">
        <v>818</v>
      </c>
      <c r="O76" s="12"/>
      <c r="P76" s="14" t="str">
        <f t="shared" si="9"/>
        <v>1000000</v>
      </c>
    </row>
    <row r="77" spans="1:16" ht="19.149999999999999" customHeight="1">
      <c r="A77" s="15">
        <v>30</v>
      </c>
      <c r="B77" s="13">
        <v>1</v>
      </c>
      <c r="C77" s="13">
        <v>369</v>
      </c>
      <c r="D77" s="13">
        <v>300010369</v>
      </c>
      <c r="E77" s="50" t="s">
        <v>818</v>
      </c>
      <c r="F77" s="50"/>
      <c r="G77" s="50"/>
      <c r="H77" s="13" t="s">
        <v>370</v>
      </c>
      <c r="I77" s="48" t="s">
        <v>773</v>
      </c>
      <c r="J77" s="13">
        <v>30</v>
      </c>
      <c r="K77" s="14">
        <v>4</v>
      </c>
      <c r="L77" s="14">
        <v>1</v>
      </c>
      <c r="M77" s="14" t="str">
        <f t="shared" si="8"/>
        <v>0401</v>
      </c>
      <c r="N77" s="12" t="s">
        <v>818</v>
      </c>
      <c r="O77" s="12"/>
      <c r="P77" s="14" t="str">
        <f t="shared" si="9"/>
        <v>1000000</v>
      </c>
    </row>
    <row r="78" spans="1:16" ht="19.149999999999999" customHeight="1">
      <c r="A78" s="15">
        <v>30</v>
      </c>
      <c r="B78" s="13">
        <v>1</v>
      </c>
      <c r="C78" s="13">
        <v>40</v>
      </c>
      <c r="D78" s="13">
        <v>300010040</v>
      </c>
      <c r="E78" s="50" t="s">
        <v>818</v>
      </c>
      <c r="F78" s="50"/>
      <c r="G78" s="50"/>
      <c r="H78" s="13" t="s">
        <v>440</v>
      </c>
      <c r="I78" s="48" t="s">
        <v>773</v>
      </c>
      <c r="J78" s="13">
        <v>80</v>
      </c>
      <c r="K78" s="14">
        <v>4</v>
      </c>
      <c r="L78" s="14">
        <v>2</v>
      </c>
      <c r="M78" s="14" t="str">
        <f t="shared" si="8"/>
        <v>0402</v>
      </c>
      <c r="N78" s="12" t="s">
        <v>818</v>
      </c>
      <c r="O78" s="12"/>
      <c r="P78" s="14" t="str">
        <f t="shared" si="9"/>
        <v>1000000</v>
      </c>
    </row>
    <row r="79" spans="1:16" ht="19.149999999999999" customHeight="1">
      <c r="A79" s="15">
        <v>30</v>
      </c>
      <c r="B79" s="13">
        <v>1</v>
      </c>
      <c r="C79" s="13">
        <v>522</v>
      </c>
      <c r="D79" s="13">
        <v>300010522</v>
      </c>
      <c r="E79" s="50" t="s">
        <v>818</v>
      </c>
      <c r="F79" s="50"/>
      <c r="G79" s="50"/>
      <c r="H79" s="13" t="s">
        <v>371</v>
      </c>
      <c r="I79" s="48" t="s">
        <v>773</v>
      </c>
      <c r="J79" s="13">
        <v>596.9</v>
      </c>
      <c r="K79" s="14">
        <v>4</v>
      </c>
      <c r="L79" s="14">
        <v>1</v>
      </c>
      <c r="M79" s="14" t="str">
        <f t="shared" si="8"/>
        <v>0401</v>
      </c>
      <c r="N79" s="12" t="s">
        <v>818</v>
      </c>
      <c r="O79" s="12"/>
      <c r="P79" s="14" t="str">
        <f t="shared" si="9"/>
        <v>1000000</v>
      </c>
    </row>
    <row r="80" spans="1:16" ht="19.149999999999999" customHeight="1">
      <c r="A80" s="15">
        <v>10</v>
      </c>
      <c r="B80" s="13">
        <v>1</v>
      </c>
      <c r="C80" s="13">
        <v>201</v>
      </c>
      <c r="D80" s="13">
        <v>100010201</v>
      </c>
      <c r="E80" s="50" t="s">
        <v>818</v>
      </c>
      <c r="F80" s="50"/>
      <c r="G80" s="50"/>
      <c r="H80" s="13" t="s">
        <v>372</v>
      </c>
      <c r="I80" s="48" t="s">
        <v>773</v>
      </c>
      <c r="J80" s="13">
        <v>159</v>
      </c>
      <c r="K80" s="14">
        <v>4</v>
      </c>
      <c r="L80" s="14">
        <v>1</v>
      </c>
      <c r="M80" s="14" t="str">
        <f t="shared" si="8"/>
        <v>0401</v>
      </c>
      <c r="N80" s="12" t="s">
        <v>818</v>
      </c>
      <c r="O80" s="12"/>
      <c r="P80" s="14" t="str">
        <f t="shared" si="9"/>
        <v>1000000</v>
      </c>
    </row>
    <row r="81" spans="1:16" ht="19.149999999999999" customHeight="1">
      <c r="A81" s="15">
        <v>66</v>
      </c>
      <c r="B81" s="13">
        <v>1</v>
      </c>
      <c r="C81" s="13">
        <v>798</v>
      </c>
      <c r="D81" s="13">
        <v>660010798</v>
      </c>
      <c r="E81" s="50" t="s">
        <v>818</v>
      </c>
      <c r="F81" s="50"/>
      <c r="G81" s="50"/>
      <c r="H81" s="13" t="s">
        <v>373</v>
      </c>
      <c r="I81" s="48" t="s">
        <v>773</v>
      </c>
      <c r="J81" s="13">
        <v>45</v>
      </c>
      <c r="K81" s="14">
        <v>4</v>
      </c>
      <c r="L81" s="14">
        <v>1</v>
      </c>
      <c r="M81" s="14" t="str">
        <f t="shared" si="8"/>
        <v>0401</v>
      </c>
      <c r="N81" s="12" t="s">
        <v>818</v>
      </c>
      <c r="O81" s="12"/>
      <c r="P81" s="14" t="str">
        <f t="shared" si="9"/>
        <v>1000000</v>
      </c>
    </row>
    <row r="82" spans="1:16" ht="19.149999999999999" customHeight="1">
      <c r="A82" s="15">
        <v>10</v>
      </c>
      <c r="B82" s="13">
        <v>1</v>
      </c>
      <c r="C82" s="13">
        <v>1</v>
      </c>
      <c r="D82" s="13">
        <v>100010001</v>
      </c>
      <c r="E82" s="50" t="s">
        <v>818</v>
      </c>
      <c r="F82" s="50"/>
      <c r="G82" s="50"/>
      <c r="H82" s="13" t="s">
        <v>374</v>
      </c>
      <c r="I82" s="48" t="s">
        <v>773</v>
      </c>
      <c r="J82" s="13">
        <v>398.25</v>
      </c>
      <c r="K82" s="14">
        <v>4</v>
      </c>
      <c r="L82" s="14">
        <v>1</v>
      </c>
      <c r="M82" s="14" t="str">
        <f t="shared" si="8"/>
        <v>0401</v>
      </c>
      <c r="N82" s="12" t="s">
        <v>818</v>
      </c>
      <c r="O82" s="12"/>
      <c r="P82" s="14" t="str">
        <f t="shared" si="9"/>
        <v>1000000</v>
      </c>
    </row>
    <row r="83" spans="1:16" ht="19.149999999999999" customHeight="1">
      <c r="A83" s="15">
        <v>30</v>
      </c>
      <c r="B83" s="13">
        <v>1</v>
      </c>
      <c r="C83" s="13">
        <v>525</v>
      </c>
      <c r="D83" s="13">
        <v>300010525</v>
      </c>
      <c r="E83" s="50" t="s">
        <v>818</v>
      </c>
      <c r="F83" s="50"/>
      <c r="G83" s="50"/>
      <c r="H83" s="13" t="s">
        <v>375</v>
      </c>
      <c r="I83" s="48" t="s">
        <v>773</v>
      </c>
      <c r="J83" s="13">
        <v>473.48</v>
      </c>
      <c r="K83" s="14">
        <v>4</v>
      </c>
      <c r="L83" s="14">
        <v>1</v>
      </c>
      <c r="M83" s="14" t="str">
        <f t="shared" si="8"/>
        <v>0401</v>
      </c>
      <c r="N83" s="12" t="s">
        <v>818</v>
      </c>
      <c r="O83" s="12"/>
      <c r="P83" s="14" t="str">
        <f t="shared" si="9"/>
        <v>1000000</v>
      </c>
    </row>
    <row r="84" spans="1:16" ht="19.149999999999999" customHeight="1">
      <c r="A84" s="15">
        <v>10</v>
      </c>
      <c r="B84" s="13">
        <v>1</v>
      </c>
      <c r="C84" s="13">
        <v>218</v>
      </c>
      <c r="D84" s="13">
        <v>100010218</v>
      </c>
      <c r="E84" s="50" t="s">
        <v>818</v>
      </c>
      <c r="F84" s="50"/>
      <c r="G84" s="50"/>
      <c r="H84" s="13" t="s">
        <v>377</v>
      </c>
      <c r="I84" s="48" t="s">
        <v>773</v>
      </c>
      <c r="J84" s="13">
        <v>491</v>
      </c>
      <c r="K84" s="14">
        <v>4</v>
      </c>
      <c r="L84" s="14">
        <v>1</v>
      </c>
      <c r="M84" s="14" t="str">
        <f t="shared" si="8"/>
        <v>0401</v>
      </c>
      <c r="N84" s="12" t="s">
        <v>818</v>
      </c>
      <c r="O84" s="12"/>
      <c r="P84" s="14" t="str">
        <f t="shared" si="9"/>
        <v>1000000</v>
      </c>
    </row>
    <row r="85" spans="1:16" ht="19.149999999999999" customHeight="1">
      <c r="A85" s="15">
        <v>10</v>
      </c>
      <c r="B85" s="13">
        <v>1</v>
      </c>
      <c r="C85" s="13">
        <v>203</v>
      </c>
      <c r="D85" s="13">
        <v>100010203</v>
      </c>
      <c r="E85" s="50" t="s">
        <v>818</v>
      </c>
      <c r="F85" s="50"/>
      <c r="G85" s="50"/>
      <c r="H85" s="13" t="s">
        <v>378</v>
      </c>
      <c r="I85" s="48" t="s">
        <v>773</v>
      </c>
      <c r="J85" s="13">
        <v>0</v>
      </c>
      <c r="K85" s="14">
        <v>4</v>
      </c>
      <c r="L85" s="14">
        <v>1</v>
      </c>
      <c r="M85" s="14" t="str">
        <f t="shared" si="8"/>
        <v>0401</v>
      </c>
      <c r="N85" s="12" t="s">
        <v>818</v>
      </c>
      <c r="O85" s="12"/>
      <c r="P85" s="14" t="str">
        <f t="shared" si="9"/>
        <v>1000000</v>
      </c>
    </row>
    <row r="86" spans="1:16" ht="19.149999999999999" customHeight="1">
      <c r="A86" s="15">
        <v>10</v>
      </c>
      <c r="B86" s="13">
        <v>1</v>
      </c>
      <c r="C86" s="13">
        <v>204</v>
      </c>
      <c r="D86" s="13">
        <v>100010204</v>
      </c>
      <c r="E86" s="50" t="s">
        <v>818</v>
      </c>
      <c r="F86" s="50"/>
      <c r="G86" s="50"/>
      <c r="H86" s="13" t="s">
        <v>379</v>
      </c>
      <c r="I86" s="48" t="s">
        <v>773</v>
      </c>
      <c r="J86" s="13">
        <v>680</v>
      </c>
      <c r="K86" s="14">
        <v>4</v>
      </c>
      <c r="L86" s="14">
        <v>1</v>
      </c>
      <c r="M86" s="14" t="str">
        <f t="shared" si="8"/>
        <v>0401</v>
      </c>
      <c r="N86" s="12" t="s">
        <v>818</v>
      </c>
      <c r="O86" s="12"/>
      <c r="P86" s="14" t="str">
        <f t="shared" si="9"/>
        <v>1000000</v>
      </c>
    </row>
    <row r="87" spans="1:16" ht="19.149999999999999" customHeight="1">
      <c r="A87" s="15">
        <v>10</v>
      </c>
      <c r="B87" s="13">
        <v>1</v>
      </c>
      <c r="C87" s="13">
        <v>214</v>
      </c>
      <c r="D87" s="13">
        <v>100010214</v>
      </c>
      <c r="E87" s="50" t="s">
        <v>818</v>
      </c>
      <c r="F87" s="50"/>
      <c r="G87" s="50"/>
      <c r="H87" s="13" t="s">
        <v>380</v>
      </c>
      <c r="I87" s="48" t="s">
        <v>773</v>
      </c>
      <c r="J87" s="13">
        <v>563.89</v>
      </c>
      <c r="K87" s="14">
        <v>4</v>
      </c>
      <c r="L87" s="14">
        <v>1</v>
      </c>
      <c r="M87" s="14" t="str">
        <f t="shared" si="8"/>
        <v>0401</v>
      </c>
      <c r="N87" s="12" t="s">
        <v>818</v>
      </c>
      <c r="O87" s="12"/>
      <c r="P87" s="14" t="str">
        <f t="shared" si="9"/>
        <v>1000000</v>
      </c>
    </row>
    <row r="88" spans="1:16" ht="19.149999999999999" customHeight="1">
      <c r="A88" s="15">
        <v>10</v>
      </c>
      <c r="B88" s="13">
        <v>1</v>
      </c>
      <c r="C88" s="13">
        <v>213</v>
      </c>
      <c r="D88" s="13">
        <v>100010213</v>
      </c>
      <c r="E88" s="50" t="s">
        <v>818</v>
      </c>
      <c r="F88" s="50"/>
      <c r="G88" s="50"/>
      <c r="H88" s="13" t="s">
        <v>426</v>
      </c>
      <c r="I88" s="48" t="s">
        <v>773</v>
      </c>
      <c r="J88" s="13">
        <v>100</v>
      </c>
      <c r="K88" s="14">
        <v>4</v>
      </c>
      <c r="L88" s="14">
        <v>1</v>
      </c>
      <c r="M88" s="14" t="str">
        <f t="shared" si="8"/>
        <v>0401</v>
      </c>
      <c r="N88" s="12" t="s">
        <v>818</v>
      </c>
      <c r="O88" s="12"/>
      <c r="P88" s="14" t="str">
        <f t="shared" si="9"/>
        <v>1000000</v>
      </c>
    </row>
    <row r="89" spans="1:16" ht="19.149999999999999" customHeight="1">
      <c r="A89" s="15">
        <v>10</v>
      </c>
      <c r="B89" s="13">
        <v>1</v>
      </c>
      <c r="C89" s="13">
        <v>215</v>
      </c>
      <c r="D89" s="13">
        <v>100010215</v>
      </c>
      <c r="E89" s="50" t="s">
        <v>818</v>
      </c>
      <c r="F89" s="50"/>
      <c r="G89" s="50"/>
      <c r="H89" s="13" t="s">
        <v>381</v>
      </c>
      <c r="I89" s="48" t="s">
        <v>773</v>
      </c>
      <c r="J89" s="13">
        <v>6.6</v>
      </c>
      <c r="K89" s="14">
        <v>4</v>
      </c>
      <c r="L89" s="14">
        <v>1</v>
      </c>
      <c r="M89" s="14" t="str">
        <f t="shared" si="8"/>
        <v>0401</v>
      </c>
      <c r="N89" s="12" t="s">
        <v>818</v>
      </c>
      <c r="O89" s="12"/>
      <c r="P89" s="14" t="str">
        <f t="shared" si="9"/>
        <v>1000000</v>
      </c>
    </row>
    <row r="90" spans="1:16" ht="19.149999999999999" customHeight="1">
      <c r="A90" s="15">
        <v>10</v>
      </c>
      <c r="B90" s="13">
        <v>1</v>
      </c>
      <c r="C90" s="13">
        <v>209</v>
      </c>
      <c r="D90" s="13">
        <v>100010209</v>
      </c>
      <c r="E90" s="50" t="s">
        <v>818</v>
      </c>
      <c r="F90" s="50"/>
      <c r="G90" s="50"/>
      <c r="H90" s="13" t="s">
        <v>388</v>
      </c>
      <c r="I90" s="48" t="s">
        <v>773</v>
      </c>
      <c r="J90" s="13">
        <v>260</v>
      </c>
      <c r="K90" s="14">
        <v>4</v>
      </c>
      <c r="L90" s="14">
        <v>1</v>
      </c>
      <c r="M90" s="14" t="str">
        <f t="shared" si="8"/>
        <v>0401</v>
      </c>
      <c r="N90" s="12" t="s">
        <v>818</v>
      </c>
      <c r="O90" s="12"/>
      <c r="P90" s="14" t="str">
        <f t="shared" si="9"/>
        <v>1000000</v>
      </c>
    </row>
    <row r="91" spans="1:16" ht="19.149999999999999" customHeight="1">
      <c r="A91" s="15">
        <v>10</v>
      </c>
      <c r="B91" s="13">
        <v>1</v>
      </c>
      <c r="C91" s="13">
        <v>217</v>
      </c>
      <c r="D91" s="13">
        <v>100010217</v>
      </c>
      <c r="E91" s="50" t="s">
        <v>818</v>
      </c>
      <c r="F91" s="50"/>
      <c r="G91" s="50"/>
      <c r="H91" s="13" t="s">
        <v>389</v>
      </c>
      <c r="I91" s="48" t="s">
        <v>773</v>
      </c>
      <c r="J91" s="13">
        <v>179.9</v>
      </c>
      <c r="K91" s="14">
        <v>4</v>
      </c>
      <c r="L91" s="14">
        <v>1</v>
      </c>
      <c r="M91" s="14" t="str">
        <f t="shared" si="8"/>
        <v>0401</v>
      </c>
      <c r="N91" s="12" t="s">
        <v>818</v>
      </c>
      <c r="O91" s="12"/>
      <c r="P91" s="14" t="str">
        <f t="shared" si="9"/>
        <v>1000000</v>
      </c>
    </row>
    <row r="92" spans="1:16" ht="19.149999999999999" customHeight="1">
      <c r="A92" s="15">
        <v>10</v>
      </c>
      <c r="B92" s="13">
        <v>1</v>
      </c>
      <c r="C92" s="13">
        <v>222</v>
      </c>
      <c r="D92" s="13">
        <v>100010222</v>
      </c>
      <c r="E92" s="50" t="s">
        <v>818</v>
      </c>
      <c r="F92" s="50"/>
      <c r="G92" s="50"/>
      <c r="H92" s="13" t="s">
        <v>390</v>
      </c>
      <c r="I92" s="48" t="s">
        <v>773</v>
      </c>
      <c r="J92" s="13">
        <v>200</v>
      </c>
      <c r="K92" s="14">
        <v>4</v>
      </c>
      <c r="L92" s="14">
        <v>1</v>
      </c>
      <c r="M92" s="14" t="str">
        <f t="shared" si="8"/>
        <v>0401</v>
      </c>
      <c r="N92" s="12" t="s">
        <v>818</v>
      </c>
      <c r="O92" s="12"/>
      <c r="P92" s="14" t="str">
        <f t="shared" si="9"/>
        <v>1000000</v>
      </c>
    </row>
    <row r="93" spans="1:16" ht="19.149999999999999" customHeight="1">
      <c r="A93" s="15">
        <v>10</v>
      </c>
      <c r="B93" s="13">
        <v>1</v>
      </c>
      <c r="C93" s="13">
        <v>211</v>
      </c>
      <c r="D93" s="13">
        <v>100010211</v>
      </c>
      <c r="E93" s="50" t="s">
        <v>818</v>
      </c>
      <c r="F93" s="50"/>
      <c r="G93" s="50"/>
      <c r="H93" s="13" t="s">
        <v>391</v>
      </c>
      <c r="I93" s="48" t="s">
        <v>773</v>
      </c>
      <c r="J93" s="13">
        <v>350</v>
      </c>
      <c r="K93" s="14">
        <v>4</v>
      </c>
      <c r="L93" s="14">
        <v>1</v>
      </c>
      <c r="M93" s="14" t="str">
        <f t="shared" si="8"/>
        <v>0401</v>
      </c>
      <c r="N93" s="12" t="s">
        <v>818</v>
      </c>
      <c r="O93" s="12"/>
      <c r="P93" s="14" t="str">
        <f t="shared" si="9"/>
        <v>1000000</v>
      </c>
    </row>
    <row r="94" spans="1:16" ht="19.149999999999999" customHeight="1">
      <c r="A94" s="15">
        <v>10</v>
      </c>
      <c r="B94" s="13">
        <v>1</v>
      </c>
      <c r="C94" s="13">
        <v>210</v>
      </c>
      <c r="D94" s="13">
        <v>100010210</v>
      </c>
      <c r="E94" s="50" t="s">
        <v>818</v>
      </c>
      <c r="F94" s="50"/>
      <c r="G94" s="50"/>
      <c r="H94" s="13" t="s">
        <v>395</v>
      </c>
      <c r="I94" s="48" t="s">
        <v>773</v>
      </c>
      <c r="J94" s="13">
        <v>550</v>
      </c>
      <c r="K94" s="14">
        <v>4</v>
      </c>
      <c r="L94" s="14">
        <v>1</v>
      </c>
      <c r="M94" s="14" t="str">
        <f t="shared" si="8"/>
        <v>0401</v>
      </c>
      <c r="N94" s="12" t="s">
        <v>818</v>
      </c>
      <c r="O94" s="12"/>
      <c r="P94" s="14" t="str">
        <f t="shared" si="9"/>
        <v>1000000</v>
      </c>
    </row>
    <row r="95" spans="1:16" ht="19.149999999999999" customHeight="1">
      <c r="A95" s="15">
        <v>10</v>
      </c>
      <c r="B95" s="13">
        <v>1</v>
      </c>
      <c r="C95" s="13">
        <v>3</v>
      </c>
      <c r="D95" s="13">
        <v>100010003</v>
      </c>
      <c r="E95" s="50" t="s">
        <v>818</v>
      </c>
      <c r="F95" s="50"/>
      <c r="G95" s="50"/>
      <c r="H95" s="13" t="s">
        <v>396</v>
      </c>
      <c r="I95" s="48" t="s">
        <v>773</v>
      </c>
      <c r="J95" s="13">
        <v>12.9</v>
      </c>
      <c r="K95" s="14">
        <v>4</v>
      </c>
      <c r="L95" s="14">
        <v>1</v>
      </c>
      <c r="M95" s="14" t="str">
        <f t="shared" si="8"/>
        <v>0401</v>
      </c>
      <c r="N95" s="12" t="s">
        <v>818</v>
      </c>
      <c r="O95" s="12"/>
      <c r="P95" s="14" t="str">
        <f t="shared" si="9"/>
        <v>1000000</v>
      </c>
    </row>
    <row r="96" spans="1:16" ht="19.149999999999999" customHeight="1">
      <c r="A96" s="15">
        <v>10</v>
      </c>
      <c r="B96" s="13">
        <v>1</v>
      </c>
      <c r="C96" s="13">
        <v>212</v>
      </c>
      <c r="D96" s="13">
        <v>100010212</v>
      </c>
      <c r="E96" s="50" t="s">
        <v>818</v>
      </c>
      <c r="F96" s="50"/>
      <c r="G96" s="50"/>
      <c r="H96" s="13" t="s">
        <v>397</v>
      </c>
      <c r="I96" s="48" t="s">
        <v>773</v>
      </c>
      <c r="J96" s="13">
        <v>9</v>
      </c>
      <c r="K96" s="14">
        <v>3</v>
      </c>
      <c r="L96" s="14">
        <v>7</v>
      </c>
      <c r="M96" s="14" t="str">
        <f t="shared" si="8"/>
        <v>0307</v>
      </c>
      <c r="N96" s="12" t="s">
        <v>818</v>
      </c>
      <c r="O96" s="12"/>
      <c r="P96" s="14" t="str">
        <f t="shared" si="9"/>
        <v>1000000</v>
      </c>
    </row>
    <row r="97" spans="1:16" ht="19.149999999999999" customHeight="1">
      <c r="A97" s="15">
        <v>66</v>
      </c>
      <c r="B97" s="13">
        <v>1</v>
      </c>
      <c r="C97" s="13">
        <v>782</v>
      </c>
      <c r="D97" s="13">
        <v>660010782</v>
      </c>
      <c r="E97" s="49">
        <v>10</v>
      </c>
      <c r="F97" s="49"/>
      <c r="G97" s="49"/>
      <c r="H97" s="13" t="s">
        <v>458</v>
      </c>
      <c r="I97" s="48" t="s">
        <v>773</v>
      </c>
      <c r="J97" s="13">
        <v>11.7</v>
      </c>
      <c r="K97" s="14">
        <v>4</v>
      </c>
      <c r="L97" s="14">
        <v>2</v>
      </c>
      <c r="M97" s="14" t="str">
        <f t="shared" si="8"/>
        <v>0402</v>
      </c>
      <c r="N97" s="16">
        <v>10</v>
      </c>
      <c r="O97" s="16"/>
      <c r="P97" s="14" t="str">
        <f t="shared" si="9"/>
        <v>1000000</v>
      </c>
    </row>
    <row r="98" spans="1:16" ht="19.149999999999999" customHeight="1">
      <c r="A98" s="15">
        <v>10</v>
      </c>
      <c r="B98" s="13">
        <v>1</v>
      </c>
      <c r="C98" s="13">
        <v>226</v>
      </c>
      <c r="D98" s="13">
        <v>100010226</v>
      </c>
      <c r="E98" s="49">
        <v>10</v>
      </c>
      <c r="F98" s="49"/>
      <c r="G98" s="49"/>
      <c r="H98" s="13" t="s">
        <v>459</v>
      </c>
      <c r="I98" s="48" t="s">
        <v>773</v>
      </c>
      <c r="J98" s="13">
        <v>22.9</v>
      </c>
      <c r="K98" s="14">
        <v>4</v>
      </c>
      <c r="L98" s="14">
        <v>2</v>
      </c>
      <c r="M98" s="14" t="str">
        <f t="shared" si="8"/>
        <v>0402</v>
      </c>
      <c r="N98" s="16">
        <v>10</v>
      </c>
      <c r="O98" s="16"/>
      <c r="P98" s="14" t="str">
        <f t="shared" si="9"/>
        <v>1000000</v>
      </c>
    </row>
    <row r="99" spans="1:16" ht="19.149999999999999" customHeight="1">
      <c r="A99" s="15">
        <v>10</v>
      </c>
      <c r="B99" s="13">
        <v>1</v>
      </c>
      <c r="C99" s="13">
        <v>219</v>
      </c>
      <c r="D99" s="13">
        <v>100010219</v>
      </c>
      <c r="E99" s="49">
        <v>10</v>
      </c>
      <c r="F99" s="49"/>
      <c r="G99" s="49"/>
      <c r="H99" s="13" t="s">
        <v>460</v>
      </c>
      <c r="I99" s="48" t="s">
        <v>773</v>
      </c>
      <c r="J99" s="13">
        <v>45</v>
      </c>
      <c r="K99" s="14">
        <v>4</v>
      </c>
      <c r="L99" s="14">
        <v>2</v>
      </c>
      <c r="M99" s="14" t="str">
        <f t="shared" si="8"/>
        <v>0402</v>
      </c>
      <c r="N99" s="16">
        <v>10</v>
      </c>
      <c r="O99" s="16"/>
      <c r="P99" s="14" t="str">
        <f t="shared" si="9"/>
        <v>1000000</v>
      </c>
    </row>
    <row r="100" spans="1:16" ht="19.149999999999999" customHeight="1">
      <c r="A100" s="15">
        <v>10</v>
      </c>
      <c r="B100" s="13">
        <v>1</v>
      </c>
      <c r="C100" s="13">
        <v>220</v>
      </c>
      <c r="D100" s="13">
        <v>100010220</v>
      </c>
      <c r="E100" s="49" t="s">
        <v>818</v>
      </c>
      <c r="F100" s="49"/>
      <c r="G100" s="49"/>
      <c r="H100" s="13" t="s">
        <v>464</v>
      </c>
      <c r="I100" s="48" t="s">
        <v>773</v>
      </c>
      <c r="J100" s="13">
        <v>10.9</v>
      </c>
      <c r="K100" s="14">
        <v>4</v>
      </c>
      <c r="L100" s="14">
        <v>2</v>
      </c>
      <c r="M100" s="14" t="str">
        <f t="shared" si="8"/>
        <v>0402</v>
      </c>
      <c r="N100" s="16" t="s">
        <v>818</v>
      </c>
      <c r="O100" s="16"/>
      <c r="P100" s="14" t="str">
        <f t="shared" si="9"/>
        <v>1000000</v>
      </c>
    </row>
    <row r="101" spans="1:16" ht="19.149999999999999" customHeight="1">
      <c r="A101" s="15">
        <v>10</v>
      </c>
      <c r="B101" s="13">
        <v>1</v>
      </c>
      <c r="C101" s="13">
        <v>221</v>
      </c>
      <c r="D101" s="13">
        <v>100010221</v>
      </c>
      <c r="E101" s="49" t="s">
        <v>818</v>
      </c>
      <c r="F101" s="49"/>
      <c r="G101" s="49"/>
      <c r="H101" s="13" t="s">
        <v>465</v>
      </c>
      <c r="I101" s="48" t="s">
        <v>773</v>
      </c>
      <c r="J101" s="13">
        <v>21.3</v>
      </c>
      <c r="K101" s="14">
        <v>4</v>
      </c>
      <c r="L101" s="14">
        <v>2</v>
      </c>
      <c r="M101" s="14" t="str">
        <f t="shared" si="8"/>
        <v>0402</v>
      </c>
      <c r="N101" s="16" t="s">
        <v>818</v>
      </c>
      <c r="O101" s="16"/>
      <c r="P101" s="14" t="str">
        <f t="shared" si="9"/>
        <v>1000000</v>
      </c>
    </row>
    <row r="102" spans="1:16" ht="19.149999999999999" customHeight="1">
      <c r="A102" s="15">
        <v>10</v>
      </c>
      <c r="B102" s="13">
        <v>1</v>
      </c>
      <c r="C102" s="13">
        <v>8</v>
      </c>
      <c r="D102" s="13">
        <v>100010008</v>
      </c>
      <c r="E102" s="50" t="s">
        <v>818</v>
      </c>
      <c r="F102" s="50"/>
      <c r="G102" s="50"/>
      <c r="H102" s="13" t="s">
        <v>317</v>
      </c>
      <c r="I102" s="48" t="s">
        <v>773</v>
      </c>
      <c r="J102" s="13">
        <v>4.5</v>
      </c>
      <c r="K102" s="14">
        <v>3</v>
      </c>
      <c r="L102" s="14">
        <v>7</v>
      </c>
      <c r="M102" s="14" t="str">
        <f t="shared" si="8"/>
        <v>0307</v>
      </c>
      <c r="N102" s="12" t="s">
        <v>818</v>
      </c>
      <c r="O102" s="12"/>
      <c r="P102" s="14" t="str">
        <f t="shared" si="9"/>
        <v>1000000</v>
      </c>
    </row>
    <row r="103" spans="1:16" ht="19.149999999999999" customHeight="1">
      <c r="A103" s="15">
        <v>66</v>
      </c>
      <c r="B103" s="13">
        <v>1</v>
      </c>
      <c r="C103" s="13">
        <v>792</v>
      </c>
      <c r="D103" s="13">
        <v>660010792</v>
      </c>
      <c r="E103" s="50" t="s">
        <v>818</v>
      </c>
      <c r="F103" s="50"/>
      <c r="G103" s="50"/>
      <c r="H103" s="13" t="s">
        <v>401</v>
      </c>
      <c r="I103" s="48" t="s">
        <v>773</v>
      </c>
      <c r="J103" s="13">
        <v>3</v>
      </c>
      <c r="K103" s="14">
        <v>3</v>
      </c>
      <c r="L103" s="14">
        <v>7</v>
      </c>
      <c r="M103" s="14" t="str">
        <f t="shared" si="8"/>
        <v>0307</v>
      </c>
      <c r="N103" s="12" t="s">
        <v>818</v>
      </c>
      <c r="O103" s="12"/>
      <c r="P103" s="14" t="str">
        <f t="shared" si="9"/>
        <v>1000000</v>
      </c>
    </row>
    <row r="104" spans="1:16" ht="19.149999999999999" customHeight="1">
      <c r="A104" s="15">
        <v>66</v>
      </c>
      <c r="B104" s="13">
        <v>1</v>
      </c>
      <c r="C104" s="13">
        <v>793</v>
      </c>
      <c r="D104" s="13">
        <v>660010793</v>
      </c>
      <c r="E104" s="50" t="s">
        <v>818</v>
      </c>
      <c r="F104" s="50"/>
      <c r="G104" s="50"/>
      <c r="H104" s="13" t="s">
        <v>402</v>
      </c>
      <c r="I104" s="48" t="s">
        <v>773</v>
      </c>
      <c r="J104" s="13">
        <v>26.9</v>
      </c>
      <c r="K104" s="14">
        <v>4</v>
      </c>
      <c r="L104" s="14">
        <v>1</v>
      </c>
      <c r="M104" s="14" t="str">
        <f t="shared" si="8"/>
        <v>0401</v>
      </c>
      <c r="N104" s="12" t="s">
        <v>818</v>
      </c>
      <c r="O104" s="12"/>
      <c r="P104" s="14" t="str">
        <f t="shared" si="9"/>
        <v>1000000</v>
      </c>
    </row>
    <row r="105" spans="1:16" ht="19.149999999999999" customHeight="1">
      <c r="A105" s="15">
        <v>66</v>
      </c>
      <c r="B105" s="13">
        <v>1</v>
      </c>
      <c r="C105" s="13">
        <v>794</v>
      </c>
      <c r="D105" s="13">
        <v>660010794</v>
      </c>
      <c r="E105" s="50" t="s">
        <v>818</v>
      </c>
      <c r="F105" s="50"/>
      <c r="G105" s="50"/>
      <c r="H105" s="13" t="s">
        <v>403</v>
      </c>
      <c r="I105" s="48" t="s">
        <v>773</v>
      </c>
      <c r="J105" s="13">
        <v>15</v>
      </c>
      <c r="K105" s="14">
        <v>4</v>
      </c>
      <c r="L105" s="14">
        <v>1</v>
      </c>
      <c r="M105" s="14" t="str">
        <f t="shared" si="8"/>
        <v>0401</v>
      </c>
      <c r="N105" s="12" t="s">
        <v>818</v>
      </c>
      <c r="O105" s="12"/>
      <c r="P105" s="14" t="str">
        <f t="shared" si="9"/>
        <v>1000000</v>
      </c>
    </row>
    <row r="106" spans="1:16" ht="19.149999999999999" customHeight="1">
      <c r="A106" s="15">
        <v>66</v>
      </c>
      <c r="B106" s="13">
        <v>1</v>
      </c>
      <c r="C106" s="13">
        <v>790</v>
      </c>
      <c r="D106" s="13">
        <v>660010790</v>
      </c>
      <c r="E106" s="41">
        <v>11</v>
      </c>
      <c r="F106" s="41"/>
      <c r="G106" s="41"/>
      <c r="H106" s="9" t="s">
        <v>511</v>
      </c>
      <c r="I106" s="39" t="s">
        <v>773</v>
      </c>
      <c r="J106" s="9">
        <v>33</v>
      </c>
      <c r="K106" s="14">
        <v>5</v>
      </c>
      <c r="L106" s="14">
        <v>1</v>
      </c>
      <c r="M106" s="14" t="str">
        <f t="shared" ref="M106:M169" si="10">TEXT(K106,"00")&amp;TEXT(L106,"00")</f>
        <v>0501</v>
      </c>
      <c r="N106" s="20">
        <v>11</v>
      </c>
      <c r="O106" s="20"/>
      <c r="P106" s="14" t="str">
        <f t="shared" ref="P106:P169" si="11">TEXT(E106,"00")&amp;TEXT(F106,"00")&amp;TEXT(G106,"000")</f>
        <v>1100000</v>
      </c>
    </row>
    <row r="107" spans="1:16" ht="19.149999999999999" customHeight="1">
      <c r="A107" s="15">
        <v>66</v>
      </c>
      <c r="B107" s="13">
        <v>1</v>
      </c>
      <c r="C107" s="13">
        <v>791</v>
      </c>
      <c r="D107" s="13">
        <v>660010791</v>
      </c>
      <c r="E107" s="41">
        <v>11</v>
      </c>
      <c r="F107" s="41"/>
      <c r="G107" s="41"/>
      <c r="H107" s="9" t="s">
        <v>512</v>
      </c>
      <c r="I107" s="39" t="s">
        <v>773</v>
      </c>
      <c r="J107" s="9">
        <v>35</v>
      </c>
      <c r="K107" s="14">
        <v>5</v>
      </c>
      <c r="L107" s="14">
        <v>1</v>
      </c>
      <c r="M107" s="14" t="str">
        <f t="shared" si="10"/>
        <v>0501</v>
      </c>
      <c r="N107" s="20">
        <v>11</v>
      </c>
      <c r="O107" s="20"/>
      <c r="P107" s="14" t="str">
        <f t="shared" si="11"/>
        <v>1100000</v>
      </c>
    </row>
    <row r="108" spans="1:16" ht="19.149999999999999" customHeight="1">
      <c r="A108" s="8">
        <v>54</v>
      </c>
      <c r="B108" s="9">
        <v>1</v>
      </c>
      <c r="C108" s="9">
        <v>1</v>
      </c>
      <c r="D108" s="9">
        <v>540010001</v>
      </c>
      <c r="E108" s="41">
        <v>11</v>
      </c>
      <c r="F108" s="41"/>
      <c r="G108" s="41"/>
      <c r="H108" s="9" t="s">
        <v>513</v>
      </c>
      <c r="I108" s="39" t="s">
        <v>773</v>
      </c>
      <c r="J108" s="9">
        <v>45</v>
      </c>
      <c r="K108" s="14">
        <v>5</v>
      </c>
      <c r="L108" s="14">
        <v>1</v>
      </c>
      <c r="M108" s="14" t="str">
        <f t="shared" si="10"/>
        <v>0501</v>
      </c>
      <c r="N108" s="20">
        <v>11</v>
      </c>
      <c r="O108" s="20"/>
      <c r="P108" s="14" t="str">
        <f t="shared" si="11"/>
        <v>1100000</v>
      </c>
    </row>
    <row r="109" spans="1:16" ht="19.149999999999999" customHeight="1">
      <c r="A109" s="8">
        <v>12</v>
      </c>
      <c r="B109" s="9">
        <v>1</v>
      </c>
      <c r="C109" s="9">
        <v>278</v>
      </c>
      <c r="D109" s="9">
        <v>120010278</v>
      </c>
      <c r="E109" s="41">
        <v>11</v>
      </c>
      <c r="F109" s="41"/>
      <c r="G109" s="41"/>
      <c r="H109" s="9" t="s">
        <v>554</v>
      </c>
      <c r="I109" s="39" t="s">
        <v>773</v>
      </c>
      <c r="J109" s="9">
        <v>50</v>
      </c>
      <c r="K109" s="14">
        <v>5</v>
      </c>
      <c r="L109" s="14">
        <v>1</v>
      </c>
      <c r="M109" s="14" t="str">
        <f t="shared" si="10"/>
        <v>0501</v>
      </c>
      <c r="N109" s="19">
        <v>11</v>
      </c>
      <c r="O109" s="19"/>
      <c r="P109" s="14" t="str">
        <f t="shared" si="11"/>
        <v>1100000</v>
      </c>
    </row>
    <row r="110" spans="1:16" ht="19.149999999999999" customHeight="1">
      <c r="A110" s="8">
        <v>12</v>
      </c>
      <c r="B110" s="9">
        <v>1</v>
      </c>
      <c r="C110" s="9">
        <v>14</v>
      </c>
      <c r="D110" s="9">
        <v>120010014</v>
      </c>
      <c r="E110" s="37" t="s">
        <v>804</v>
      </c>
      <c r="H110" s="9" t="s">
        <v>90</v>
      </c>
      <c r="I110" s="39" t="s">
        <v>773</v>
      </c>
      <c r="J110" s="9">
        <v>165</v>
      </c>
      <c r="K110" s="14">
        <v>3</v>
      </c>
      <c r="L110" s="14">
        <v>3</v>
      </c>
      <c r="M110" s="14" t="str">
        <f t="shared" si="10"/>
        <v>0303</v>
      </c>
      <c r="N110" s="17" t="s">
        <v>804</v>
      </c>
      <c r="P110" s="14" t="str">
        <f t="shared" si="11"/>
        <v>1100000</v>
      </c>
    </row>
    <row r="111" spans="1:16" ht="19.149999999999999" customHeight="1">
      <c r="A111" s="8">
        <v>12</v>
      </c>
      <c r="B111" s="9">
        <v>1</v>
      </c>
      <c r="C111" s="9">
        <v>239</v>
      </c>
      <c r="D111" s="9">
        <v>120010239</v>
      </c>
      <c r="E111" s="51">
        <v>11</v>
      </c>
      <c r="F111" s="51"/>
      <c r="G111" s="51"/>
      <c r="H111" s="9" t="s">
        <v>558</v>
      </c>
      <c r="I111" s="39" t="s">
        <v>773</v>
      </c>
      <c r="J111" s="9">
        <v>5.55</v>
      </c>
      <c r="K111" s="14">
        <v>5</v>
      </c>
      <c r="L111" s="14">
        <v>1</v>
      </c>
      <c r="M111" s="14" t="str">
        <f t="shared" si="10"/>
        <v>0501</v>
      </c>
      <c r="N111" s="21">
        <v>11</v>
      </c>
      <c r="O111" s="21"/>
      <c r="P111" s="14" t="str">
        <f t="shared" si="11"/>
        <v>1100000</v>
      </c>
    </row>
    <row r="112" spans="1:16" ht="19.149999999999999" customHeight="1">
      <c r="A112" s="8">
        <v>12</v>
      </c>
      <c r="B112" s="9">
        <v>1</v>
      </c>
      <c r="C112" s="9">
        <v>275</v>
      </c>
      <c r="D112" s="9">
        <v>120010275</v>
      </c>
      <c r="E112" s="49" t="s">
        <v>822</v>
      </c>
      <c r="F112" s="49"/>
      <c r="G112" s="49"/>
      <c r="H112" s="13" t="s">
        <v>514</v>
      </c>
      <c r="I112" s="48" t="s">
        <v>773</v>
      </c>
      <c r="J112" s="13">
        <v>45</v>
      </c>
      <c r="K112" s="14">
        <v>5</v>
      </c>
      <c r="L112" s="14">
        <v>1</v>
      </c>
      <c r="M112" s="14" t="str">
        <f t="shared" si="10"/>
        <v>0501</v>
      </c>
      <c r="N112" s="16" t="s">
        <v>822</v>
      </c>
      <c r="O112" s="16"/>
      <c r="P112" s="14" t="str">
        <f t="shared" si="11"/>
        <v>1200000</v>
      </c>
    </row>
    <row r="113" spans="1:16" ht="19.149999999999999" customHeight="1">
      <c r="A113" s="8">
        <v>12</v>
      </c>
      <c r="B113" s="9">
        <v>1</v>
      </c>
      <c r="C113" s="9">
        <v>318</v>
      </c>
      <c r="D113" s="9">
        <v>120010318</v>
      </c>
      <c r="E113" s="49" t="s">
        <v>822</v>
      </c>
      <c r="F113" s="49"/>
      <c r="G113" s="49"/>
      <c r="H113" s="13" t="s">
        <v>515</v>
      </c>
      <c r="I113" s="48" t="s">
        <v>773</v>
      </c>
      <c r="J113" s="13">
        <v>45</v>
      </c>
      <c r="K113" s="14">
        <v>5</v>
      </c>
      <c r="L113" s="14">
        <v>1</v>
      </c>
      <c r="M113" s="14" t="str">
        <f t="shared" si="10"/>
        <v>0501</v>
      </c>
      <c r="N113" s="16" t="s">
        <v>822</v>
      </c>
      <c r="O113" s="16"/>
      <c r="P113" s="14" t="str">
        <f t="shared" si="11"/>
        <v>1200000</v>
      </c>
    </row>
    <row r="114" spans="1:16" ht="19.149999999999999" customHeight="1">
      <c r="A114" s="15">
        <v>12</v>
      </c>
      <c r="B114" s="13">
        <v>1</v>
      </c>
      <c r="C114" s="13">
        <v>231</v>
      </c>
      <c r="D114" s="13">
        <v>120010231</v>
      </c>
      <c r="E114" s="49" t="s">
        <v>822</v>
      </c>
      <c r="F114" s="49"/>
      <c r="G114" s="49"/>
      <c r="H114" s="13" t="s">
        <v>516</v>
      </c>
      <c r="I114" s="48" t="s">
        <v>773</v>
      </c>
      <c r="J114" s="13">
        <v>33</v>
      </c>
      <c r="K114" s="14">
        <v>5</v>
      </c>
      <c r="L114" s="14">
        <v>1</v>
      </c>
      <c r="M114" s="14" t="str">
        <f t="shared" si="10"/>
        <v>0501</v>
      </c>
      <c r="N114" s="16" t="s">
        <v>822</v>
      </c>
      <c r="O114" s="16"/>
      <c r="P114" s="14" t="str">
        <f t="shared" si="11"/>
        <v>1200000</v>
      </c>
    </row>
    <row r="115" spans="1:16" ht="19.149999999999999" customHeight="1">
      <c r="A115" s="15">
        <v>12</v>
      </c>
      <c r="B115" s="13">
        <v>1</v>
      </c>
      <c r="C115" s="13">
        <v>230</v>
      </c>
      <c r="D115" s="13">
        <v>120010230</v>
      </c>
      <c r="E115" s="49">
        <v>12</v>
      </c>
      <c r="F115" s="49"/>
      <c r="G115" s="49"/>
      <c r="H115" s="13" t="s">
        <v>588</v>
      </c>
      <c r="I115" s="48" t="s">
        <v>773</v>
      </c>
      <c r="J115" s="13">
        <v>500</v>
      </c>
      <c r="K115" s="14">
        <v>5</v>
      </c>
      <c r="L115" s="14">
        <v>1</v>
      </c>
      <c r="M115" s="14" t="str">
        <f t="shared" si="10"/>
        <v>0501</v>
      </c>
      <c r="N115" s="16">
        <v>12</v>
      </c>
      <c r="O115" s="16"/>
      <c r="P115" s="14" t="str">
        <f t="shared" si="11"/>
        <v>1200000</v>
      </c>
    </row>
    <row r="116" spans="1:16" ht="19.149999999999999" customHeight="1">
      <c r="A116" s="15">
        <v>12</v>
      </c>
      <c r="B116" s="13">
        <v>1</v>
      </c>
      <c r="C116" s="13">
        <v>240</v>
      </c>
      <c r="D116" s="13">
        <v>120010240</v>
      </c>
      <c r="E116" s="49">
        <v>12</v>
      </c>
      <c r="F116" s="49"/>
      <c r="G116" s="49"/>
      <c r="H116" s="13" t="s">
        <v>587</v>
      </c>
      <c r="I116" s="48" t="s">
        <v>773</v>
      </c>
      <c r="J116" s="13">
        <v>100</v>
      </c>
      <c r="K116" s="14">
        <v>5</v>
      </c>
      <c r="L116" s="14">
        <v>1</v>
      </c>
      <c r="M116" s="14" t="str">
        <f t="shared" si="10"/>
        <v>0501</v>
      </c>
      <c r="N116" s="16">
        <v>12</v>
      </c>
      <c r="O116" s="16"/>
      <c r="P116" s="14" t="str">
        <f t="shared" si="11"/>
        <v>1200000</v>
      </c>
    </row>
    <row r="117" spans="1:16" ht="19.149999999999999" customHeight="1">
      <c r="A117" s="15">
        <v>12</v>
      </c>
      <c r="B117" s="13">
        <v>1</v>
      </c>
      <c r="C117" s="13">
        <v>4</v>
      </c>
      <c r="D117" s="13">
        <v>120010004</v>
      </c>
      <c r="E117" s="49" t="s">
        <v>822</v>
      </c>
      <c r="F117" s="49"/>
      <c r="G117" s="49"/>
      <c r="H117" s="13" t="s">
        <v>528</v>
      </c>
      <c r="I117" s="48" t="s">
        <v>773</v>
      </c>
      <c r="J117" s="13">
        <v>1.2</v>
      </c>
      <c r="K117" s="14">
        <v>5</v>
      </c>
      <c r="L117" s="14">
        <v>1</v>
      </c>
      <c r="M117" s="14" t="str">
        <f t="shared" si="10"/>
        <v>0501</v>
      </c>
      <c r="N117" s="16" t="s">
        <v>822</v>
      </c>
      <c r="O117" s="16"/>
      <c r="P117" s="14" t="str">
        <f t="shared" si="11"/>
        <v>1200000</v>
      </c>
    </row>
    <row r="118" spans="1:16" ht="19.149999999999999" customHeight="1">
      <c r="A118" s="15">
        <v>12</v>
      </c>
      <c r="B118" s="13">
        <v>1</v>
      </c>
      <c r="C118" s="13">
        <v>5</v>
      </c>
      <c r="D118" s="13">
        <v>120010005</v>
      </c>
      <c r="E118" s="49" t="s">
        <v>822</v>
      </c>
      <c r="F118" s="49"/>
      <c r="G118" s="49"/>
      <c r="H118" s="13" t="s">
        <v>594</v>
      </c>
      <c r="I118" s="48" t="s">
        <v>773</v>
      </c>
      <c r="J118" s="13">
        <v>3.5</v>
      </c>
      <c r="K118" s="14">
        <v>5</v>
      </c>
      <c r="L118" s="14">
        <v>1</v>
      </c>
      <c r="M118" s="14" t="str">
        <f t="shared" si="10"/>
        <v>0501</v>
      </c>
      <c r="N118" s="16" t="s">
        <v>822</v>
      </c>
      <c r="O118" s="16"/>
      <c r="P118" s="14" t="str">
        <f t="shared" si="11"/>
        <v>1200000</v>
      </c>
    </row>
    <row r="119" spans="1:16" ht="19.149999999999999" customHeight="1">
      <c r="A119" s="15">
        <v>12</v>
      </c>
      <c r="B119" s="13">
        <v>1</v>
      </c>
      <c r="C119" s="13">
        <v>285</v>
      </c>
      <c r="D119" s="13">
        <v>120010285</v>
      </c>
      <c r="E119" s="49" t="s">
        <v>822</v>
      </c>
      <c r="F119" s="49"/>
      <c r="G119" s="49"/>
      <c r="H119" s="13" t="s">
        <v>529</v>
      </c>
      <c r="I119" s="48" t="s">
        <v>773</v>
      </c>
      <c r="J119" s="13">
        <v>1.1000000000000001</v>
      </c>
      <c r="K119" s="14">
        <v>5</v>
      </c>
      <c r="L119" s="14">
        <v>1</v>
      </c>
      <c r="M119" s="14" t="str">
        <f t="shared" si="10"/>
        <v>0501</v>
      </c>
      <c r="N119" s="16" t="s">
        <v>822</v>
      </c>
      <c r="O119" s="16"/>
      <c r="P119" s="14" t="str">
        <f t="shared" si="11"/>
        <v>1200000</v>
      </c>
    </row>
    <row r="120" spans="1:16" ht="19.149999999999999" customHeight="1">
      <c r="A120" s="15">
        <v>12</v>
      </c>
      <c r="B120" s="13">
        <v>1</v>
      </c>
      <c r="C120" s="13">
        <v>6</v>
      </c>
      <c r="D120" s="13">
        <v>120010006</v>
      </c>
      <c r="E120" s="49" t="s">
        <v>822</v>
      </c>
      <c r="F120" s="49"/>
      <c r="G120" s="49"/>
      <c r="H120" s="13" t="s">
        <v>609</v>
      </c>
      <c r="I120" s="48" t="s">
        <v>773</v>
      </c>
      <c r="J120" s="13">
        <v>14</v>
      </c>
      <c r="K120" s="14">
        <v>5</v>
      </c>
      <c r="L120" s="14">
        <v>2</v>
      </c>
      <c r="M120" s="14" t="str">
        <f t="shared" si="10"/>
        <v>0502</v>
      </c>
      <c r="N120" s="16" t="s">
        <v>822</v>
      </c>
      <c r="O120" s="16"/>
      <c r="P120" s="14" t="str">
        <f t="shared" si="11"/>
        <v>1200000</v>
      </c>
    </row>
    <row r="121" spans="1:16" ht="19.149999999999999" customHeight="1">
      <c r="A121" s="15">
        <v>12</v>
      </c>
      <c r="B121" s="13">
        <v>1</v>
      </c>
      <c r="C121" s="13">
        <v>286</v>
      </c>
      <c r="D121" s="13">
        <v>120010286</v>
      </c>
      <c r="E121" s="49">
        <v>12</v>
      </c>
      <c r="F121" s="49"/>
      <c r="G121" s="49"/>
      <c r="H121" s="13" t="s">
        <v>541</v>
      </c>
      <c r="I121" s="48" t="s">
        <v>773</v>
      </c>
      <c r="J121" s="13">
        <v>4</v>
      </c>
      <c r="K121" s="14">
        <v>5</v>
      </c>
      <c r="L121" s="14">
        <v>1</v>
      </c>
      <c r="M121" s="14" t="str">
        <f t="shared" si="10"/>
        <v>0501</v>
      </c>
      <c r="N121" s="16">
        <v>12</v>
      </c>
      <c r="O121" s="16"/>
      <c r="P121" s="14" t="str">
        <f t="shared" si="11"/>
        <v>1200000</v>
      </c>
    </row>
    <row r="122" spans="1:16" ht="19.149999999999999" customHeight="1">
      <c r="A122" s="15">
        <v>12</v>
      </c>
      <c r="B122" s="13">
        <v>1</v>
      </c>
      <c r="C122" s="13">
        <v>274</v>
      </c>
      <c r="D122" s="13">
        <v>120010274</v>
      </c>
      <c r="E122" s="49">
        <v>12</v>
      </c>
      <c r="F122" s="49"/>
      <c r="G122" s="49"/>
      <c r="H122" s="13" t="s">
        <v>542</v>
      </c>
      <c r="I122" s="48" t="s">
        <v>773</v>
      </c>
      <c r="J122" s="13">
        <v>30</v>
      </c>
      <c r="K122" s="14">
        <v>5</v>
      </c>
      <c r="L122" s="14">
        <v>1</v>
      </c>
      <c r="M122" s="14" t="str">
        <f t="shared" si="10"/>
        <v>0501</v>
      </c>
      <c r="N122" s="16">
        <v>12</v>
      </c>
      <c r="O122" s="16"/>
      <c r="P122" s="14" t="str">
        <f t="shared" si="11"/>
        <v>1200000</v>
      </c>
    </row>
    <row r="123" spans="1:16" ht="19.149999999999999" customHeight="1">
      <c r="A123" s="15">
        <v>12</v>
      </c>
      <c r="B123" s="13">
        <v>1</v>
      </c>
      <c r="C123" s="13">
        <v>284</v>
      </c>
      <c r="D123" s="13">
        <v>120010284</v>
      </c>
      <c r="E123" s="49">
        <v>12</v>
      </c>
      <c r="F123" s="49"/>
      <c r="G123" s="49"/>
      <c r="H123" s="13" t="s">
        <v>543</v>
      </c>
      <c r="I123" s="48" t="s">
        <v>773</v>
      </c>
      <c r="J123" s="13">
        <v>199</v>
      </c>
      <c r="K123" s="14">
        <v>5</v>
      </c>
      <c r="L123" s="14">
        <v>1</v>
      </c>
      <c r="M123" s="14" t="str">
        <f t="shared" si="10"/>
        <v>0501</v>
      </c>
      <c r="N123" s="16">
        <v>12</v>
      </c>
      <c r="O123" s="16"/>
      <c r="P123" s="14" t="str">
        <f t="shared" si="11"/>
        <v>1200000</v>
      </c>
    </row>
    <row r="124" spans="1:16" ht="19.149999999999999" customHeight="1">
      <c r="A124" s="15">
        <v>12</v>
      </c>
      <c r="B124" s="13">
        <v>1</v>
      </c>
      <c r="C124" s="13">
        <v>256</v>
      </c>
      <c r="D124" s="13">
        <v>120010256</v>
      </c>
      <c r="E124" s="49">
        <v>12</v>
      </c>
      <c r="F124" s="49"/>
      <c r="G124" s="49"/>
      <c r="H124" s="13" t="s">
        <v>544</v>
      </c>
      <c r="I124" s="48" t="s">
        <v>773</v>
      </c>
      <c r="J124" s="13">
        <v>43</v>
      </c>
      <c r="K124" s="14">
        <v>5</v>
      </c>
      <c r="L124" s="14">
        <v>1</v>
      </c>
      <c r="M124" s="14" t="str">
        <f t="shared" si="10"/>
        <v>0501</v>
      </c>
      <c r="N124" s="16">
        <v>12</v>
      </c>
      <c r="O124" s="16"/>
      <c r="P124" s="14" t="str">
        <f t="shared" si="11"/>
        <v>1200000</v>
      </c>
    </row>
    <row r="125" spans="1:16" ht="19.149999999999999" customHeight="1">
      <c r="A125" s="15">
        <v>12</v>
      </c>
      <c r="B125" s="13">
        <v>1</v>
      </c>
      <c r="C125" s="13">
        <v>259</v>
      </c>
      <c r="D125" s="13">
        <v>120010259</v>
      </c>
      <c r="E125" s="49">
        <v>12</v>
      </c>
      <c r="F125" s="49"/>
      <c r="G125" s="49"/>
      <c r="H125" s="13" t="s">
        <v>545</v>
      </c>
      <c r="I125" s="48" t="s">
        <v>773</v>
      </c>
      <c r="J125" s="13">
        <v>43</v>
      </c>
      <c r="K125" s="14">
        <v>5</v>
      </c>
      <c r="L125" s="14">
        <v>1</v>
      </c>
      <c r="M125" s="14" t="str">
        <f t="shared" si="10"/>
        <v>0501</v>
      </c>
      <c r="N125" s="16">
        <v>12</v>
      </c>
      <c r="O125" s="16"/>
      <c r="P125" s="14" t="str">
        <f t="shared" si="11"/>
        <v>1200000</v>
      </c>
    </row>
    <row r="126" spans="1:16" ht="19.149999999999999" customHeight="1">
      <c r="A126" s="15">
        <v>12</v>
      </c>
      <c r="B126" s="13">
        <v>1</v>
      </c>
      <c r="C126" s="13">
        <v>258</v>
      </c>
      <c r="D126" s="13">
        <v>120010258</v>
      </c>
      <c r="E126" s="49">
        <v>12</v>
      </c>
      <c r="F126" s="49"/>
      <c r="G126" s="49"/>
      <c r="H126" s="13" t="s">
        <v>546</v>
      </c>
      <c r="I126" s="48" t="s">
        <v>773</v>
      </c>
      <c r="J126" s="13">
        <v>43</v>
      </c>
      <c r="K126" s="14">
        <v>5</v>
      </c>
      <c r="L126" s="14">
        <v>1</v>
      </c>
      <c r="M126" s="14" t="str">
        <f t="shared" si="10"/>
        <v>0501</v>
      </c>
      <c r="N126" s="16">
        <v>12</v>
      </c>
      <c r="O126" s="16"/>
      <c r="P126" s="14" t="str">
        <f t="shared" si="11"/>
        <v>1200000</v>
      </c>
    </row>
    <row r="127" spans="1:16" ht="19.149999999999999" customHeight="1">
      <c r="A127" s="15">
        <v>12</v>
      </c>
      <c r="B127" s="13">
        <v>1</v>
      </c>
      <c r="C127" s="13">
        <v>257</v>
      </c>
      <c r="D127" s="13">
        <v>120010257</v>
      </c>
      <c r="E127" s="49" t="s">
        <v>822</v>
      </c>
      <c r="F127" s="49"/>
      <c r="G127" s="49"/>
      <c r="H127" s="13" t="s">
        <v>517</v>
      </c>
      <c r="I127" s="48" t="s">
        <v>773</v>
      </c>
      <c r="J127" s="13">
        <v>40</v>
      </c>
      <c r="K127" s="14">
        <v>5</v>
      </c>
      <c r="L127" s="14">
        <v>1</v>
      </c>
      <c r="M127" s="14" t="str">
        <f t="shared" si="10"/>
        <v>0501</v>
      </c>
      <c r="N127" s="16" t="s">
        <v>822</v>
      </c>
      <c r="O127" s="16"/>
      <c r="P127" s="14" t="str">
        <f t="shared" si="11"/>
        <v>1200000</v>
      </c>
    </row>
    <row r="128" spans="1:16" ht="19.149999999999999" customHeight="1">
      <c r="A128" s="15">
        <v>12</v>
      </c>
      <c r="B128" s="13">
        <v>1</v>
      </c>
      <c r="C128" s="13">
        <v>3</v>
      </c>
      <c r="D128" s="13">
        <v>120010003</v>
      </c>
      <c r="E128" s="49">
        <v>12</v>
      </c>
      <c r="F128" s="49"/>
      <c r="G128" s="49"/>
      <c r="H128" s="13" t="s">
        <v>547</v>
      </c>
      <c r="I128" s="48" t="s">
        <v>773</v>
      </c>
      <c r="J128" s="13">
        <v>62.9</v>
      </c>
      <c r="K128" s="14">
        <v>5</v>
      </c>
      <c r="L128" s="14">
        <v>1</v>
      </c>
      <c r="M128" s="14" t="str">
        <f t="shared" si="10"/>
        <v>0501</v>
      </c>
      <c r="N128" s="16">
        <v>12</v>
      </c>
      <c r="O128" s="16"/>
      <c r="P128" s="14" t="str">
        <f t="shared" si="11"/>
        <v>1200000</v>
      </c>
    </row>
    <row r="129" spans="1:16" ht="19.149999999999999" customHeight="1">
      <c r="A129" s="15">
        <v>12</v>
      </c>
      <c r="B129" s="13">
        <v>1</v>
      </c>
      <c r="C129" s="13">
        <v>255</v>
      </c>
      <c r="D129" s="13">
        <v>120010255</v>
      </c>
      <c r="E129" s="49" t="s">
        <v>822</v>
      </c>
      <c r="F129" s="49"/>
      <c r="G129" s="49"/>
      <c r="H129" s="13" t="s">
        <v>518</v>
      </c>
      <c r="I129" s="48" t="s">
        <v>773</v>
      </c>
      <c r="J129" s="13">
        <v>150</v>
      </c>
      <c r="K129" s="14">
        <v>5</v>
      </c>
      <c r="L129" s="14">
        <v>1</v>
      </c>
      <c r="M129" s="14" t="str">
        <f t="shared" si="10"/>
        <v>0501</v>
      </c>
      <c r="N129" s="16" t="s">
        <v>822</v>
      </c>
      <c r="O129" s="16"/>
      <c r="P129" s="14" t="str">
        <f t="shared" si="11"/>
        <v>1200000</v>
      </c>
    </row>
    <row r="130" spans="1:16" ht="19.149999999999999" customHeight="1">
      <c r="A130" s="15">
        <v>12</v>
      </c>
      <c r="B130" s="13">
        <v>1</v>
      </c>
      <c r="C130" s="13">
        <v>2</v>
      </c>
      <c r="D130" s="13">
        <v>120010002</v>
      </c>
      <c r="E130" s="49">
        <v>12</v>
      </c>
      <c r="F130" s="49"/>
      <c r="G130" s="49"/>
      <c r="H130" s="13" t="s">
        <v>650</v>
      </c>
      <c r="I130" s="48" t="s">
        <v>773</v>
      </c>
      <c r="J130" s="13">
        <v>245</v>
      </c>
      <c r="K130" s="14">
        <v>7</v>
      </c>
      <c r="L130" s="14">
        <v>3</v>
      </c>
      <c r="M130" s="14" t="str">
        <f t="shared" si="10"/>
        <v>0703</v>
      </c>
      <c r="N130" s="16">
        <v>12</v>
      </c>
      <c r="O130" s="16"/>
      <c r="P130" s="14" t="str">
        <f t="shared" si="11"/>
        <v>1200000</v>
      </c>
    </row>
    <row r="131" spans="1:16" ht="19.149999999999999" customHeight="1">
      <c r="A131" s="15">
        <v>12</v>
      </c>
      <c r="B131" s="13">
        <v>1</v>
      </c>
      <c r="C131" s="13">
        <v>234</v>
      </c>
      <c r="D131" s="13">
        <v>120010234</v>
      </c>
      <c r="E131" s="49">
        <v>12</v>
      </c>
      <c r="F131" s="49"/>
      <c r="G131" s="49"/>
      <c r="H131" s="13" t="s">
        <v>548</v>
      </c>
      <c r="I131" s="48" t="s">
        <v>773</v>
      </c>
      <c r="J131" s="13">
        <v>15.5</v>
      </c>
      <c r="K131" s="14">
        <v>5</v>
      </c>
      <c r="L131" s="14">
        <v>1</v>
      </c>
      <c r="M131" s="14" t="str">
        <f t="shared" si="10"/>
        <v>0501</v>
      </c>
      <c r="N131" s="16">
        <v>12</v>
      </c>
      <c r="O131" s="16"/>
      <c r="P131" s="14" t="str">
        <f t="shared" si="11"/>
        <v>1200000</v>
      </c>
    </row>
    <row r="132" spans="1:16" ht="19.149999999999999" customHeight="1">
      <c r="A132" s="15">
        <v>12</v>
      </c>
      <c r="B132" s="13">
        <v>1</v>
      </c>
      <c r="C132" s="13">
        <v>237</v>
      </c>
      <c r="D132" s="13">
        <v>120010237</v>
      </c>
      <c r="E132" s="49">
        <v>12</v>
      </c>
      <c r="F132" s="49"/>
      <c r="G132" s="49"/>
      <c r="H132" s="13" t="s">
        <v>549</v>
      </c>
      <c r="I132" s="48" t="s">
        <v>773</v>
      </c>
      <c r="J132" s="13">
        <v>21.2</v>
      </c>
      <c r="K132" s="14">
        <v>5</v>
      </c>
      <c r="L132" s="14">
        <v>1</v>
      </c>
      <c r="M132" s="14" t="str">
        <f t="shared" si="10"/>
        <v>0501</v>
      </c>
      <c r="N132" s="16">
        <v>12</v>
      </c>
      <c r="O132" s="16"/>
      <c r="P132" s="14" t="str">
        <f t="shared" si="11"/>
        <v>1200000</v>
      </c>
    </row>
    <row r="133" spans="1:16" ht="19.149999999999999" customHeight="1">
      <c r="A133" s="15">
        <v>12</v>
      </c>
      <c r="B133" s="13">
        <v>1</v>
      </c>
      <c r="C133" s="13">
        <v>233</v>
      </c>
      <c r="D133" s="13">
        <v>120010233</v>
      </c>
      <c r="E133" s="49">
        <v>12</v>
      </c>
      <c r="F133" s="49"/>
      <c r="G133" s="49"/>
      <c r="H133" s="13" t="s">
        <v>550</v>
      </c>
      <c r="I133" s="48" t="s">
        <v>773</v>
      </c>
      <c r="J133" s="13">
        <v>10.3</v>
      </c>
      <c r="K133" s="14">
        <v>5</v>
      </c>
      <c r="L133" s="14">
        <v>1</v>
      </c>
      <c r="M133" s="14" t="str">
        <f t="shared" si="10"/>
        <v>0501</v>
      </c>
      <c r="N133" s="16">
        <v>12</v>
      </c>
      <c r="O133" s="16"/>
      <c r="P133" s="14" t="str">
        <f t="shared" si="11"/>
        <v>1200000</v>
      </c>
    </row>
    <row r="134" spans="1:16" ht="19.149999999999999" customHeight="1">
      <c r="A134" s="15">
        <v>12</v>
      </c>
      <c r="B134" s="13">
        <v>1</v>
      </c>
      <c r="C134" s="13">
        <v>236</v>
      </c>
      <c r="D134" s="13">
        <v>120010236</v>
      </c>
      <c r="E134" s="49">
        <v>12</v>
      </c>
      <c r="F134" s="49"/>
      <c r="G134" s="49"/>
      <c r="H134" s="13" t="s">
        <v>551</v>
      </c>
      <c r="I134" s="48" t="s">
        <v>773</v>
      </c>
      <c r="J134" s="13">
        <v>12.4</v>
      </c>
      <c r="K134" s="14">
        <v>5</v>
      </c>
      <c r="L134" s="14">
        <v>1</v>
      </c>
      <c r="M134" s="14" t="str">
        <f t="shared" si="10"/>
        <v>0501</v>
      </c>
      <c r="N134" s="16">
        <v>12</v>
      </c>
      <c r="O134" s="16"/>
      <c r="P134" s="14" t="str">
        <f t="shared" si="11"/>
        <v>1200000</v>
      </c>
    </row>
    <row r="135" spans="1:16" ht="19.149999999999999" customHeight="1">
      <c r="A135" s="15">
        <v>12</v>
      </c>
      <c r="B135" s="13">
        <v>1</v>
      </c>
      <c r="C135" s="13">
        <v>235</v>
      </c>
      <c r="D135" s="13">
        <v>120010235</v>
      </c>
      <c r="E135" s="49">
        <v>12</v>
      </c>
      <c r="F135" s="49"/>
      <c r="G135" s="49"/>
      <c r="H135" s="13" t="s">
        <v>552</v>
      </c>
      <c r="I135" s="48" t="s">
        <v>773</v>
      </c>
      <c r="J135" s="13">
        <v>21.3</v>
      </c>
      <c r="K135" s="14">
        <v>5</v>
      </c>
      <c r="L135" s="14">
        <v>1</v>
      </c>
      <c r="M135" s="14" t="str">
        <f t="shared" si="10"/>
        <v>0501</v>
      </c>
      <c r="N135" s="16">
        <v>12</v>
      </c>
      <c r="O135" s="16"/>
      <c r="P135" s="14" t="str">
        <f t="shared" si="11"/>
        <v>1200000</v>
      </c>
    </row>
    <row r="136" spans="1:16" ht="19.149999999999999" customHeight="1">
      <c r="A136" s="15">
        <v>12</v>
      </c>
      <c r="B136" s="13">
        <v>1</v>
      </c>
      <c r="C136" s="13">
        <v>238</v>
      </c>
      <c r="D136" s="13">
        <v>120010238</v>
      </c>
      <c r="E136" s="49">
        <v>12</v>
      </c>
      <c r="F136" s="49"/>
      <c r="G136" s="49"/>
      <c r="H136" s="13" t="s">
        <v>553</v>
      </c>
      <c r="I136" s="48" t="s">
        <v>773</v>
      </c>
      <c r="J136" s="13">
        <v>13.7</v>
      </c>
      <c r="K136" s="14">
        <v>5</v>
      </c>
      <c r="L136" s="14">
        <v>1</v>
      </c>
      <c r="M136" s="14" t="str">
        <f t="shared" si="10"/>
        <v>0501</v>
      </c>
      <c r="N136" s="16">
        <v>12</v>
      </c>
      <c r="O136" s="16"/>
      <c r="P136" s="14" t="str">
        <f t="shared" si="11"/>
        <v>1200000</v>
      </c>
    </row>
    <row r="137" spans="1:16" ht="19.149999999999999" customHeight="1">
      <c r="A137" s="15">
        <v>39</v>
      </c>
      <c r="B137" s="13">
        <v>1</v>
      </c>
      <c r="C137" s="13">
        <v>545</v>
      </c>
      <c r="D137" s="13">
        <v>390010545</v>
      </c>
      <c r="E137" s="49">
        <v>12</v>
      </c>
      <c r="F137" s="49"/>
      <c r="G137" s="49"/>
      <c r="H137" s="13" t="s">
        <v>555</v>
      </c>
      <c r="I137" s="48" t="s">
        <v>773</v>
      </c>
      <c r="J137" s="13">
        <v>18</v>
      </c>
      <c r="K137" s="14">
        <v>5</v>
      </c>
      <c r="L137" s="14">
        <v>1</v>
      </c>
      <c r="M137" s="14" t="str">
        <f t="shared" si="10"/>
        <v>0501</v>
      </c>
      <c r="N137" s="16">
        <v>12</v>
      </c>
      <c r="O137" s="16"/>
      <c r="P137" s="14" t="str">
        <f t="shared" si="11"/>
        <v>1200000</v>
      </c>
    </row>
    <row r="138" spans="1:16" ht="19.149999999999999" customHeight="1">
      <c r="A138" s="15">
        <v>12</v>
      </c>
      <c r="B138" s="13">
        <v>1</v>
      </c>
      <c r="C138" s="13">
        <v>1</v>
      </c>
      <c r="D138" s="13">
        <v>120010001</v>
      </c>
      <c r="E138" s="49" t="s">
        <v>822</v>
      </c>
      <c r="F138" s="49"/>
      <c r="G138" s="49"/>
      <c r="H138" s="13" t="s">
        <v>519</v>
      </c>
      <c r="I138" s="48" t="s">
        <v>773</v>
      </c>
      <c r="J138" s="13">
        <v>18</v>
      </c>
      <c r="K138" s="14">
        <v>5</v>
      </c>
      <c r="L138" s="14">
        <v>1</v>
      </c>
      <c r="M138" s="14" t="str">
        <f t="shared" si="10"/>
        <v>0501</v>
      </c>
      <c r="N138" s="16" t="s">
        <v>822</v>
      </c>
      <c r="O138" s="16"/>
      <c r="P138" s="14" t="str">
        <f t="shared" si="11"/>
        <v>1200000</v>
      </c>
    </row>
    <row r="139" spans="1:16" ht="19.149999999999999" customHeight="1">
      <c r="A139" s="15">
        <v>12</v>
      </c>
      <c r="B139" s="13">
        <v>1</v>
      </c>
      <c r="C139" s="13">
        <v>273</v>
      </c>
      <c r="D139" s="13">
        <v>120010273</v>
      </c>
      <c r="E139" s="49" t="s">
        <v>822</v>
      </c>
      <c r="F139" s="49"/>
      <c r="G139" s="49"/>
      <c r="H139" s="13" t="s">
        <v>615</v>
      </c>
      <c r="I139" s="48" t="s">
        <v>773</v>
      </c>
      <c r="J139" s="13">
        <v>15.5</v>
      </c>
      <c r="K139" s="14">
        <v>5</v>
      </c>
      <c r="L139" s="14">
        <v>2</v>
      </c>
      <c r="M139" s="14" t="str">
        <f t="shared" si="10"/>
        <v>0502</v>
      </c>
      <c r="N139" s="16" t="s">
        <v>822</v>
      </c>
      <c r="O139" s="16"/>
      <c r="P139" s="14" t="str">
        <f t="shared" si="11"/>
        <v>1200000</v>
      </c>
    </row>
    <row r="140" spans="1:16" ht="19.149999999999999" customHeight="1">
      <c r="A140" s="15">
        <v>12</v>
      </c>
      <c r="B140" s="13">
        <v>1</v>
      </c>
      <c r="C140" s="13">
        <v>232</v>
      </c>
      <c r="D140" s="13">
        <v>120010232</v>
      </c>
      <c r="E140" s="49" t="s">
        <v>822</v>
      </c>
      <c r="F140" s="49"/>
      <c r="G140" s="49"/>
      <c r="H140" s="13" t="s">
        <v>562</v>
      </c>
      <c r="I140" s="48" t="s">
        <v>773</v>
      </c>
      <c r="J140" s="13">
        <v>4.5</v>
      </c>
      <c r="K140" s="14">
        <v>5</v>
      </c>
      <c r="L140" s="14">
        <v>1</v>
      </c>
      <c r="M140" s="14" t="str">
        <f t="shared" si="10"/>
        <v>0501</v>
      </c>
      <c r="N140" s="16" t="s">
        <v>822</v>
      </c>
      <c r="O140" s="16"/>
      <c r="P140" s="14" t="str">
        <f t="shared" si="11"/>
        <v>1200000</v>
      </c>
    </row>
    <row r="141" spans="1:16" ht="19.149999999999999" customHeight="1">
      <c r="A141" s="15">
        <v>30</v>
      </c>
      <c r="B141" s="13">
        <v>1</v>
      </c>
      <c r="C141" s="13">
        <v>475</v>
      </c>
      <c r="D141" s="13">
        <v>300010475</v>
      </c>
      <c r="E141" s="49" t="s">
        <v>822</v>
      </c>
      <c r="F141" s="49"/>
      <c r="G141" s="49"/>
      <c r="H141" s="13" t="s">
        <v>520</v>
      </c>
      <c r="I141" s="48" t="s">
        <v>773</v>
      </c>
      <c r="J141" s="13">
        <v>12</v>
      </c>
      <c r="K141" s="14">
        <v>5</v>
      </c>
      <c r="L141" s="14">
        <v>1</v>
      </c>
      <c r="M141" s="14" t="str">
        <f t="shared" si="10"/>
        <v>0501</v>
      </c>
      <c r="N141" s="16" t="s">
        <v>822</v>
      </c>
      <c r="O141" s="16"/>
      <c r="P141" s="14" t="str">
        <f t="shared" si="11"/>
        <v>1200000</v>
      </c>
    </row>
    <row r="142" spans="1:16" ht="19.149999999999999" customHeight="1">
      <c r="A142" s="15">
        <v>30</v>
      </c>
      <c r="B142" s="13">
        <v>1</v>
      </c>
      <c r="C142" s="13">
        <v>474</v>
      </c>
      <c r="D142" s="13">
        <v>300010474</v>
      </c>
      <c r="E142" s="49">
        <v>12</v>
      </c>
      <c r="F142" s="49"/>
      <c r="G142" s="49"/>
      <c r="H142" s="13" t="s">
        <v>668</v>
      </c>
      <c r="I142" s="48" t="s">
        <v>773</v>
      </c>
      <c r="J142" s="13">
        <v>94</v>
      </c>
      <c r="K142" s="14">
        <v>7</v>
      </c>
      <c r="L142" s="14">
        <v>3</v>
      </c>
      <c r="M142" s="14" t="str">
        <f t="shared" si="10"/>
        <v>0703</v>
      </c>
      <c r="N142" s="16">
        <v>12</v>
      </c>
      <c r="O142" s="16"/>
      <c r="P142" s="14" t="str">
        <f t="shared" si="11"/>
        <v>1200000</v>
      </c>
    </row>
    <row r="143" spans="1:16" ht="19.149999999999999" customHeight="1">
      <c r="A143" s="15">
        <v>30</v>
      </c>
      <c r="B143" s="13">
        <v>1</v>
      </c>
      <c r="C143" s="13">
        <v>476</v>
      </c>
      <c r="D143" s="13">
        <v>300010476</v>
      </c>
      <c r="E143" s="49">
        <v>12</v>
      </c>
      <c r="F143" s="49"/>
      <c r="G143" s="49"/>
      <c r="H143" s="13" t="s">
        <v>669</v>
      </c>
      <c r="I143" s="48" t="s">
        <v>773</v>
      </c>
      <c r="J143" s="13">
        <v>45.6</v>
      </c>
      <c r="K143" s="14">
        <v>7</v>
      </c>
      <c r="L143" s="14">
        <v>3</v>
      </c>
      <c r="M143" s="14" t="str">
        <f t="shared" si="10"/>
        <v>0703</v>
      </c>
      <c r="N143" s="16">
        <v>12</v>
      </c>
      <c r="O143" s="16"/>
      <c r="P143" s="14" t="str">
        <f t="shared" si="11"/>
        <v>1200000</v>
      </c>
    </row>
    <row r="144" spans="1:16" ht="19.149999999999999" customHeight="1">
      <c r="A144" s="15">
        <v>30</v>
      </c>
      <c r="B144" s="13">
        <v>1</v>
      </c>
      <c r="C144" s="13">
        <v>473</v>
      </c>
      <c r="D144" s="13">
        <v>300010473</v>
      </c>
      <c r="E144" s="49" t="s">
        <v>822</v>
      </c>
      <c r="F144" s="49"/>
      <c r="G144" s="49"/>
      <c r="H144" s="13" t="s">
        <v>563</v>
      </c>
      <c r="I144" s="48" t="s">
        <v>773</v>
      </c>
      <c r="J144" s="13">
        <v>606</v>
      </c>
      <c r="K144" s="14">
        <v>5</v>
      </c>
      <c r="L144" s="14">
        <v>1</v>
      </c>
      <c r="M144" s="14" t="str">
        <f t="shared" si="10"/>
        <v>0501</v>
      </c>
      <c r="N144" s="16" t="s">
        <v>822</v>
      </c>
      <c r="O144" s="16"/>
      <c r="P144" s="14" t="str">
        <f t="shared" si="11"/>
        <v>1200000</v>
      </c>
    </row>
    <row r="145" spans="1:16" ht="19.149999999999999" customHeight="1">
      <c r="A145" s="15">
        <v>12</v>
      </c>
      <c r="B145" s="13">
        <v>1</v>
      </c>
      <c r="C145" s="13">
        <v>253</v>
      </c>
      <c r="D145" s="13">
        <v>120010253</v>
      </c>
      <c r="E145" s="49" t="s">
        <v>822</v>
      </c>
      <c r="F145" s="49"/>
      <c r="G145" s="49"/>
      <c r="H145" s="13" t="s">
        <v>564</v>
      </c>
      <c r="I145" s="48" t="s">
        <v>773</v>
      </c>
      <c r="J145" s="13">
        <v>606</v>
      </c>
      <c r="K145" s="14">
        <v>5</v>
      </c>
      <c r="L145" s="14">
        <v>1</v>
      </c>
      <c r="M145" s="14" t="str">
        <f t="shared" si="10"/>
        <v>0501</v>
      </c>
      <c r="N145" s="16" t="s">
        <v>822</v>
      </c>
      <c r="O145" s="16"/>
      <c r="P145" s="14" t="str">
        <f t="shared" si="11"/>
        <v>1200000</v>
      </c>
    </row>
    <row r="146" spans="1:16" ht="19.149999999999999" customHeight="1">
      <c r="A146" s="15">
        <v>12</v>
      </c>
      <c r="B146" s="13">
        <v>1</v>
      </c>
      <c r="C146" s="13">
        <v>254</v>
      </c>
      <c r="D146" s="13">
        <v>120010254</v>
      </c>
      <c r="E146" s="49" t="s">
        <v>822</v>
      </c>
      <c r="F146" s="49"/>
      <c r="G146" s="49"/>
      <c r="H146" s="13" t="s">
        <v>566</v>
      </c>
      <c r="I146" s="48" t="s">
        <v>773</v>
      </c>
      <c r="J146" s="13">
        <v>606</v>
      </c>
      <c r="K146" s="14">
        <v>5</v>
      </c>
      <c r="L146" s="14">
        <v>1</v>
      </c>
      <c r="M146" s="14" t="str">
        <f t="shared" si="10"/>
        <v>0501</v>
      </c>
      <c r="N146" s="16" t="s">
        <v>822</v>
      </c>
      <c r="O146" s="16"/>
      <c r="P146" s="14" t="str">
        <f t="shared" si="11"/>
        <v>1200000</v>
      </c>
    </row>
    <row r="147" spans="1:16" ht="19.149999999999999" customHeight="1">
      <c r="A147" s="15">
        <v>12</v>
      </c>
      <c r="B147" s="13">
        <v>1</v>
      </c>
      <c r="C147" s="13">
        <v>243</v>
      </c>
      <c r="D147" s="13">
        <v>120010243</v>
      </c>
      <c r="E147" s="49" t="s">
        <v>822</v>
      </c>
      <c r="F147" s="49"/>
      <c r="G147" s="49"/>
      <c r="H147" s="13" t="s">
        <v>567</v>
      </c>
      <c r="I147" s="48" t="s">
        <v>773</v>
      </c>
      <c r="J147" s="13">
        <v>1100</v>
      </c>
      <c r="K147" s="14">
        <v>5</v>
      </c>
      <c r="L147" s="14">
        <v>1</v>
      </c>
      <c r="M147" s="14" t="str">
        <f t="shared" si="10"/>
        <v>0501</v>
      </c>
      <c r="N147" s="16" t="s">
        <v>822</v>
      </c>
      <c r="O147" s="16"/>
      <c r="P147" s="14" t="str">
        <f t="shared" si="11"/>
        <v>1200000</v>
      </c>
    </row>
    <row r="148" spans="1:16" ht="19.149999999999999" customHeight="1">
      <c r="A148" s="15">
        <v>12</v>
      </c>
      <c r="B148" s="13">
        <v>1</v>
      </c>
      <c r="C148" s="13">
        <v>244</v>
      </c>
      <c r="D148" s="13">
        <v>120010244</v>
      </c>
      <c r="E148" s="49" t="s">
        <v>822</v>
      </c>
      <c r="F148" s="49"/>
      <c r="G148" s="49"/>
      <c r="H148" s="13" t="s">
        <v>568</v>
      </c>
      <c r="I148" s="48" t="s">
        <v>773</v>
      </c>
      <c r="J148" s="13">
        <v>1.9</v>
      </c>
      <c r="K148" s="14">
        <v>5</v>
      </c>
      <c r="L148" s="14">
        <v>1</v>
      </c>
      <c r="M148" s="14" t="str">
        <f t="shared" si="10"/>
        <v>0501</v>
      </c>
      <c r="N148" s="16" t="s">
        <v>822</v>
      </c>
      <c r="O148" s="16"/>
      <c r="P148" s="14" t="str">
        <f t="shared" si="11"/>
        <v>1200000</v>
      </c>
    </row>
    <row r="149" spans="1:16" ht="19.149999999999999" customHeight="1">
      <c r="A149" s="15">
        <v>12</v>
      </c>
      <c r="B149" s="13">
        <v>1</v>
      </c>
      <c r="C149" s="13">
        <v>242</v>
      </c>
      <c r="D149" s="13">
        <v>120010242</v>
      </c>
      <c r="E149" s="49" t="s">
        <v>822</v>
      </c>
      <c r="F149" s="49"/>
      <c r="G149" s="49"/>
      <c r="H149" s="13" t="s">
        <v>569</v>
      </c>
      <c r="I149" s="48" t="s">
        <v>773</v>
      </c>
      <c r="J149" s="13">
        <v>3.9</v>
      </c>
      <c r="K149" s="14">
        <v>5</v>
      </c>
      <c r="L149" s="14">
        <v>1</v>
      </c>
      <c r="M149" s="14" t="str">
        <f t="shared" si="10"/>
        <v>0501</v>
      </c>
      <c r="N149" s="16" t="s">
        <v>822</v>
      </c>
      <c r="O149" s="16"/>
      <c r="P149" s="14" t="str">
        <f t="shared" si="11"/>
        <v>1200000</v>
      </c>
    </row>
    <row r="150" spans="1:16" ht="19.149999999999999" customHeight="1">
      <c r="A150" s="15">
        <v>12</v>
      </c>
      <c r="B150" s="13">
        <v>1</v>
      </c>
      <c r="C150" s="13">
        <v>247</v>
      </c>
      <c r="D150" s="13">
        <v>120010247</v>
      </c>
      <c r="E150" s="49" t="s">
        <v>822</v>
      </c>
      <c r="F150" s="49"/>
      <c r="G150" s="49"/>
      <c r="H150" s="13" t="s">
        <v>617</v>
      </c>
      <c r="I150" s="48" t="s">
        <v>773</v>
      </c>
      <c r="J150" s="13">
        <v>60</v>
      </c>
      <c r="K150" s="14">
        <v>7</v>
      </c>
      <c r="L150" s="14">
        <v>3</v>
      </c>
      <c r="M150" s="14" t="str">
        <f t="shared" si="10"/>
        <v>0703</v>
      </c>
      <c r="N150" s="16" t="s">
        <v>822</v>
      </c>
      <c r="O150" s="16"/>
      <c r="P150" s="14" t="str">
        <f t="shared" si="11"/>
        <v>1200000</v>
      </c>
    </row>
    <row r="151" spans="1:16" ht="19.149999999999999" customHeight="1">
      <c r="A151" s="15">
        <v>12</v>
      </c>
      <c r="B151" s="13">
        <v>1</v>
      </c>
      <c r="C151" s="13">
        <v>283</v>
      </c>
      <c r="D151" s="13">
        <v>120010283</v>
      </c>
      <c r="E151" s="49" t="s">
        <v>822</v>
      </c>
      <c r="F151" s="49"/>
      <c r="G151" s="49"/>
      <c r="H151" s="13" t="s">
        <v>603</v>
      </c>
      <c r="I151" s="48" t="s">
        <v>773</v>
      </c>
      <c r="J151" s="13">
        <v>23.5</v>
      </c>
      <c r="K151" s="14">
        <v>5</v>
      </c>
      <c r="L151" s="14">
        <v>2</v>
      </c>
      <c r="M151" s="14" t="str">
        <f t="shared" si="10"/>
        <v>0502</v>
      </c>
      <c r="N151" s="16" t="s">
        <v>822</v>
      </c>
      <c r="O151" s="16"/>
      <c r="P151" s="14" t="str">
        <f t="shared" si="11"/>
        <v>1200000</v>
      </c>
    </row>
    <row r="152" spans="1:16" ht="19.149999999999999" customHeight="1">
      <c r="A152" s="15">
        <v>12</v>
      </c>
      <c r="B152" s="13">
        <v>1</v>
      </c>
      <c r="C152" s="13">
        <v>249</v>
      </c>
      <c r="D152" s="13">
        <v>120010249</v>
      </c>
      <c r="E152" s="49">
        <v>12</v>
      </c>
      <c r="F152" s="49"/>
      <c r="G152" s="49"/>
      <c r="H152" s="13" t="s">
        <v>689</v>
      </c>
      <c r="I152" s="48" t="s">
        <v>773</v>
      </c>
      <c r="J152" s="13">
        <v>29.5</v>
      </c>
      <c r="K152" s="14"/>
      <c r="L152" s="14"/>
      <c r="M152" s="14" t="str">
        <f t="shared" si="10"/>
        <v>0000</v>
      </c>
      <c r="N152" s="16">
        <v>12</v>
      </c>
      <c r="O152" s="16"/>
      <c r="P152" s="14" t="str">
        <f t="shared" si="11"/>
        <v>1200000</v>
      </c>
    </row>
    <row r="153" spans="1:16" ht="19.149999999999999" customHeight="1">
      <c r="A153" s="15">
        <v>12</v>
      </c>
      <c r="B153" s="13">
        <v>1</v>
      </c>
      <c r="C153" s="13">
        <v>248</v>
      </c>
      <c r="D153" s="13">
        <v>120010248</v>
      </c>
      <c r="E153" s="49" t="s">
        <v>822</v>
      </c>
      <c r="F153" s="49"/>
      <c r="G153" s="49"/>
      <c r="H153" s="13" t="s">
        <v>576</v>
      </c>
      <c r="I153" s="48" t="s">
        <v>773</v>
      </c>
      <c r="J153" s="13">
        <v>23.9</v>
      </c>
      <c r="K153" s="14">
        <v>5</v>
      </c>
      <c r="L153" s="14">
        <v>1</v>
      </c>
      <c r="M153" s="14" t="str">
        <f t="shared" si="10"/>
        <v>0501</v>
      </c>
      <c r="N153" s="16" t="s">
        <v>822</v>
      </c>
      <c r="O153" s="16"/>
      <c r="P153" s="14" t="str">
        <f t="shared" si="11"/>
        <v>1200000</v>
      </c>
    </row>
    <row r="154" spans="1:16" ht="19.149999999999999" customHeight="1">
      <c r="A154" s="15">
        <v>12</v>
      </c>
      <c r="B154" s="13">
        <v>1</v>
      </c>
      <c r="C154" s="13">
        <v>245</v>
      </c>
      <c r="D154" s="13">
        <v>120010245</v>
      </c>
      <c r="E154" s="49" t="s">
        <v>822</v>
      </c>
      <c r="F154" s="49"/>
      <c r="G154" s="49"/>
      <c r="H154" s="13" t="s">
        <v>577</v>
      </c>
      <c r="I154" s="48" t="s">
        <v>773</v>
      </c>
      <c r="J154" s="13">
        <v>23.9</v>
      </c>
      <c r="K154" s="14">
        <v>5</v>
      </c>
      <c r="L154" s="14">
        <v>1</v>
      </c>
      <c r="M154" s="14" t="str">
        <f t="shared" si="10"/>
        <v>0501</v>
      </c>
      <c r="N154" s="16" t="s">
        <v>822</v>
      </c>
      <c r="O154" s="16"/>
      <c r="P154" s="14" t="str">
        <f t="shared" si="11"/>
        <v>1200000</v>
      </c>
    </row>
    <row r="155" spans="1:16" ht="19.149999999999999" customHeight="1">
      <c r="A155" s="15">
        <v>12</v>
      </c>
      <c r="B155" s="13">
        <v>1</v>
      </c>
      <c r="C155" s="13">
        <v>322</v>
      </c>
      <c r="D155" s="13">
        <v>120010322</v>
      </c>
      <c r="E155" s="49" t="s">
        <v>822</v>
      </c>
      <c r="F155" s="49"/>
      <c r="G155" s="49"/>
      <c r="H155" s="13" t="s">
        <v>578</v>
      </c>
      <c r="I155" s="48" t="s">
        <v>773</v>
      </c>
      <c r="J155" s="13">
        <v>24.72</v>
      </c>
      <c r="K155" s="14">
        <v>5</v>
      </c>
      <c r="L155" s="14">
        <v>1</v>
      </c>
      <c r="M155" s="14" t="str">
        <f t="shared" si="10"/>
        <v>0501</v>
      </c>
      <c r="N155" s="16" t="s">
        <v>822</v>
      </c>
      <c r="O155" s="16"/>
      <c r="P155" s="14" t="str">
        <f t="shared" si="11"/>
        <v>1200000</v>
      </c>
    </row>
    <row r="156" spans="1:16" ht="19.149999999999999" customHeight="1">
      <c r="A156" s="15">
        <v>12</v>
      </c>
      <c r="B156" s="13">
        <v>1</v>
      </c>
      <c r="C156" s="13">
        <v>321</v>
      </c>
      <c r="D156" s="13">
        <v>120010321</v>
      </c>
      <c r="E156" s="49" t="s">
        <v>822</v>
      </c>
      <c r="F156" s="49"/>
      <c r="G156" s="49"/>
      <c r="H156" s="13" t="s">
        <v>579</v>
      </c>
      <c r="I156" s="48" t="s">
        <v>773</v>
      </c>
      <c r="J156" s="13">
        <v>23.9</v>
      </c>
      <c r="K156" s="14">
        <v>5</v>
      </c>
      <c r="L156" s="14">
        <v>1</v>
      </c>
      <c r="M156" s="14" t="str">
        <f t="shared" si="10"/>
        <v>0501</v>
      </c>
      <c r="N156" s="16" t="s">
        <v>822</v>
      </c>
      <c r="O156" s="16"/>
      <c r="P156" s="14" t="str">
        <f t="shared" si="11"/>
        <v>1200000</v>
      </c>
    </row>
    <row r="157" spans="1:16" ht="19.149999999999999" customHeight="1">
      <c r="A157" s="15">
        <v>12</v>
      </c>
      <c r="B157" s="13">
        <v>1</v>
      </c>
      <c r="C157" s="13">
        <v>12</v>
      </c>
      <c r="D157" s="13">
        <v>120010012</v>
      </c>
      <c r="E157" s="49">
        <v>12</v>
      </c>
      <c r="F157" s="49"/>
      <c r="G157" s="49"/>
      <c r="H157" s="13" t="s">
        <v>678</v>
      </c>
      <c r="I157" s="48" t="s">
        <v>773</v>
      </c>
      <c r="J157" s="13">
        <v>70</v>
      </c>
      <c r="K157" s="14">
        <v>7</v>
      </c>
      <c r="L157" s="14">
        <v>3</v>
      </c>
      <c r="M157" s="14" t="str">
        <f t="shared" si="10"/>
        <v>0703</v>
      </c>
      <c r="N157" s="16">
        <v>12</v>
      </c>
      <c r="O157" s="16"/>
      <c r="P157" s="14" t="str">
        <f t="shared" si="11"/>
        <v>1200000</v>
      </c>
    </row>
    <row r="158" spans="1:16" ht="19.149999999999999" customHeight="1">
      <c r="A158" s="15">
        <v>12</v>
      </c>
      <c r="B158" s="13">
        <v>1</v>
      </c>
      <c r="C158" s="13">
        <v>15</v>
      </c>
      <c r="D158" s="13">
        <v>120010015</v>
      </c>
      <c r="E158" s="49">
        <v>12</v>
      </c>
      <c r="F158" s="49"/>
      <c r="G158" s="49"/>
      <c r="H158" s="13" t="s">
        <v>580</v>
      </c>
      <c r="I158" s="48" t="s">
        <v>773</v>
      </c>
      <c r="J158" s="13">
        <v>22</v>
      </c>
      <c r="K158" s="14">
        <v>5</v>
      </c>
      <c r="L158" s="14">
        <v>1</v>
      </c>
      <c r="M158" s="14" t="str">
        <f t="shared" si="10"/>
        <v>0501</v>
      </c>
      <c r="N158" s="16">
        <v>12</v>
      </c>
      <c r="O158" s="16"/>
      <c r="P158" s="14" t="str">
        <f t="shared" si="11"/>
        <v>1200000</v>
      </c>
    </row>
    <row r="159" spans="1:16" ht="19.149999999999999" customHeight="1">
      <c r="A159" s="15">
        <v>12</v>
      </c>
      <c r="B159" s="13">
        <v>1</v>
      </c>
      <c r="C159" s="13">
        <v>252</v>
      </c>
      <c r="D159" s="13">
        <v>120010252</v>
      </c>
      <c r="E159" s="37" t="s">
        <v>793</v>
      </c>
      <c r="H159" s="9" t="s">
        <v>42</v>
      </c>
      <c r="I159" s="39" t="s">
        <v>773</v>
      </c>
      <c r="J159" s="9">
        <v>1.1000000000000001</v>
      </c>
      <c r="K159" s="14">
        <v>3</v>
      </c>
      <c r="L159" s="14">
        <v>1</v>
      </c>
      <c r="M159" s="14" t="str">
        <f t="shared" si="10"/>
        <v>0301</v>
      </c>
      <c r="N159" s="17" t="s">
        <v>793</v>
      </c>
      <c r="P159" s="14" t="str">
        <f t="shared" si="11"/>
        <v>1700000</v>
      </c>
    </row>
    <row r="160" spans="1:16" ht="19.149999999999999" customHeight="1">
      <c r="A160" s="15">
        <v>12</v>
      </c>
      <c r="B160" s="13">
        <v>1</v>
      </c>
      <c r="C160" s="13">
        <v>246</v>
      </c>
      <c r="D160" s="13">
        <v>120010246</v>
      </c>
      <c r="E160" s="37" t="s">
        <v>793</v>
      </c>
      <c r="H160" s="9" t="s">
        <v>43</v>
      </c>
      <c r="I160" s="39" t="s">
        <v>773</v>
      </c>
      <c r="J160" s="9">
        <v>1.3</v>
      </c>
      <c r="K160" s="14">
        <v>3</v>
      </c>
      <c r="L160" s="14">
        <v>1</v>
      </c>
      <c r="M160" s="14" t="str">
        <f t="shared" si="10"/>
        <v>0301</v>
      </c>
      <c r="N160" s="17" t="s">
        <v>793</v>
      </c>
      <c r="P160" s="14" t="str">
        <f t="shared" si="11"/>
        <v>1700000</v>
      </c>
    </row>
    <row r="161" spans="1:16" ht="19.149999999999999" customHeight="1">
      <c r="A161" s="8">
        <v>17</v>
      </c>
      <c r="B161" s="9">
        <v>1</v>
      </c>
      <c r="C161" s="9">
        <v>1</v>
      </c>
      <c r="D161" s="9">
        <v>170010001</v>
      </c>
      <c r="E161" s="37" t="s">
        <v>793</v>
      </c>
      <c r="H161" s="9" t="s">
        <v>29</v>
      </c>
      <c r="I161" s="39" t="s">
        <v>773</v>
      </c>
      <c r="J161" s="9">
        <v>3.75</v>
      </c>
      <c r="K161" s="14">
        <v>2</v>
      </c>
      <c r="L161" s="14">
        <v>4</v>
      </c>
      <c r="M161" s="14" t="str">
        <f t="shared" si="10"/>
        <v>0204</v>
      </c>
      <c r="N161" s="17" t="s">
        <v>793</v>
      </c>
      <c r="P161" s="14" t="str">
        <f t="shared" si="11"/>
        <v>1700000</v>
      </c>
    </row>
    <row r="162" spans="1:16" ht="19.149999999999999" customHeight="1">
      <c r="A162" s="8">
        <v>17</v>
      </c>
      <c r="B162" s="9">
        <v>1</v>
      </c>
      <c r="C162" s="9">
        <v>328</v>
      </c>
      <c r="D162" s="9">
        <v>170010328</v>
      </c>
      <c r="E162" s="37" t="s">
        <v>793</v>
      </c>
      <c r="H162" s="9" t="s">
        <v>44</v>
      </c>
      <c r="I162" s="39" t="s">
        <v>773</v>
      </c>
      <c r="J162" s="9">
        <v>0.95</v>
      </c>
      <c r="K162" s="14">
        <v>3</v>
      </c>
      <c r="L162" s="14">
        <v>1</v>
      </c>
      <c r="M162" s="14" t="str">
        <f t="shared" si="10"/>
        <v>0301</v>
      </c>
      <c r="N162" s="17" t="s">
        <v>793</v>
      </c>
      <c r="P162" s="14" t="str">
        <f t="shared" si="11"/>
        <v>1700000</v>
      </c>
    </row>
    <row r="163" spans="1:16" ht="19.149999999999999" customHeight="1">
      <c r="A163" s="8">
        <v>17</v>
      </c>
      <c r="B163" s="9">
        <v>1</v>
      </c>
      <c r="C163" s="9">
        <v>327</v>
      </c>
      <c r="D163" s="9">
        <v>170010327</v>
      </c>
      <c r="E163" s="37" t="s">
        <v>793</v>
      </c>
      <c r="H163" s="9" t="s">
        <v>45</v>
      </c>
      <c r="I163" s="39" t="s">
        <v>773</v>
      </c>
      <c r="J163" s="9">
        <v>1</v>
      </c>
      <c r="K163" s="14">
        <v>3</v>
      </c>
      <c r="L163" s="14">
        <v>1</v>
      </c>
      <c r="M163" s="14" t="str">
        <f t="shared" si="10"/>
        <v>0301</v>
      </c>
      <c r="N163" s="17" t="s">
        <v>793</v>
      </c>
      <c r="P163" s="14" t="str">
        <f t="shared" si="11"/>
        <v>1700000</v>
      </c>
    </row>
    <row r="164" spans="1:16" ht="19.149999999999999" customHeight="1">
      <c r="A164" s="8">
        <v>17</v>
      </c>
      <c r="B164" s="9">
        <v>1</v>
      </c>
      <c r="C164" s="9">
        <v>325</v>
      </c>
      <c r="D164" s="9">
        <v>170010325</v>
      </c>
      <c r="E164" s="49">
        <v>18</v>
      </c>
      <c r="F164" s="49"/>
      <c r="G164" s="49"/>
      <c r="H164" s="13" t="s">
        <v>600</v>
      </c>
      <c r="I164" s="48" t="s">
        <v>773</v>
      </c>
      <c r="J164" s="13">
        <v>42</v>
      </c>
      <c r="K164" s="14">
        <v>5</v>
      </c>
      <c r="L164" s="14">
        <v>2</v>
      </c>
      <c r="M164" s="14" t="str">
        <f t="shared" si="10"/>
        <v>0502</v>
      </c>
      <c r="N164" s="16">
        <v>18</v>
      </c>
      <c r="O164" s="16"/>
      <c r="P164" s="14" t="str">
        <f t="shared" si="11"/>
        <v>1800000</v>
      </c>
    </row>
    <row r="165" spans="1:16" ht="19.149999999999999" customHeight="1">
      <c r="A165" s="8">
        <v>17</v>
      </c>
      <c r="B165" s="9">
        <v>1</v>
      </c>
      <c r="C165" s="9">
        <v>326</v>
      </c>
      <c r="D165" s="9">
        <v>170010326</v>
      </c>
      <c r="E165" s="49">
        <v>18</v>
      </c>
      <c r="F165" s="49"/>
      <c r="G165" s="49"/>
      <c r="H165" s="13" t="s">
        <v>601</v>
      </c>
      <c r="I165" s="48" t="s">
        <v>777</v>
      </c>
      <c r="J165" s="13">
        <v>1.57</v>
      </c>
      <c r="K165" s="14">
        <v>5</v>
      </c>
      <c r="L165" s="14">
        <v>2</v>
      </c>
      <c r="M165" s="14" t="str">
        <f t="shared" si="10"/>
        <v>0502</v>
      </c>
      <c r="N165" s="16">
        <v>18</v>
      </c>
      <c r="O165" s="16"/>
      <c r="P165" s="14" t="str">
        <f t="shared" si="11"/>
        <v>1800000</v>
      </c>
    </row>
    <row r="166" spans="1:16" ht="19.149999999999999" customHeight="1">
      <c r="A166" s="15">
        <v>18</v>
      </c>
      <c r="B166" s="13">
        <v>1</v>
      </c>
      <c r="C166" s="13">
        <v>329</v>
      </c>
      <c r="D166" s="13">
        <v>180010329</v>
      </c>
      <c r="E166" s="49">
        <v>18</v>
      </c>
      <c r="F166" s="49"/>
      <c r="G166" s="49"/>
      <c r="H166" s="13" t="s">
        <v>602</v>
      </c>
      <c r="I166" s="48" t="s">
        <v>773</v>
      </c>
      <c r="J166" s="13">
        <v>70</v>
      </c>
      <c r="K166" s="14">
        <v>5</v>
      </c>
      <c r="L166" s="14">
        <v>2</v>
      </c>
      <c r="M166" s="14" t="str">
        <f t="shared" si="10"/>
        <v>0502</v>
      </c>
      <c r="N166" s="16">
        <v>18</v>
      </c>
      <c r="O166" s="16"/>
      <c r="P166" s="14" t="str">
        <f t="shared" si="11"/>
        <v>1800000</v>
      </c>
    </row>
    <row r="167" spans="1:16" ht="19.149999999999999" customHeight="1">
      <c r="A167" s="15">
        <v>18</v>
      </c>
      <c r="B167" s="13">
        <v>1</v>
      </c>
      <c r="C167" s="13">
        <v>1</v>
      </c>
      <c r="D167" s="13">
        <v>180010001</v>
      </c>
      <c r="E167" s="41" t="s">
        <v>823</v>
      </c>
      <c r="F167" s="41"/>
      <c r="G167" s="41"/>
      <c r="H167" s="9" t="s">
        <v>521</v>
      </c>
      <c r="I167" s="39" t="s">
        <v>777</v>
      </c>
      <c r="J167" s="9">
        <v>67.5</v>
      </c>
      <c r="K167" s="14">
        <v>5</v>
      </c>
      <c r="L167" s="14">
        <v>1</v>
      </c>
      <c r="M167" s="14" t="str">
        <f t="shared" si="10"/>
        <v>0501</v>
      </c>
      <c r="N167" s="19" t="s">
        <v>823</v>
      </c>
      <c r="O167" s="19"/>
      <c r="P167" s="14" t="str">
        <f t="shared" si="11"/>
        <v>1900000</v>
      </c>
    </row>
    <row r="168" spans="1:16" ht="19.149999999999999" customHeight="1">
      <c r="A168" s="15">
        <v>30</v>
      </c>
      <c r="B168" s="13">
        <v>1</v>
      </c>
      <c r="C168" s="13">
        <v>504</v>
      </c>
      <c r="D168" s="13">
        <v>300010504</v>
      </c>
      <c r="E168" s="50" t="s">
        <v>786</v>
      </c>
      <c r="F168" s="50"/>
      <c r="G168" s="50"/>
      <c r="H168" s="13" t="s">
        <v>192</v>
      </c>
      <c r="I168" s="48" t="s">
        <v>773</v>
      </c>
      <c r="J168" s="13">
        <v>30.51</v>
      </c>
      <c r="K168" s="14">
        <v>3</v>
      </c>
      <c r="L168" s="14">
        <v>4</v>
      </c>
      <c r="M168" s="14" t="str">
        <f t="shared" si="10"/>
        <v>0304</v>
      </c>
      <c r="N168" s="12" t="s">
        <v>786</v>
      </c>
      <c r="O168" s="12"/>
      <c r="P168" s="14" t="str">
        <f t="shared" si="11"/>
        <v>2100000</v>
      </c>
    </row>
    <row r="169" spans="1:16" ht="19.149999999999999" customHeight="1">
      <c r="A169" s="8">
        <v>19</v>
      </c>
      <c r="B169" s="9">
        <v>1</v>
      </c>
      <c r="C169" s="9">
        <v>1</v>
      </c>
      <c r="D169" s="9">
        <v>190010001</v>
      </c>
      <c r="E169" s="50" t="s">
        <v>786</v>
      </c>
      <c r="F169" s="50"/>
      <c r="G169" s="50"/>
      <c r="H169" s="13" t="s">
        <v>46</v>
      </c>
      <c r="I169" s="48" t="s">
        <v>773</v>
      </c>
      <c r="J169" s="13">
        <v>29.2</v>
      </c>
      <c r="K169" s="14">
        <v>3</v>
      </c>
      <c r="L169" s="14">
        <v>1</v>
      </c>
      <c r="M169" s="14" t="str">
        <f t="shared" si="10"/>
        <v>0301</v>
      </c>
      <c r="N169" s="12" t="s">
        <v>786</v>
      </c>
      <c r="O169" s="12"/>
      <c r="P169" s="14" t="str">
        <f t="shared" si="11"/>
        <v>2100000</v>
      </c>
    </row>
    <row r="170" spans="1:16" ht="19.149999999999999" customHeight="1">
      <c r="A170" s="15">
        <v>43</v>
      </c>
      <c r="B170" s="13">
        <v>1</v>
      </c>
      <c r="C170" s="13">
        <v>2</v>
      </c>
      <c r="D170" s="13">
        <v>430010002</v>
      </c>
      <c r="E170" s="50" t="s">
        <v>786</v>
      </c>
      <c r="F170" s="50"/>
      <c r="G170" s="50"/>
      <c r="H170" s="13" t="s">
        <v>14</v>
      </c>
      <c r="I170" s="48" t="s">
        <v>771</v>
      </c>
      <c r="J170" s="13">
        <v>10</v>
      </c>
      <c r="K170" s="14">
        <v>2</v>
      </c>
      <c r="L170" s="14">
        <v>1</v>
      </c>
      <c r="M170" s="14" t="str">
        <f t="shared" ref="M170:M233" si="12">TEXT(K170,"00")&amp;TEXT(L170,"00")</f>
        <v>0201</v>
      </c>
      <c r="N170" s="12" t="s">
        <v>786</v>
      </c>
      <c r="O170" s="12"/>
      <c r="P170" s="14" t="str">
        <f t="shared" ref="P170:P233" si="13">TEXT(E170,"00")&amp;TEXT(F170,"00")&amp;TEXT(G170,"000")</f>
        <v>2100000</v>
      </c>
    </row>
    <row r="171" spans="1:16" ht="19.149999999999999" customHeight="1">
      <c r="A171" s="15">
        <v>21</v>
      </c>
      <c r="B171" s="13">
        <v>1</v>
      </c>
      <c r="C171" s="13">
        <v>1</v>
      </c>
      <c r="D171" s="13">
        <v>210010001</v>
      </c>
      <c r="E171" s="50" t="s">
        <v>786</v>
      </c>
      <c r="F171" s="50"/>
      <c r="G171" s="50"/>
      <c r="H171" s="13" t="s">
        <v>328</v>
      </c>
      <c r="I171" s="48" t="s">
        <v>773</v>
      </c>
      <c r="J171" s="13">
        <v>80</v>
      </c>
      <c r="K171" s="14">
        <v>3</v>
      </c>
      <c r="L171" s="14">
        <v>7</v>
      </c>
      <c r="M171" s="14" t="str">
        <f t="shared" si="12"/>
        <v>0307</v>
      </c>
      <c r="N171" s="12" t="s">
        <v>786</v>
      </c>
      <c r="O171" s="12"/>
      <c r="P171" s="14" t="str">
        <f t="shared" si="13"/>
        <v>2100000</v>
      </c>
    </row>
    <row r="172" spans="1:16" ht="19.149999999999999" customHeight="1">
      <c r="A172" s="15">
        <v>56</v>
      </c>
      <c r="B172" s="13">
        <v>1</v>
      </c>
      <c r="C172" s="13">
        <v>2</v>
      </c>
      <c r="D172" s="13">
        <v>560010002</v>
      </c>
      <c r="E172" s="37" t="s">
        <v>802</v>
      </c>
      <c r="H172" s="9" t="s">
        <v>53</v>
      </c>
      <c r="I172" s="39" t="s">
        <v>775</v>
      </c>
      <c r="J172" s="9">
        <v>120</v>
      </c>
      <c r="K172" s="14">
        <v>3</v>
      </c>
      <c r="L172" s="14">
        <v>2</v>
      </c>
      <c r="M172" s="14" t="str">
        <f t="shared" si="12"/>
        <v>0302</v>
      </c>
      <c r="N172" s="17" t="s">
        <v>802</v>
      </c>
      <c r="P172" s="14" t="str">
        <f t="shared" si="13"/>
        <v>2400000</v>
      </c>
    </row>
    <row r="173" spans="1:16" ht="19.149999999999999" customHeight="1">
      <c r="A173" s="15">
        <v>52</v>
      </c>
      <c r="B173" s="13">
        <v>1</v>
      </c>
      <c r="C173" s="13">
        <v>6</v>
      </c>
      <c r="D173" s="13">
        <v>520010006</v>
      </c>
      <c r="E173" s="37" t="s">
        <v>802</v>
      </c>
      <c r="H173" s="9" t="s">
        <v>54</v>
      </c>
      <c r="I173" s="39" t="s">
        <v>775</v>
      </c>
      <c r="J173" s="9">
        <v>50</v>
      </c>
      <c r="K173" s="14">
        <v>3</v>
      </c>
      <c r="L173" s="14">
        <v>2</v>
      </c>
      <c r="M173" s="14" t="str">
        <f t="shared" si="12"/>
        <v>0302</v>
      </c>
      <c r="N173" s="17" t="s">
        <v>802</v>
      </c>
      <c r="P173" s="14" t="str">
        <f t="shared" si="13"/>
        <v>2400000</v>
      </c>
    </row>
    <row r="174" spans="1:16" ht="19.149999999999999" customHeight="1">
      <c r="A174" s="8">
        <v>24</v>
      </c>
      <c r="B174" s="9">
        <v>1</v>
      </c>
      <c r="C174" s="9">
        <v>17</v>
      </c>
      <c r="D174" s="9">
        <v>240010017</v>
      </c>
      <c r="E174" s="37" t="s">
        <v>802</v>
      </c>
      <c r="H174" s="9" t="s">
        <v>55</v>
      </c>
      <c r="I174" s="39" t="s">
        <v>776</v>
      </c>
      <c r="J174" s="9">
        <v>80</v>
      </c>
      <c r="K174" s="14">
        <v>3</v>
      </c>
      <c r="L174" s="14">
        <v>2</v>
      </c>
      <c r="M174" s="14" t="str">
        <f t="shared" si="12"/>
        <v>0302</v>
      </c>
      <c r="N174" s="17" t="s">
        <v>802</v>
      </c>
      <c r="P174" s="14" t="str">
        <f t="shared" si="13"/>
        <v>2400000</v>
      </c>
    </row>
    <row r="175" spans="1:16" ht="19.149999999999999" customHeight="1">
      <c r="A175" s="8">
        <v>24</v>
      </c>
      <c r="B175" s="9">
        <v>1</v>
      </c>
      <c r="C175" s="9">
        <v>2</v>
      </c>
      <c r="D175" s="9">
        <v>240010002</v>
      </c>
      <c r="E175" s="37" t="s">
        <v>802</v>
      </c>
      <c r="H175" s="9" t="s">
        <v>56</v>
      </c>
      <c r="I175" s="39" t="s">
        <v>775</v>
      </c>
      <c r="J175" s="9">
        <v>45</v>
      </c>
      <c r="K175" s="14">
        <v>3</v>
      </c>
      <c r="L175" s="14">
        <v>2</v>
      </c>
      <c r="M175" s="14" t="str">
        <f t="shared" si="12"/>
        <v>0302</v>
      </c>
      <c r="N175" s="17" t="s">
        <v>802</v>
      </c>
      <c r="P175" s="14" t="str">
        <f t="shared" si="13"/>
        <v>2400000</v>
      </c>
    </row>
    <row r="176" spans="1:16" ht="19.149999999999999" customHeight="1">
      <c r="A176" s="8">
        <v>24</v>
      </c>
      <c r="B176" s="9">
        <v>1</v>
      </c>
      <c r="C176" s="9">
        <v>333</v>
      </c>
      <c r="D176" s="9">
        <v>240010333</v>
      </c>
      <c r="E176" s="37" t="s">
        <v>802</v>
      </c>
      <c r="H176" s="9" t="s">
        <v>57</v>
      </c>
      <c r="I176" s="39" t="s">
        <v>775</v>
      </c>
      <c r="J176" s="9">
        <v>80</v>
      </c>
      <c r="K176" s="14">
        <v>3</v>
      </c>
      <c r="L176" s="14">
        <v>2</v>
      </c>
      <c r="M176" s="14" t="str">
        <f t="shared" si="12"/>
        <v>0302</v>
      </c>
      <c r="N176" s="17" t="s">
        <v>802</v>
      </c>
      <c r="P176" s="14" t="str">
        <f t="shared" si="13"/>
        <v>2400000</v>
      </c>
    </row>
    <row r="177" spans="1:16" ht="19.149999999999999" customHeight="1">
      <c r="A177" s="8">
        <v>24</v>
      </c>
      <c r="B177" s="9">
        <v>1</v>
      </c>
      <c r="C177" s="9">
        <v>15</v>
      </c>
      <c r="D177" s="9">
        <v>240010015</v>
      </c>
      <c r="E177" s="37" t="s">
        <v>802</v>
      </c>
      <c r="H177" s="9" t="s">
        <v>58</v>
      </c>
      <c r="I177" s="39" t="s">
        <v>776</v>
      </c>
      <c r="J177" s="9">
        <v>80</v>
      </c>
      <c r="K177" s="14">
        <v>3</v>
      </c>
      <c r="L177" s="14">
        <v>2</v>
      </c>
      <c r="M177" s="14" t="str">
        <f t="shared" si="12"/>
        <v>0302</v>
      </c>
      <c r="N177" s="17" t="s">
        <v>802</v>
      </c>
      <c r="P177" s="14" t="str">
        <f t="shared" si="13"/>
        <v>2400000</v>
      </c>
    </row>
    <row r="178" spans="1:16" ht="19.149999999999999" customHeight="1">
      <c r="A178" s="8">
        <v>24</v>
      </c>
      <c r="B178" s="9">
        <v>1</v>
      </c>
      <c r="C178" s="9">
        <v>16</v>
      </c>
      <c r="D178" s="9">
        <v>240010016</v>
      </c>
      <c r="E178" s="37" t="s">
        <v>802</v>
      </c>
      <c r="H178" s="9" t="s">
        <v>59</v>
      </c>
      <c r="I178" s="39" t="s">
        <v>775</v>
      </c>
      <c r="J178" s="9">
        <v>80</v>
      </c>
      <c r="K178" s="14">
        <v>3</v>
      </c>
      <c r="L178" s="14">
        <v>2</v>
      </c>
      <c r="M178" s="14" t="str">
        <f t="shared" si="12"/>
        <v>0302</v>
      </c>
      <c r="N178" s="17" t="s">
        <v>802</v>
      </c>
      <c r="P178" s="14" t="str">
        <f t="shared" si="13"/>
        <v>2400000</v>
      </c>
    </row>
    <row r="179" spans="1:16" ht="19.149999999999999" customHeight="1">
      <c r="A179" s="8">
        <v>24</v>
      </c>
      <c r="B179" s="9">
        <v>1</v>
      </c>
      <c r="C179" s="9">
        <v>332</v>
      </c>
      <c r="D179" s="9">
        <v>240010332</v>
      </c>
      <c r="E179" s="37" t="s">
        <v>802</v>
      </c>
      <c r="H179" s="9" t="s">
        <v>60</v>
      </c>
      <c r="I179" s="39" t="s">
        <v>775</v>
      </c>
      <c r="J179" s="9">
        <v>40</v>
      </c>
      <c r="K179" s="14">
        <v>3</v>
      </c>
      <c r="L179" s="14">
        <v>2</v>
      </c>
      <c r="M179" s="14" t="str">
        <f t="shared" si="12"/>
        <v>0302</v>
      </c>
      <c r="N179" s="17" t="s">
        <v>802</v>
      </c>
      <c r="P179" s="14" t="str">
        <f t="shared" si="13"/>
        <v>2400000</v>
      </c>
    </row>
    <row r="180" spans="1:16" ht="19.149999999999999" customHeight="1">
      <c r="A180" s="8">
        <v>24</v>
      </c>
      <c r="B180" s="9">
        <v>1</v>
      </c>
      <c r="C180" s="9">
        <v>11</v>
      </c>
      <c r="D180" s="9">
        <v>240010011</v>
      </c>
      <c r="E180" s="37" t="s">
        <v>802</v>
      </c>
      <c r="H180" s="9" t="s">
        <v>61</v>
      </c>
      <c r="I180" s="39" t="s">
        <v>776</v>
      </c>
      <c r="J180" s="9">
        <v>80</v>
      </c>
      <c r="K180" s="14">
        <v>3</v>
      </c>
      <c r="L180" s="14">
        <v>2</v>
      </c>
      <c r="M180" s="14" t="str">
        <f t="shared" si="12"/>
        <v>0302</v>
      </c>
      <c r="N180" s="17" t="s">
        <v>802</v>
      </c>
      <c r="P180" s="14" t="str">
        <f t="shared" si="13"/>
        <v>2400000</v>
      </c>
    </row>
    <row r="181" spans="1:16" ht="19.149999999999999" customHeight="1">
      <c r="A181" s="8">
        <v>24</v>
      </c>
      <c r="B181" s="9">
        <v>1</v>
      </c>
      <c r="C181" s="9">
        <v>12</v>
      </c>
      <c r="D181" s="9">
        <v>240010012</v>
      </c>
      <c r="E181" s="37" t="s">
        <v>802</v>
      </c>
      <c r="H181" s="9" t="s">
        <v>62</v>
      </c>
      <c r="I181" s="39" t="s">
        <v>776</v>
      </c>
      <c r="J181" s="9">
        <v>80</v>
      </c>
      <c r="K181" s="14">
        <v>3</v>
      </c>
      <c r="L181" s="14">
        <v>2</v>
      </c>
      <c r="M181" s="14" t="str">
        <f t="shared" si="12"/>
        <v>0302</v>
      </c>
      <c r="N181" s="17" t="s">
        <v>802</v>
      </c>
      <c r="P181" s="14" t="str">
        <f t="shared" si="13"/>
        <v>2400000</v>
      </c>
    </row>
    <row r="182" spans="1:16" ht="19.149999999999999" customHeight="1">
      <c r="A182" s="8">
        <v>24</v>
      </c>
      <c r="B182" s="9">
        <v>1</v>
      </c>
      <c r="C182" s="9">
        <v>1</v>
      </c>
      <c r="D182" s="9">
        <v>240010001</v>
      </c>
      <c r="E182" s="37" t="s">
        <v>802</v>
      </c>
      <c r="H182" s="9" t="s">
        <v>63</v>
      </c>
      <c r="I182" s="39" t="s">
        <v>775</v>
      </c>
      <c r="J182" s="9">
        <v>80</v>
      </c>
      <c r="K182" s="14">
        <v>3</v>
      </c>
      <c r="L182" s="14">
        <v>2</v>
      </c>
      <c r="M182" s="14" t="str">
        <f t="shared" si="12"/>
        <v>0302</v>
      </c>
      <c r="N182" s="17" t="s">
        <v>802</v>
      </c>
      <c r="P182" s="14" t="str">
        <f t="shared" si="13"/>
        <v>2400000</v>
      </c>
    </row>
    <row r="183" spans="1:16" ht="19.149999999999999" customHeight="1">
      <c r="A183" s="8">
        <v>24</v>
      </c>
      <c r="B183" s="9">
        <v>1</v>
      </c>
      <c r="C183" s="9">
        <v>330</v>
      </c>
      <c r="D183" s="9">
        <v>240010330</v>
      </c>
      <c r="E183" s="37" t="s">
        <v>802</v>
      </c>
      <c r="H183" s="9" t="s">
        <v>64</v>
      </c>
      <c r="I183" s="39" t="s">
        <v>775</v>
      </c>
      <c r="J183" s="9">
        <v>80</v>
      </c>
      <c r="K183" s="14">
        <v>3</v>
      </c>
      <c r="L183" s="14">
        <v>2</v>
      </c>
      <c r="M183" s="14" t="str">
        <f t="shared" si="12"/>
        <v>0302</v>
      </c>
      <c r="N183" s="17" t="s">
        <v>802</v>
      </c>
      <c r="P183" s="14" t="str">
        <f t="shared" si="13"/>
        <v>2400000</v>
      </c>
    </row>
    <row r="184" spans="1:16" ht="19.149999999999999" customHeight="1">
      <c r="A184" s="8">
        <v>24</v>
      </c>
      <c r="B184" s="9">
        <v>1</v>
      </c>
      <c r="C184" s="9">
        <v>5</v>
      </c>
      <c r="D184" s="9">
        <v>240010005</v>
      </c>
      <c r="E184" s="37" t="s">
        <v>802</v>
      </c>
      <c r="H184" s="9" t="s">
        <v>65</v>
      </c>
      <c r="I184" s="39" t="s">
        <v>775</v>
      </c>
      <c r="J184" s="9">
        <v>80</v>
      </c>
      <c r="K184" s="14">
        <v>3</v>
      </c>
      <c r="L184" s="14">
        <v>2</v>
      </c>
      <c r="M184" s="14" t="str">
        <f t="shared" si="12"/>
        <v>0302</v>
      </c>
      <c r="N184" s="17" t="s">
        <v>802</v>
      </c>
      <c r="P184" s="14" t="str">
        <f t="shared" si="13"/>
        <v>2400000</v>
      </c>
    </row>
    <row r="185" spans="1:16" ht="19.149999999999999" customHeight="1">
      <c r="A185" s="8">
        <v>24</v>
      </c>
      <c r="B185" s="9">
        <v>1</v>
      </c>
      <c r="C185" s="9">
        <v>6</v>
      </c>
      <c r="D185" s="9">
        <v>240010006</v>
      </c>
      <c r="E185" s="37" t="s">
        <v>802</v>
      </c>
      <c r="H185" s="9" t="s">
        <v>66</v>
      </c>
      <c r="I185" s="39" t="s">
        <v>776</v>
      </c>
      <c r="J185" s="9">
        <v>80</v>
      </c>
      <c r="K185" s="14">
        <v>3</v>
      </c>
      <c r="L185" s="14">
        <v>2</v>
      </c>
      <c r="M185" s="14" t="str">
        <f t="shared" si="12"/>
        <v>0302</v>
      </c>
      <c r="N185" s="17" t="s">
        <v>802</v>
      </c>
      <c r="P185" s="14" t="str">
        <f t="shared" si="13"/>
        <v>2400000</v>
      </c>
    </row>
    <row r="186" spans="1:16" ht="19.149999999999999" customHeight="1">
      <c r="A186" s="8">
        <v>24</v>
      </c>
      <c r="B186" s="9">
        <v>1</v>
      </c>
      <c r="C186" s="9">
        <v>8</v>
      </c>
      <c r="D186" s="9">
        <v>240010008</v>
      </c>
      <c r="E186" s="37" t="s">
        <v>802</v>
      </c>
      <c r="H186" s="9" t="s">
        <v>67</v>
      </c>
      <c r="I186" s="39" t="s">
        <v>775</v>
      </c>
      <c r="J186" s="9">
        <v>35</v>
      </c>
      <c r="K186" s="14">
        <v>3</v>
      </c>
      <c r="L186" s="14">
        <v>2</v>
      </c>
      <c r="M186" s="14" t="str">
        <f t="shared" si="12"/>
        <v>0302</v>
      </c>
      <c r="N186" s="17" t="s">
        <v>802</v>
      </c>
      <c r="P186" s="14" t="str">
        <f t="shared" si="13"/>
        <v>2400000</v>
      </c>
    </row>
    <row r="187" spans="1:16" ht="19.149999999999999" customHeight="1">
      <c r="A187" s="8">
        <v>24</v>
      </c>
      <c r="B187" s="9">
        <v>1</v>
      </c>
      <c r="C187" s="9">
        <v>334</v>
      </c>
      <c r="D187" s="9">
        <v>240010334</v>
      </c>
      <c r="E187" s="37" t="s">
        <v>802</v>
      </c>
      <c r="H187" s="9" t="s">
        <v>68</v>
      </c>
      <c r="I187" s="39" t="s">
        <v>775</v>
      </c>
      <c r="J187" s="9">
        <v>60</v>
      </c>
      <c r="K187" s="14">
        <v>3</v>
      </c>
      <c r="L187" s="14">
        <v>2</v>
      </c>
      <c r="M187" s="14" t="str">
        <f t="shared" si="12"/>
        <v>0302</v>
      </c>
      <c r="N187" s="17" t="s">
        <v>802</v>
      </c>
      <c r="P187" s="14" t="str">
        <f t="shared" si="13"/>
        <v>2400000</v>
      </c>
    </row>
    <row r="188" spans="1:16" ht="19.149999999999999" customHeight="1">
      <c r="A188" s="8">
        <v>24</v>
      </c>
      <c r="B188" s="9">
        <v>1</v>
      </c>
      <c r="C188" s="9">
        <v>14</v>
      </c>
      <c r="D188" s="9">
        <v>240010014</v>
      </c>
      <c r="E188" s="37" t="s">
        <v>802</v>
      </c>
      <c r="H188" s="9" t="s">
        <v>69</v>
      </c>
      <c r="I188" s="39" t="s">
        <v>775</v>
      </c>
      <c r="J188" s="9">
        <v>60</v>
      </c>
      <c r="K188" s="14">
        <v>3</v>
      </c>
      <c r="L188" s="14">
        <v>2</v>
      </c>
      <c r="M188" s="14" t="str">
        <f t="shared" si="12"/>
        <v>0302</v>
      </c>
      <c r="N188" s="17" t="s">
        <v>802</v>
      </c>
      <c r="P188" s="14" t="str">
        <f t="shared" si="13"/>
        <v>2400000</v>
      </c>
    </row>
    <row r="189" spans="1:16" ht="19.149999999999999" customHeight="1">
      <c r="A189" s="8">
        <v>24</v>
      </c>
      <c r="B189" s="9">
        <v>1</v>
      </c>
      <c r="C189" s="9">
        <v>9</v>
      </c>
      <c r="D189" s="9">
        <v>240010009</v>
      </c>
      <c r="E189" s="37" t="s">
        <v>802</v>
      </c>
      <c r="H189" s="9" t="s">
        <v>70</v>
      </c>
      <c r="I189" s="39" t="s">
        <v>776</v>
      </c>
      <c r="J189" s="9">
        <v>50</v>
      </c>
      <c r="K189" s="14">
        <v>3</v>
      </c>
      <c r="L189" s="14">
        <v>2</v>
      </c>
      <c r="M189" s="14" t="str">
        <f t="shared" si="12"/>
        <v>0302</v>
      </c>
      <c r="N189" s="17" t="s">
        <v>802</v>
      </c>
      <c r="P189" s="14" t="str">
        <f t="shared" si="13"/>
        <v>2400000</v>
      </c>
    </row>
    <row r="190" spans="1:16" ht="19.149999999999999" customHeight="1">
      <c r="A190" s="8">
        <v>24</v>
      </c>
      <c r="B190" s="9">
        <v>1</v>
      </c>
      <c r="C190" s="9">
        <v>10</v>
      </c>
      <c r="D190" s="9">
        <v>240010010</v>
      </c>
      <c r="E190" s="37" t="s">
        <v>802</v>
      </c>
      <c r="H190" s="9" t="s">
        <v>71</v>
      </c>
      <c r="I190" s="39" t="s">
        <v>775</v>
      </c>
      <c r="J190" s="9">
        <v>30</v>
      </c>
      <c r="K190" s="14">
        <v>3</v>
      </c>
      <c r="L190" s="14">
        <v>2</v>
      </c>
      <c r="M190" s="14" t="str">
        <f t="shared" si="12"/>
        <v>0302</v>
      </c>
      <c r="N190" s="17" t="s">
        <v>802</v>
      </c>
      <c r="P190" s="14" t="str">
        <f t="shared" si="13"/>
        <v>2400000</v>
      </c>
    </row>
    <row r="191" spans="1:16" ht="19.149999999999999" customHeight="1">
      <c r="A191" s="8">
        <v>24</v>
      </c>
      <c r="B191" s="9">
        <v>1</v>
      </c>
      <c r="C191" s="9">
        <v>331</v>
      </c>
      <c r="D191" s="9">
        <v>240010331</v>
      </c>
      <c r="E191" s="37" t="s">
        <v>802</v>
      </c>
      <c r="H191" s="9" t="s">
        <v>72</v>
      </c>
      <c r="I191" s="39" t="s">
        <v>775</v>
      </c>
      <c r="J191" s="9">
        <v>80</v>
      </c>
      <c r="K191" s="14">
        <v>3</v>
      </c>
      <c r="L191" s="14">
        <v>2</v>
      </c>
      <c r="M191" s="14" t="str">
        <f t="shared" si="12"/>
        <v>0302</v>
      </c>
      <c r="N191" s="17" t="s">
        <v>802</v>
      </c>
      <c r="P191" s="14" t="str">
        <f t="shared" si="13"/>
        <v>2400000</v>
      </c>
    </row>
    <row r="192" spans="1:16" ht="19.149999999999999" customHeight="1">
      <c r="A192" s="8">
        <v>24</v>
      </c>
      <c r="B192" s="9">
        <v>1</v>
      </c>
      <c r="C192" s="9">
        <v>3</v>
      </c>
      <c r="D192" s="9">
        <v>240010003</v>
      </c>
      <c r="E192" s="37" t="s">
        <v>802</v>
      </c>
      <c r="H192" s="9" t="s">
        <v>77</v>
      </c>
      <c r="I192" s="39" t="s">
        <v>773</v>
      </c>
      <c r="J192" s="9">
        <v>85</v>
      </c>
      <c r="K192" s="14">
        <v>3</v>
      </c>
      <c r="L192" s="14">
        <v>2</v>
      </c>
      <c r="M192" s="14" t="str">
        <f t="shared" si="12"/>
        <v>0302</v>
      </c>
      <c r="N192" s="17" t="s">
        <v>802</v>
      </c>
      <c r="P192" s="14" t="str">
        <f t="shared" si="13"/>
        <v>2400000</v>
      </c>
    </row>
    <row r="193" spans="1:16" ht="19.149999999999999" customHeight="1">
      <c r="A193" s="8">
        <v>24</v>
      </c>
      <c r="B193" s="9">
        <v>1</v>
      </c>
      <c r="C193" s="9">
        <v>4</v>
      </c>
      <c r="D193" s="9">
        <v>240010004</v>
      </c>
      <c r="E193" s="50" t="s">
        <v>813</v>
      </c>
      <c r="F193" s="50"/>
      <c r="G193" s="50"/>
      <c r="H193" s="13" t="s">
        <v>200</v>
      </c>
      <c r="I193" s="48" t="s">
        <v>773</v>
      </c>
      <c r="J193" s="13">
        <v>13</v>
      </c>
      <c r="K193" s="14">
        <v>3</v>
      </c>
      <c r="L193" s="14">
        <v>5</v>
      </c>
      <c r="M193" s="14" t="str">
        <f t="shared" si="12"/>
        <v>0305</v>
      </c>
      <c r="N193" s="12" t="s">
        <v>813</v>
      </c>
      <c r="O193" s="12"/>
      <c r="P193" s="14" t="str">
        <f t="shared" si="13"/>
        <v>2600000</v>
      </c>
    </row>
    <row r="194" spans="1:16" ht="19.149999999999999" customHeight="1">
      <c r="A194" s="8">
        <v>24</v>
      </c>
      <c r="B194" s="9">
        <v>1</v>
      </c>
      <c r="C194" s="9">
        <v>340</v>
      </c>
      <c r="D194" s="9">
        <v>240010340</v>
      </c>
      <c r="E194" s="50" t="s">
        <v>813</v>
      </c>
      <c r="F194" s="50"/>
      <c r="G194" s="50"/>
      <c r="H194" s="13" t="s">
        <v>201</v>
      </c>
      <c r="I194" s="48" t="s">
        <v>773</v>
      </c>
      <c r="J194" s="13">
        <v>13</v>
      </c>
      <c r="K194" s="14">
        <v>3</v>
      </c>
      <c r="L194" s="14">
        <v>5</v>
      </c>
      <c r="M194" s="14" t="str">
        <f t="shared" si="12"/>
        <v>0305</v>
      </c>
      <c r="N194" s="12" t="s">
        <v>813</v>
      </c>
      <c r="O194" s="12"/>
      <c r="P194" s="14" t="str">
        <f t="shared" si="13"/>
        <v>2600000</v>
      </c>
    </row>
    <row r="195" spans="1:16" ht="19.149999999999999" customHeight="1">
      <c r="A195" s="15">
        <v>26</v>
      </c>
      <c r="B195" s="13">
        <v>1</v>
      </c>
      <c r="C195" s="13">
        <v>357</v>
      </c>
      <c r="D195" s="13">
        <v>260010357</v>
      </c>
      <c r="E195" s="50" t="s">
        <v>813</v>
      </c>
      <c r="F195" s="50"/>
      <c r="G195" s="50"/>
      <c r="H195" s="13" t="s">
        <v>202</v>
      </c>
      <c r="I195" s="48" t="s">
        <v>773</v>
      </c>
      <c r="J195" s="13">
        <v>14</v>
      </c>
      <c r="K195" s="14">
        <v>3</v>
      </c>
      <c r="L195" s="14">
        <v>5</v>
      </c>
      <c r="M195" s="14" t="str">
        <f t="shared" si="12"/>
        <v>0305</v>
      </c>
      <c r="N195" s="12" t="s">
        <v>813</v>
      </c>
      <c r="O195" s="12"/>
      <c r="P195" s="14" t="str">
        <f t="shared" si="13"/>
        <v>2600000</v>
      </c>
    </row>
    <row r="196" spans="1:16" ht="19.149999999999999" customHeight="1">
      <c r="A196" s="15">
        <v>26</v>
      </c>
      <c r="B196" s="13">
        <v>1</v>
      </c>
      <c r="C196" s="13">
        <v>356</v>
      </c>
      <c r="D196" s="13">
        <v>260010356</v>
      </c>
      <c r="E196" s="50" t="s">
        <v>813</v>
      </c>
      <c r="F196" s="50"/>
      <c r="G196" s="50"/>
      <c r="H196" s="13" t="s">
        <v>204</v>
      </c>
      <c r="I196" s="48" t="s">
        <v>773</v>
      </c>
      <c r="J196" s="13">
        <v>5</v>
      </c>
      <c r="K196" s="14">
        <v>3</v>
      </c>
      <c r="L196" s="14">
        <v>5</v>
      </c>
      <c r="M196" s="14" t="str">
        <f t="shared" si="12"/>
        <v>0305</v>
      </c>
      <c r="N196" s="12" t="s">
        <v>813</v>
      </c>
      <c r="O196" s="12"/>
      <c r="P196" s="14" t="str">
        <f t="shared" si="13"/>
        <v>2600000</v>
      </c>
    </row>
    <row r="197" spans="1:16" ht="19.149999999999999" customHeight="1">
      <c r="A197" s="15">
        <v>26</v>
      </c>
      <c r="B197" s="13">
        <v>1</v>
      </c>
      <c r="C197" s="13">
        <v>348</v>
      </c>
      <c r="D197" s="13">
        <v>260010348</v>
      </c>
      <c r="E197" s="50" t="s">
        <v>813</v>
      </c>
      <c r="F197" s="50"/>
      <c r="G197" s="50"/>
      <c r="H197" s="13" t="s">
        <v>205</v>
      </c>
      <c r="I197" s="48" t="s">
        <v>773</v>
      </c>
      <c r="J197" s="13">
        <v>25</v>
      </c>
      <c r="K197" s="14">
        <v>3</v>
      </c>
      <c r="L197" s="14">
        <v>5</v>
      </c>
      <c r="M197" s="14" t="str">
        <f t="shared" si="12"/>
        <v>0305</v>
      </c>
      <c r="N197" s="12" t="s">
        <v>813</v>
      </c>
      <c r="O197" s="12"/>
      <c r="P197" s="14" t="str">
        <f t="shared" si="13"/>
        <v>2600000</v>
      </c>
    </row>
    <row r="198" spans="1:16" ht="19.149999999999999" customHeight="1">
      <c r="A198" s="15">
        <v>30</v>
      </c>
      <c r="B198" s="13">
        <v>1</v>
      </c>
      <c r="C198" s="13">
        <v>443</v>
      </c>
      <c r="D198" s="13">
        <v>300010443</v>
      </c>
      <c r="E198" s="50" t="s">
        <v>813</v>
      </c>
      <c r="F198" s="50"/>
      <c r="G198" s="50"/>
      <c r="H198" s="13" t="s">
        <v>217</v>
      </c>
      <c r="I198" s="48" t="s">
        <v>773</v>
      </c>
      <c r="J198" s="13">
        <v>8</v>
      </c>
      <c r="K198" s="14">
        <v>3</v>
      </c>
      <c r="L198" s="14">
        <v>5</v>
      </c>
      <c r="M198" s="14" t="str">
        <f t="shared" si="12"/>
        <v>0305</v>
      </c>
      <c r="N198" s="12" t="s">
        <v>813</v>
      </c>
      <c r="O198" s="12"/>
      <c r="P198" s="14" t="str">
        <f t="shared" si="13"/>
        <v>2600000</v>
      </c>
    </row>
    <row r="199" spans="1:16" ht="19.149999999999999" customHeight="1">
      <c r="A199" s="15">
        <v>26</v>
      </c>
      <c r="B199" s="13">
        <v>1</v>
      </c>
      <c r="C199" s="13">
        <v>3</v>
      </c>
      <c r="D199" s="13">
        <v>260010003</v>
      </c>
      <c r="E199" s="50" t="s">
        <v>813</v>
      </c>
      <c r="F199" s="50"/>
      <c r="G199" s="50"/>
      <c r="H199" s="13" t="s">
        <v>217</v>
      </c>
      <c r="I199" s="48" t="s">
        <v>773</v>
      </c>
      <c r="J199" s="13">
        <v>8</v>
      </c>
      <c r="K199" s="14">
        <v>3</v>
      </c>
      <c r="L199" s="14">
        <v>5</v>
      </c>
      <c r="M199" s="14" t="str">
        <f t="shared" si="12"/>
        <v>0305</v>
      </c>
      <c r="N199" s="12" t="s">
        <v>813</v>
      </c>
      <c r="O199" s="12"/>
      <c r="P199" s="14" t="str">
        <f t="shared" si="13"/>
        <v>2600000</v>
      </c>
    </row>
    <row r="200" spans="1:16" ht="19.149999999999999" customHeight="1">
      <c r="A200" s="15">
        <v>26</v>
      </c>
      <c r="B200" s="13">
        <v>1</v>
      </c>
      <c r="C200" s="13">
        <v>344</v>
      </c>
      <c r="D200" s="13">
        <v>260010344</v>
      </c>
      <c r="E200" s="50" t="s">
        <v>813</v>
      </c>
      <c r="F200" s="50"/>
      <c r="G200" s="50"/>
      <c r="H200" s="13" t="s">
        <v>412</v>
      </c>
      <c r="I200" s="48" t="s">
        <v>773</v>
      </c>
      <c r="J200" s="13">
        <v>32</v>
      </c>
      <c r="K200" s="14">
        <v>5</v>
      </c>
      <c r="L200" s="14">
        <v>2</v>
      </c>
      <c r="M200" s="14" t="str">
        <f t="shared" si="12"/>
        <v>0502</v>
      </c>
      <c r="N200" s="12" t="s">
        <v>813</v>
      </c>
      <c r="O200" s="12"/>
      <c r="P200" s="14" t="str">
        <f t="shared" si="13"/>
        <v>2600000</v>
      </c>
    </row>
    <row r="201" spans="1:16" ht="19.149999999999999" customHeight="1">
      <c r="A201" s="15">
        <v>26</v>
      </c>
      <c r="B201" s="13">
        <v>1</v>
      </c>
      <c r="C201" s="13">
        <v>346</v>
      </c>
      <c r="D201" s="13">
        <v>260010346</v>
      </c>
      <c r="E201" s="50" t="s">
        <v>813</v>
      </c>
      <c r="F201" s="50"/>
      <c r="G201" s="50"/>
      <c r="H201" s="13" t="s">
        <v>413</v>
      </c>
      <c r="I201" s="48" t="s">
        <v>773</v>
      </c>
      <c r="J201" s="13">
        <v>75</v>
      </c>
      <c r="K201" s="14">
        <v>5</v>
      </c>
      <c r="L201" s="14">
        <v>2</v>
      </c>
      <c r="M201" s="14" t="str">
        <f t="shared" si="12"/>
        <v>0502</v>
      </c>
      <c r="N201" s="12" t="s">
        <v>813</v>
      </c>
      <c r="O201" s="12"/>
      <c r="P201" s="14" t="str">
        <f t="shared" si="13"/>
        <v>2600000</v>
      </c>
    </row>
    <row r="202" spans="1:16" ht="19.149999999999999" customHeight="1">
      <c r="A202" s="15">
        <v>26</v>
      </c>
      <c r="B202" s="13">
        <v>1</v>
      </c>
      <c r="C202" s="13">
        <v>347</v>
      </c>
      <c r="D202" s="13">
        <v>260010347</v>
      </c>
      <c r="E202" s="50" t="s">
        <v>813</v>
      </c>
      <c r="F202" s="50"/>
      <c r="G202" s="50"/>
      <c r="H202" s="13" t="s">
        <v>206</v>
      </c>
      <c r="I202" s="48" t="s">
        <v>773</v>
      </c>
      <c r="J202" s="13">
        <v>275</v>
      </c>
      <c r="K202" s="14">
        <v>3</v>
      </c>
      <c r="L202" s="14">
        <v>5</v>
      </c>
      <c r="M202" s="14" t="str">
        <f t="shared" si="12"/>
        <v>0305</v>
      </c>
      <c r="N202" s="12" t="s">
        <v>813</v>
      </c>
      <c r="O202" s="12"/>
      <c r="P202" s="14" t="str">
        <f t="shared" si="13"/>
        <v>2600000</v>
      </c>
    </row>
    <row r="203" spans="1:16" ht="19.149999999999999" customHeight="1">
      <c r="A203" s="15">
        <v>30</v>
      </c>
      <c r="B203" s="13">
        <v>1</v>
      </c>
      <c r="C203" s="13">
        <v>6</v>
      </c>
      <c r="D203" s="13">
        <v>300010006</v>
      </c>
      <c r="E203" s="50" t="s">
        <v>813</v>
      </c>
      <c r="F203" s="50"/>
      <c r="G203" s="50"/>
      <c r="H203" s="13" t="s">
        <v>207</v>
      </c>
      <c r="I203" s="48" t="s">
        <v>773</v>
      </c>
      <c r="J203" s="13">
        <v>1500</v>
      </c>
      <c r="K203" s="14">
        <v>3</v>
      </c>
      <c r="L203" s="14">
        <v>5</v>
      </c>
      <c r="M203" s="14" t="str">
        <f t="shared" si="12"/>
        <v>0305</v>
      </c>
      <c r="N203" s="12" t="s">
        <v>813</v>
      </c>
      <c r="O203" s="12"/>
      <c r="P203" s="14" t="str">
        <f t="shared" si="13"/>
        <v>2600000</v>
      </c>
    </row>
    <row r="204" spans="1:16" ht="19.149999999999999" customHeight="1">
      <c r="A204" s="15">
        <v>30</v>
      </c>
      <c r="B204" s="13">
        <v>1</v>
      </c>
      <c r="C204" s="13">
        <v>445</v>
      </c>
      <c r="D204" s="13">
        <v>300010445</v>
      </c>
      <c r="E204" s="49">
        <v>26</v>
      </c>
      <c r="F204" s="49"/>
      <c r="G204" s="49"/>
      <c r="H204" s="13" t="s">
        <v>728</v>
      </c>
      <c r="I204" s="48" t="s">
        <v>773</v>
      </c>
      <c r="J204" s="13">
        <v>19.350000000000001</v>
      </c>
      <c r="K204" s="14"/>
      <c r="L204" s="14"/>
      <c r="M204" s="14" t="str">
        <f t="shared" si="12"/>
        <v>0000</v>
      </c>
      <c r="N204" s="16">
        <v>26</v>
      </c>
      <c r="O204" s="16"/>
      <c r="P204" s="14" t="str">
        <f t="shared" si="13"/>
        <v>2600000</v>
      </c>
    </row>
    <row r="205" spans="1:16" ht="19.149999999999999" customHeight="1">
      <c r="A205" s="15">
        <v>30</v>
      </c>
      <c r="B205" s="13">
        <v>1</v>
      </c>
      <c r="C205" s="13">
        <v>444</v>
      </c>
      <c r="D205" s="13">
        <v>300010444</v>
      </c>
      <c r="E205" s="50" t="s">
        <v>813</v>
      </c>
      <c r="F205" s="50"/>
      <c r="G205" s="50"/>
      <c r="H205" s="13" t="s">
        <v>393</v>
      </c>
      <c r="I205" s="48" t="s">
        <v>773</v>
      </c>
      <c r="J205" s="13">
        <v>0</v>
      </c>
      <c r="K205" s="14">
        <v>4</v>
      </c>
      <c r="L205" s="14">
        <v>1</v>
      </c>
      <c r="M205" s="14" t="str">
        <f t="shared" si="12"/>
        <v>0401</v>
      </c>
      <c r="N205" s="12" t="s">
        <v>813</v>
      </c>
      <c r="O205" s="12"/>
      <c r="P205" s="14" t="str">
        <f t="shared" si="13"/>
        <v>2600000</v>
      </c>
    </row>
    <row r="206" spans="1:16" ht="19.149999999999999" customHeight="1">
      <c r="A206" s="15">
        <v>10</v>
      </c>
      <c r="B206" s="13">
        <v>1</v>
      </c>
      <c r="C206" s="13">
        <v>202</v>
      </c>
      <c r="D206" s="13">
        <v>100010202</v>
      </c>
      <c r="E206" s="50" t="s">
        <v>813</v>
      </c>
      <c r="F206" s="50"/>
      <c r="G206" s="50"/>
      <c r="H206" s="13" t="s">
        <v>394</v>
      </c>
      <c r="I206" s="48" t="s">
        <v>773</v>
      </c>
      <c r="J206" s="13">
        <v>0</v>
      </c>
      <c r="K206" s="14">
        <v>4</v>
      </c>
      <c r="L206" s="14">
        <v>1</v>
      </c>
      <c r="M206" s="14" t="str">
        <f t="shared" si="12"/>
        <v>0401</v>
      </c>
      <c r="N206" s="12" t="s">
        <v>813</v>
      </c>
      <c r="O206" s="12"/>
      <c r="P206" s="14" t="str">
        <f t="shared" si="13"/>
        <v>2600000</v>
      </c>
    </row>
    <row r="207" spans="1:16" ht="19.149999999999999" customHeight="1">
      <c r="A207" s="15">
        <v>10</v>
      </c>
      <c r="B207" s="13">
        <v>1</v>
      </c>
      <c r="C207" s="13">
        <v>200</v>
      </c>
      <c r="D207" s="13">
        <v>100010200</v>
      </c>
      <c r="E207" s="49">
        <v>26</v>
      </c>
      <c r="F207" s="49"/>
      <c r="G207" s="49"/>
      <c r="H207" s="13" t="s">
        <v>743</v>
      </c>
      <c r="I207" s="48" t="s">
        <v>773</v>
      </c>
      <c r="J207" s="13">
        <v>20</v>
      </c>
      <c r="K207" s="14"/>
      <c r="L207" s="14"/>
      <c r="M207" s="14" t="str">
        <f t="shared" si="12"/>
        <v>0000</v>
      </c>
      <c r="N207" s="16">
        <v>26</v>
      </c>
      <c r="O207" s="16"/>
      <c r="P207" s="14" t="str">
        <f t="shared" si="13"/>
        <v>2600000</v>
      </c>
    </row>
    <row r="208" spans="1:16" ht="19.149999999999999" customHeight="1">
      <c r="A208" s="15">
        <v>65</v>
      </c>
      <c r="B208" s="13">
        <v>1</v>
      </c>
      <c r="C208" s="13">
        <v>711</v>
      </c>
      <c r="D208" s="13">
        <v>650010711</v>
      </c>
      <c r="E208" s="50" t="s">
        <v>813</v>
      </c>
      <c r="F208" s="50"/>
      <c r="G208" s="50"/>
      <c r="H208" s="13" t="s">
        <v>209</v>
      </c>
      <c r="I208" s="48" t="s">
        <v>773</v>
      </c>
      <c r="J208" s="13">
        <v>8.1</v>
      </c>
      <c r="K208" s="14">
        <v>3</v>
      </c>
      <c r="L208" s="14">
        <v>5</v>
      </c>
      <c r="M208" s="14" t="str">
        <f t="shared" si="12"/>
        <v>0305</v>
      </c>
      <c r="N208" s="12" t="s">
        <v>813</v>
      </c>
      <c r="O208" s="12"/>
      <c r="P208" s="14" t="str">
        <f t="shared" si="13"/>
        <v>2600000</v>
      </c>
    </row>
    <row r="209" spans="1:16" ht="19.149999999999999" customHeight="1">
      <c r="A209" s="15">
        <v>65</v>
      </c>
      <c r="B209" s="13">
        <v>1</v>
      </c>
      <c r="C209" s="13">
        <v>710</v>
      </c>
      <c r="D209" s="13">
        <v>650010710</v>
      </c>
      <c r="E209" s="50" t="s">
        <v>813</v>
      </c>
      <c r="F209" s="50"/>
      <c r="G209" s="50"/>
      <c r="H209" s="13" t="s">
        <v>210</v>
      </c>
      <c r="I209" s="48" t="s">
        <v>773</v>
      </c>
      <c r="J209" s="13">
        <v>15.9</v>
      </c>
      <c r="K209" s="14">
        <v>3</v>
      </c>
      <c r="L209" s="14">
        <v>5</v>
      </c>
      <c r="M209" s="14" t="str">
        <f t="shared" si="12"/>
        <v>0305</v>
      </c>
      <c r="N209" s="12" t="s">
        <v>813</v>
      </c>
      <c r="O209" s="12"/>
      <c r="P209" s="14" t="str">
        <f t="shared" si="13"/>
        <v>2600000</v>
      </c>
    </row>
    <row r="210" spans="1:16" ht="19.149999999999999" customHeight="1">
      <c r="A210" s="15">
        <v>52</v>
      </c>
      <c r="B210" s="13">
        <v>1</v>
      </c>
      <c r="C210" s="13">
        <v>596</v>
      </c>
      <c r="D210" s="13">
        <v>520010596</v>
      </c>
      <c r="E210" s="41" t="s">
        <v>827</v>
      </c>
      <c r="F210" s="41"/>
      <c r="G210" s="41"/>
      <c r="H210" s="9" t="s">
        <v>727</v>
      </c>
      <c r="I210" s="39" t="s">
        <v>773</v>
      </c>
      <c r="J210" s="9">
        <v>18</v>
      </c>
      <c r="K210" s="14"/>
      <c r="L210" s="14"/>
      <c r="M210" s="14" t="str">
        <f t="shared" si="12"/>
        <v>0000</v>
      </c>
      <c r="N210" s="19" t="s">
        <v>827</v>
      </c>
      <c r="O210" s="19"/>
      <c r="P210" s="14" t="str">
        <f t="shared" si="13"/>
        <v>2700000</v>
      </c>
    </row>
    <row r="211" spans="1:16" ht="19.149999999999999" customHeight="1">
      <c r="A211" s="15">
        <v>52</v>
      </c>
      <c r="B211" s="13">
        <v>1</v>
      </c>
      <c r="C211" s="13">
        <v>585</v>
      </c>
      <c r="D211" s="13">
        <v>520010585</v>
      </c>
      <c r="E211" s="50" t="s">
        <v>807</v>
      </c>
      <c r="F211" s="50"/>
      <c r="G211" s="50"/>
      <c r="H211" s="13" t="s">
        <v>116</v>
      </c>
      <c r="I211" s="48" t="s">
        <v>773</v>
      </c>
      <c r="J211" s="13">
        <v>0.4</v>
      </c>
      <c r="K211" s="14">
        <v>3</v>
      </c>
      <c r="L211" s="14">
        <v>4</v>
      </c>
      <c r="M211" s="14" t="str">
        <f t="shared" si="12"/>
        <v>0304</v>
      </c>
      <c r="N211" s="12" t="s">
        <v>807</v>
      </c>
      <c r="O211" s="12"/>
      <c r="P211" s="14" t="str">
        <f t="shared" si="13"/>
        <v>3000000</v>
      </c>
    </row>
    <row r="212" spans="1:16" ht="19.149999999999999" customHeight="1">
      <c r="A212" s="8">
        <v>59</v>
      </c>
      <c r="B212" s="9">
        <v>1</v>
      </c>
      <c r="C212" s="9">
        <v>650</v>
      </c>
      <c r="D212" s="9">
        <v>590010650</v>
      </c>
      <c r="E212" s="49" t="s">
        <v>807</v>
      </c>
      <c r="F212" s="49"/>
      <c r="G212" s="49"/>
      <c r="H212" s="13" t="s">
        <v>526</v>
      </c>
      <c r="I212" s="48" t="s">
        <v>777</v>
      </c>
      <c r="J212" s="13">
        <v>8</v>
      </c>
      <c r="K212" s="14">
        <v>5</v>
      </c>
      <c r="L212" s="14">
        <v>1</v>
      </c>
      <c r="M212" s="14" t="str">
        <f t="shared" si="12"/>
        <v>0501</v>
      </c>
      <c r="N212" s="16" t="s">
        <v>807</v>
      </c>
      <c r="O212" s="16"/>
      <c r="P212" s="14" t="str">
        <f t="shared" si="13"/>
        <v>3000000</v>
      </c>
    </row>
    <row r="213" spans="1:16" ht="19.149999999999999" customHeight="1">
      <c r="A213" s="15">
        <v>65</v>
      </c>
      <c r="B213" s="13">
        <v>1</v>
      </c>
      <c r="C213" s="13">
        <v>726</v>
      </c>
      <c r="D213" s="13">
        <v>650010726</v>
      </c>
      <c r="E213" s="49" t="s">
        <v>807</v>
      </c>
      <c r="F213" s="49"/>
      <c r="G213" s="49"/>
      <c r="H213" s="13" t="s">
        <v>527</v>
      </c>
      <c r="I213" s="48" t="s">
        <v>777</v>
      </c>
      <c r="J213" s="13">
        <v>2.38</v>
      </c>
      <c r="K213" s="14">
        <v>5</v>
      </c>
      <c r="L213" s="14">
        <v>1</v>
      </c>
      <c r="M213" s="14" t="str">
        <f t="shared" si="12"/>
        <v>0501</v>
      </c>
      <c r="N213" s="16" t="s">
        <v>807</v>
      </c>
      <c r="O213" s="16"/>
      <c r="P213" s="14" t="str">
        <f t="shared" si="13"/>
        <v>3000000</v>
      </c>
    </row>
    <row r="214" spans="1:16" ht="19.149999999999999" customHeight="1">
      <c r="A214" s="15">
        <v>26</v>
      </c>
      <c r="B214" s="13">
        <v>1</v>
      </c>
      <c r="C214" s="13">
        <v>352</v>
      </c>
      <c r="D214" s="13">
        <v>260010352</v>
      </c>
      <c r="E214" s="50" t="s">
        <v>807</v>
      </c>
      <c r="F214" s="50"/>
      <c r="G214" s="50"/>
      <c r="H214" s="13" t="s">
        <v>280</v>
      </c>
      <c r="I214" s="48" t="s">
        <v>773</v>
      </c>
      <c r="J214" s="13">
        <v>54</v>
      </c>
      <c r="K214" s="14">
        <v>3</v>
      </c>
      <c r="L214" s="14">
        <v>5</v>
      </c>
      <c r="M214" s="14" t="str">
        <f t="shared" si="12"/>
        <v>0305</v>
      </c>
      <c r="N214" s="12" t="s">
        <v>807</v>
      </c>
      <c r="O214" s="12"/>
      <c r="P214" s="14" t="str">
        <f t="shared" si="13"/>
        <v>3000000</v>
      </c>
    </row>
    <row r="215" spans="1:16" ht="19.149999999999999" customHeight="1">
      <c r="A215" s="15">
        <v>30</v>
      </c>
      <c r="B215" s="13">
        <v>1</v>
      </c>
      <c r="C215" s="13">
        <v>44</v>
      </c>
      <c r="D215" s="13">
        <v>300010044</v>
      </c>
      <c r="E215" s="49">
        <v>30</v>
      </c>
      <c r="F215" s="49"/>
      <c r="G215" s="49"/>
      <c r="H215" s="13" t="s">
        <v>730</v>
      </c>
      <c r="I215" s="48" t="s">
        <v>773</v>
      </c>
      <c r="J215" s="13">
        <v>5</v>
      </c>
      <c r="K215" s="14"/>
      <c r="L215" s="14"/>
      <c r="M215" s="14" t="str">
        <f t="shared" si="12"/>
        <v>0000</v>
      </c>
      <c r="N215" s="16">
        <v>30</v>
      </c>
      <c r="O215" s="16"/>
      <c r="P215" s="14" t="str">
        <f t="shared" si="13"/>
        <v>3000000</v>
      </c>
    </row>
    <row r="216" spans="1:16" ht="19.149999999999999" customHeight="1">
      <c r="A216" s="15">
        <v>30</v>
      </c>
      <c r="B216" s="13">
        <v>1</v>
      </c>
      <c r="C216" s="13">
        <v>38</v>
      </c>
      <c r="D216" s="13">
        <v>300010038</v>
      </c>
      <c r="E216" s="37" t="s">
        <v>789</v>
      </c>
      <c r="H216" s="9" t="s">
        <v>22</v>
      </c>
      <c r="I216" s="39" t="s">
        <v>773</v>
      </c>
      <c r="J216" s="9">
        <v>20</v>
      </c>
      <c r="K216" s="14">
        <v>2</v>
      </c>
      <c r="L216" s="14">
        <v>1</v>
      </c>
      <c r="M216" s="14" t="str">
        <f t="shared" si="12"/>
        <v>0201</v>
      </c>
      <c r="N216" s="17" t="s">
        <v>789</v>
      </c>
      <c r="P216" s="14" t="str">
        <f t="shared" si="13"/>
        <v>3100000</v>
      </c>
    </row>
    <row r="217" spans="1:16" ht="19.149999999999999" customHeight="1">
      <c r="A217" s="15">
        <v>30</v>
      </c>
      <c r="B217" s="13">
        <v>1</v>
      </c>
      <c r="C217" s="13">
        <v>447</v>
      </c>
      <c r="D217" s="13">
        <v>300010447</v>
      </c>
      <c r="E217" s="49" t="s">
        <v>826</v>
      </c>
      <c r="F217" s="49"/>
      <c r="G217" s="49"/>
      <c r="H217" s="13" t="s">
        <v>694</v>
      </c>
      <c r="I217" s="48" t="s">
        <v>778</v>
      </c>
      <c r="J217" s="13">
        <v>17</v>
      </c>
      <c r="K217" s="14"/>
      <c r="L217" s="14"/>
      <c r="M217" s="14" t="str">
        <f t="shared" si="12"/>
        <v>0000</v>
      </c>
      <c r="N217" s="16" t="s">
        <v>826</v>
      </c>
      <c r="O217" s="16"/>
      <c r="P217" s="14" t="str">
        <f t="shared" si="13"/>
        <v>3400000</v>
      </c>
    </row>
    <row r="218" spans="1:16" ht="19.149999999999999" customHeight="1">
      <c r="A218" s="8">
        <v>43</v>
      </c>
      <c r="B218" s="9">
        <v>1</v>
      </c>
      <c r="C218" s="9">
        <v>555</v>
      </c>
      <c r="D218" s="9">
        <v>430010555</v>
      </c>
      <c r="E218" s="37" t="s">
        <v>791</v>
      </c>
      <c r="H218" s="9" t="s">
        <v>214</v>
      </c>
      <c r="I218" s="39" t="s">
        <v>773</v>
      </c>
      <c r="J218" s="9">
        <v>2.5</v>
      </c>
      <c r="K218" s="14">
        <v>3</v>
      </c>
      <c r="L218" s="14">
        <v>5</v>
      </c>
      <c r="M218" s="14" t="str">
        <f t="shared" si="12"/>
        <v>0305</v>
      </c>
      <c r="N218" s="17" t="s">
        <v>791</v>
      </c>
      <c r="P218" s="14" t="str">
        <f t="shared" si="13"/>
        <v>3700000</v>
      </c>
    </row>
    <row r="219" spans="1:16" ht="19.149999999999999" customHeight="1">
      <c r="A219" s="15">
        <v>34</v>
      </c>
      <c r="B219" s="13">
        <v>1</v>
      </c>
      <c r="C219" s="13">
        <v>1</v>
      </c>
      <c r="D219" s="13">
        <v>340010001</v>
      </c>
      <c r="E219" s="37" t="s">
        <v>791</v>
      </c>
      <c r="H219" s="9" t="s">
        <v>215</v>
      </c>
      <c r="I219" s="39" t="s">
        <v>773</v>
      </c>
      <c r="J219" s="9">
        <v>20</v>
      </c>
      <c r="K219" s="14">
        <v>3</v>
      </c>
      <c r="L219" s="14">
        <v>5</v>
      </c>
      <c r="M219" s="14" t="str">
        <f t="shared" si="12"/>
        <v>0305</v>
      </c>
      <c r="N219" s="17" t="s">
        <v>791</v>
      </c>
      <c r="P219" s="14" t="str">
        <f t="shared" si="13"/>
        <v>3700000</v>
      </c>
    </row>
    <row r="220" spans="1:16" ht="19.149999999999999" customHeight="1">
      <c r="A220" s="8">
        <v>39</v>
      </c>
      <c r="B220" s="9">
        <v>1</v>
      </c>
      <c r="C220" s="9">
        <v>541</v>
      </c>
      <c r="D220" s="9">
        <v>390010541</v>
      </c>
      <c r="E220" s="37" t="s">
        <v>791</v>
      </c>
      <c r="H220" s="9" t="s">
        <v>290</v>
      </c>
      <c r="I220" s="39" t="s">
        <v>773</v>
      </c>
      <c r="J220" s="9">
        <v>50</v>
      </c>
      <c r="K220" s="14">
        <v>3</v>
      </c>
      <c r="L220" s="14">
        <v>7</v>
      </c>
      <c r="M220" s="14" t="str">
        <f t="shared" si="12"/>
        <v>0307</v>
      </c>
      <c r="N220" s="17" t="s">
        <v>791</v>
      </c>
      <c r="P220" s="14" t="str">
        <f t="shared" si="13"/>
        <v>3700000</v>
      </c>
    </row>
    <row r="221" spans="1:16" ht="19.149999999999999" customHeight="1">
      <c r="A221" s="8">
        <v>39</v>
      </c>
      <c r="B221" s="9">
        <v>1</v>
      </c>
      <c r="C221" s="9">
        <v>540</v>
      </c>
      <c r="D221" s="9">
        <v>390010540</v>
      </c>
      <c r="E221" s="37" t="s">
        <v>791</v>
      </c>
      <c r="H221" s="9" t="s">
        <v>26</v>
      </c>
      <c r="I221" s="39" t="s">
        <v>773</v>
      </c>
      <c r="J221" s="9">
        <v>48</v>
      </c>
      <c r="K221" s="14">
        <v>2</v>
      </c>
      <c r="L221" s="14">
        <v>2</v>
      </c>
      <c r="M221" s="14" t="str">
        <f t="shared" si="12"/>
        <v>0202</v>
      </c>
      <c r="N221" s="17" t="s">
        <v>791</v>
      </c>
      <c r="P221" s="14" t="str">
        <f t="shared" si="13"/>
        <v>3700000</v>
      </c>
    </row>
    <row r="222" spans="1:16" ht="19.149999999999999" customHeight="1">
      <c r="A222" s="8">
        <v>24</v>
      </c>
      <c r="B222" s="9">
        <v>1</v>
      </c>
      <c r="C222" s="9">
        <v>339</v>
      </c>
      <c r="D222" s="9">
        <v>240010339</v>
      </c>
      <c r="E222" s="37" t="s">
        <v>791</v>
      </c>
      <c r="H222" s="9" t="s">
        <v>130</v>
      </c>
      <c r="I222" s="39" t="s">
        <v>773</v>
      </c>
      <c r="J222" s="9">
        <v>7</v>
      </c>
      <c r="K222" s="14">
        <v>3</v>
      </c>
      <c r="L222" s="14">
        <v>4</v>
      </c>
      <c r="M222" s="14" t="str">
        <f t="shared" si="12"/>
        <v>0304</v>
      </c>
      <c r="N222" s="17" t="s">
        <v>791</v>
      </c>
      <c r="P222" s="14" t="str">
        <f t="shared" si="13"/>
        <v>3700000</v>
      </c>
    </row>
    <row r="223" spans="1:16" ht="19.149999999999999" customHeight="1">
      <c r="A223" s="8">
        <v>65</v>
      </c>
      <c r="B223" s="9">
        <v>1</v>
      </c>
      <c r="C223" s="9">
        <v>679</v>
      </c>
      <c r="D223" s="9">
        <v>650010679</v>
      </c>
      <c r="E223" s="37" t="s">
        <v>791</v>
      </c>
      <c r="H223" s="9" t="s">
        <v>131</v>
      </c>
      <c r="I223" s="39" t="s">
        <v>773</v>
      </c>
      <c r="J223" s="9">
        <v>3.5</v>
      </c>
      <c r="K223" s="14">
        <v>3</v>
      </c>
      <c r="L223" s="14">
        <v>4</v>
      </c>
      <c r="M223" s="14" t="str">
        <f t="shared" si="12"/>
        <v>0304</v>
      </c>
      <c r="N223" s="17" t="s">
        <v>791</v>
      </c>
      <c r="P223" s="14" t="str">
        <f t="shared" si="13"/>
        <v>3700000</v>
      </c>
    </row>
    <row r="224" spans="1:16" ht="19.149999999999999" customHeight="1">
      <c r="A224" s="8">
        <v>54</v>
      </c>
      <c r="B224" s="9">
        <v>1</v>
      </c>
      <c r="C224" s="9">
        <v>605</v>
      </c>
      <c r="D224" s="9">
        <v>540010605</v>
      </c>
      <c r="E224" s="37" t="s">
        <v>791</v>
      </c>
      <c r="H224" s="9" t="s">
        <v>132</v>
      </c>
      <c r="I224" s="39" t="s">
        <v>773</v>
      </c>
      <c r="J224" s="9">
        <v>5</v>
      </c>
      <c r="K224" s="14">
        <v>3</v>
      </c>
      <c r="L224" s="14">
        <v>4</v>
      </c>
      <c r="M224" s="14" t="str">
        <f t="shared" si="12"/>
        <v>0304</v>
      </c>
      <c r="N224" s="17" t="s">
        <v>791</v>
      </c>
      <c r="P224" s="14" t="str">
        <f t="shared" si="13"/>
        <v>3700000</v>
      </c>
    </row>
    <row r="225" spans="1:16" ht="19.149999999999999" customHeight="1">
      <c r="A225" s="8">
        <v>54</v>
      </c>
      <c r="B225" s="9">
        <v>1</v>
      </c>
      <c r="C225" s="9">
        <v>606</v>
      </c>
      <c r="D225" s="9">
        <v>540010606</v>
      </c>
      <c r="E225" s="37" t="s">
        <v>791</v>
      </c>
      <c r="H225" s="9" t="s">
        <v>133</v>
      </c>
      <c r="I225" s="39" t="s">
        <v>773</v>
      </c>
      <c r="J225" s="9">
        <v>14</v>
      </c>
      <c r="K225" s="14">
        <v>3</v>
      </c>
      <c r="L225" s="14">
        <v>4</v>
      </c>
      <c r="M225" s="14" t="str">
        <f t="shared" si="12"/>
        <v>0304</v>
      </c>
      <c r="N225" s="17" t="s">
        <v>791</v>
      </c>
      <c r="P225" s="14" t="str">
        <f t="shared" si="13"/>
        <v>3700000</v>
      </c>
    </row>
    <row r="226" spans="1:16" ht="19.149999999999999" customHeight="1">
      <c r="A226" s="8">
        <v>65</v>
      </c>
      <c r="B226" s="9">
        <v>1</v>
      </c>
      <c r="C226" s="9">
        <v>684</v>
      </c>
      <c r="D226" s="9">
        <v>650010684</v>
      </c>
      <c r="E226" s="37" t="s">
        <v>791</v>
      </c>
      <c r="H226" s="9" t="s">
        <v>135</v>
      </c>
      <c r="I226" s="39" t="s">
        <v>773</v>
      </c>
      <c r="J226" s="9">
        <v>15.9</v>
      </c>
      <c r="K226" s="14">
        <v>3</v>
      </c>
      <c r="L226" s="14">
        <v>4</v>
      </c>
      <c r="M226" s="14" t="str">
        <f t="shared" si="12"/>
        <v>0304</v>
      </c>
      <c r="N226" s="17" t="s">
        <v>791</v>
      </c>
      <c r="P226" s="14" t="str">
        <f t="shared" si="13"/>
        <v>3700000</v>
      </c>
    </row>
    <row r="227" spans="1:16" ht="19.149999999999999" customHeight="1">
      <c r="A227" s="8">
        <v>65</v>
      </c>
      <c r="B227" s="9">
        <v>1</v>
      </c>
      <c r="C227" s="9">
        <v>677</v>
      </c>
      <c r="D227" s="9">
        <v>650010677</v>
      </c>
      <c r="E227" s="37" t="s">
        <v>791</v>
      </c>
      <c r="H227" s="9" t="s">
        <v>136</v>
      </c>
      <c r="I227" s="39" t="s">
        <v>773</v>
      </c>
      <c r="J227" s="9">
        <v>23</v>
      </c>
      <c r="K227" s="14">
        <v>3</v>
      </c>
      <c r="L227" s="14">
        <v>4</v>
      </c>
      <c r="M227" s="14" t="str">
        <f t="shared" si="12"/>
        <v>0304</v>
      </c>
      <c r="N227" s="17" t="s">
        <v>791</v>
      </c>
      <c r="P227" s="14" t="str">
        <f t="shared" si="13"/>
        <v>3700000</v>
      </c>
    </row>
    <row r="228" spans="1:16" ht="19.149999999999999" customHeight="1">
      <c r="A228" s="8">
        <v>65</v>
      </c>
      <c r="B228" s="9">
        <v>1</v>
      </c>
      <c r="C228" s="9">
        <v>676</v>
      </c>
      <c r="D228" s="9">
        <v>650010676</v>
      </c>
      <c r="E228" s="37" t="s">
        <v>791</v>
      </c>
      <c r="H228" s="9" t="s">
        <v>137</v>
      </c>
      <c r="I228" s="39" t="s">
        <v>773</v>
      </c>
      <c r="J228" s="9">
        <v>10.9</v>
      </c>
      <c r="K228" s="14">
        <v>3</v>
      </c>
      <c r="L228" s="14">
        <v>4</v>
      </c>
      <c r="M228" s="14" t="str">
        <f t="shared" si="12"/>
        <v>0304</v>
      </c>
      <c r="N228" s="17" t="s">
        <v>791</v>
      </c>
      <c r="P228" s="14" t="str">
        <f t="shared" si="13"/>
        <v>3700000</v>
      </c>
    </row>
    <row r="229" spans="1:16" ht="19.149999999999999" customHeight="1">
      <c r="A229" s="8">
        <v>65</v>
      </c>
      <c r="B229" s="9">
        <v>1</v>
      </c>
      <c r="C229" s="9">
        <v>678</v>
      </c>
      <c r="D229" s="9">
        <v>650010678</v>
      </c>
      <c r="E229" s="37" t="s">
        <v>791</v>
      </c>
      <c r="H229" s="9" t="s">
        <v>138</v>
      </c>
      <c r="I229" s="39" t="s">
        <v>773</v>
      </c>
      <c r="J229" s="9">
        <v>11.5</v>
      </c>
      <c r="K229" s="14">
        <v>3</v>
      </c>
      <c r="L229" s="14">
        <v>4</v>
      </c>
      <c r="M229" s="14" t="str">
        <f t="shared" si="12"/>
        <v>0304</v>
      </c>
      <c r="N229" s="17" t="s">
        <v>791</v>
      </c>
      <c r="P229" s="14" t="str">
        <f t="shared" si="13"/>
        <v>3700000</v>
      </c>
    </row>
    <row r="230" spans="1:16" ht="19.149999999999999" customHeight="1">
      <c r="A230" s="8">
        <v>65</v>
      </c>
      <c r="B230" s="9">
        <v>1</v>
      </c>
      <c r="C230" s="9">
        <v>709</v>
      </c>
      <c r="D230" s="9">
        <v>650010709</v>
      </c>
      <c r="E230" s="37" t="s">
        <v>791</v>
      </c>
      <c r="H230" s="9" t="s">
        <v>139</v>
      </c>
      <c r="I230" s="39" t="s">
        <v>773</v>
      </c>
      <c r="J230" s="9">
        <v>3.4</v>
      </c>
      <c r="K230" s="14">
        <v>3</v>
      </c>
      <c r="L230" s="14">
        <v>4</v>
      </c>
      <c r="M230" s="14" t="str">
        <f t="shared" si="12"/>
        <v>0304</v>
      </c>
      <c r="N230" s="17" t="s">
        <v>791</v>
      </c>
      <c r="P230" s="14" t="str">
        <f t="shared" si="13"/>
        <v>3700000</v>
      </c>
    </row>
    <row r="231" spans="1:16" ht="19.149999999999999" customHeight="1">
      <c r="A231" s="8">
        <v>12</v>
      </c>
      <c r="B231" s="9">
        <v>1</v>
      </c>
      <c r="C231" s="9">
        <v>272</v>
      </c>
      <c r="D231" s="9">
        <v>120010272</v>
      </c>
      <c r="E231" s="37" t="s">
        <v>791</v>
      </c>
      <c r="H231" s="9" t="s">
        <v>213</v>
      </c>
      <c r="I231" s="39" t="s">
        <v>773</v>
      </c>
      <c r="J231" s="9">
        <v>18</v>
      </c>
      <c r="K231" s="14">
        <v>3</v>
      </c>
      <c r="L231" s="14">
        <v>5</v>
      </c>
      <c r="M231" s="14" t="str">
        <f t="shared" si="12"/>
        <v>0305</v>
      </c>
      <c r="N231" s="17" t="s">
        <v>791</v>
      </c>
      <c r="P231" s="14" t="str">
        <f t="shared" si="13"/>
        <v>3700000</v>
      </c>
    </row>
    <row r="232" spans="1:16" ht="19.149999999999999" customHeight="1">
      <c r="A232" s="8">
        <v>43</v>
      </c>
      <c r="B232" s="9">
        <v>1</v>
      </c>
      <c r="C232" s="9">
        <v>557</v>
      </c>
      <c r="D232" s="9">
        <v>430010557</v>
      </c>
      <c r="E232" s="37" t="s">
        <v>791</v>
      </c>
      <c r="H232" s="9" t="s">
        <v>140</v>
      </c>
      <c r="I232" s="39" t="s">
        <v>773</v>
      </c>
      <c r="J232" s="9">
        <v>25</v>
      </c>
      <c r="K232" s="14">
        <v>3</v>
      </c>
      <c r="L232" s="14">
        <v>4</v>
      </c>
      <c r="M232" s="14" t="str">
        <f t="shared" si="12"/>
        <v>0304</v>
      </c>
      <c r="N232" s="17" t="s">
        <v>791</v>
      </c>
      <c r="P232" s="14" t="str">
        <f t="shared" si="13"/>
        <v>3700000</v>
      </c>
    </row>
    <row r="233" spans="1:16" ht="19.149999999999999" customHeight="1">
      <c r="A233" s="8">
        <v>30</v>
      </c>
      <c r="B233" s="9">
        <v>1</v>
      </c>
      <c r="C233" s="9">
        <v>410</v>
      </c>
      <c r="D233" s="9">
        <v>300010410</v>
      </c>
      <c r="E233" s="37" t="s">
        <v>791</v>
      </c>
      <c r="H233" s="9" t="s">
        <v>141</v>
      </c>
      <c r="I233" s="39" t="s">
        <v>773</v>
      </c>
      <c r="J233" s="9">
        <v>15</v>
      </c>
      <c r="K233" s="14">
        <v>3</v>
      </c>
      <c r="L233" s="14">
        <v>4</v>
      </c>
      <c r="M233" s="14" t="str">
        <f t="shared" si="12"/>
        <v>0304</v>
      </c>
      <c r="N233" s="17" t="s">
        <v>791</v>
      </c>
      <c r="P233" s="14" t="str">
        <f t="shared" si="13"/>
        <v>3700000</v>
      </c>
    </row>
    <row r="234" spans="1:16" ht="19.149999999999999" customHeight="1">
      <c r="A234" s="8">
        <v>30</v>
      </c>
      <c r="B234" s="9">
        <v>1</v>
      </c>
      <c r="C234" s="9">
        <v>411</v>
      </c>
      <c r="D234" s="9">
        <v>300010411</v>
      </c>
      <c r="E234" s="37" t="s">
        <v>791</v>
      </c>
      <c r="H234" s="9" t="s">
        <v>142</v>
      </c>
      <c r="I234" s="39" t="s">
        <v>773</v>
      </c>
      <c r="J234" s="9">
        <v>45</v>
      </c>
      <c r="K234" s="14">
        <v>3</v>
      </c>
      <c r="L234" s="14">
        <v>4</v>
      </c>
      <c r="M234" s="14" t="str">
        <f t="shared" ref="M234:M297" si="14">TEXT(K234,"00")&amp;TEXT(L234,"00")</f>
        <v>0304</v>
      </c>
      <c r="N234" s="17" t="s">
        <v>791</v>
      </c>
      <c r="P234" s="14" t="str">
        <f t="shared" ref="P234:P297" si="15">TEXT(E234,"00")&amp;TEXT(F234,"00")&amp;TEXT(G234,"000")</f>
        <v>3700000</v>
      </c>
    </row>
    <row r="235" spans="1:16" ht="19.149999999999999" customHeight="1">
      <c r="A235" s="8">
        <v>30</v>
      </c>
      <c r="B235" s="9">
        <v>1</v>
      </c>
      <c r="C235" s="9">
        <v>409</v>
      </c>
      <c r="D235" s="9">
        <v>300010409</v>
      </c>
      <c r="E235" s="37" t="s">
        <v>791</v>
      </c>
      <c r="H235" s="9" t="s">
        <v>143</v>
      </c>
      <c r="I235" s="39" t="s">
        <v>773</v>
      </c>
      <c r="J235" s="9">
        <v>10.199999999999999</v>
      </c>
      <c r="K235" s="14">
        <v>3</v>
      </c>
      <c r="L235" s="14">
        <v>4</v>
      </c>
      <c r="M235" s="14" t="str">
        <f t="shared" si="14"/>
        <v>0304</v>
      </c>
      <c r="N235" s="17" t="s">
        <v>791</v>
      </c>
      <c r="P235" s="14" t="str">
        <f t="shared" si="15"/>
        <v>3700000</v>
      </c>
    </row>
    <row r="236" spans="1:16" ht="19.149999999999999" customHeight="1">
      <c r="A236" s="8">
        <v>30</v>
      </c>
      <c r="B236" s="9">
        <v>1</v>
      </c>
      <c r="C236" s="9">
        <v>10</v>
      </c>
      <c r="D236" s="9">
        <v>300010010</v>
      </c>
      <c r="E236" s="37" t="s">
        <v>791</v>
      </c>
      <c r="H236" s="9" t="s">
        <v>144</v>
      </c>
      <c r="I236" s="39" t="s">
        <v>773</v>
      </c>
      <c r="J236" s="9">
        <v>130</v>
      </c>
      <c r="K236" s="14">
        <v>3</v>
      </c>
      <c r="L236" s="14">
        <v>4</v>
      </c>
      <c r="M236" s="14" t="str">
        <f t="shared" si="14"/>
        <v>0304</v>
      </c>
      <c r="N236" s="17" t="s">
        <v>791</v>
      </c>
      <c r="P236" s="14" t="str">
        <f t="shared" si="15"/>
        <v>3700000</v>
      </c>
    </row>
    <row r="237" spans="1:16" ht="19.149999999999999" customHeight="1">
      <c r="A237" s="8">
        <v>39</v>
      </c>
      <c r="B237" s="9">
        <v>1</v>
      </c>
      <c r="C237" s="9">
        <v>547</v>
      </c>
      <c r="D237" s="9">
        <v>390010547</v>
      </c>
      <c r="E237" s="37" t="s">
        <v>791</v>
      </c>
      <c r="H237" s="9" t="s">
        <v>405</v>
      </c>
      <c r="I237" s="39" t="s">
        <v>773</v>
      </c>
      <c r="J237" s="9">
        <v>9</v>
      </c>
      <c r="K237" s="14">
        <v>4</v>
      </c>
      <c r="L237" s="14">
        <v>1</v>
      </c>
      <c r="M237" s="14" t="str">
        <f t="shared" si="14"/>
        <v>0401</v>
      </c>
      <c r="N237" s="17" t="s">
        <v>791</v>
      </c>
      <c r="P237" s="14" t="str">
        <f t="shared" si="15"/>
        <v>3700000</v>
      </c>
    </row>
    <row r="238" spans="1:16" ht="19.149999999999999" customHeight="1">
      <c r="A238" s="8">
        <v>30</v>
      </c>
      <c r="B238" s="9">
        <v>1</v>
      </c>
      <c r="C238" s="9">
        <v>413</v>
      </c>
      <c r="D238" s="9">
        <v>300010413</v>
      </c>
      <c r="E238" s="37" t="s">
        <v>791</v>
      </c>
      <c r="H238" s="9" t="s">
        <v>146</v>
      </c>
      <c r="I238" s="39" t="s">
        <v>773</v>
      </c>
      <c r="J238" s="9">
        <v>8</v>
      </c>
      <c r="K238" s="14">
        <v>3</v>
      </c>
      <c r="L238" s="14">
        <v>4</v>
      </c>
      <c r="M238" s="14" t="str">
        <f t="shared" si="14"/>
        <v>0304</v>
      </c>
      <c r="N238" s="17" t="s">
        <v>791</v>
      </c>
      <c r="P238" s="14" t="str">
        <f t="shared" si="15"/>
        <v>3700000</v>
      </c>
    </row>
    <row r="239" spans="1:16" ht="19.149999999999999" customHeight="1">
      <c r="A239" s="8">
        <v>30</v>
      </c>
      <c r="B239" s="9">
        <v>1</v>
      </c>
      <c r="C239" s="9">
        <v>412</v>
      </c>
      <c r="D239" s="9">
        <v>300010412</v>
      </c>
      <c r="E239" s="37" t="s">
        <v>791</v>
      </c>
      <c r="H239" s="9" t="s">
        <v>147</v>
      </c>
      <c r="I239" s="39" t="s">
        <v>773</v>
      </c>
      <c r="J239" s="9">
        <v>5</v>
      </c>
      <c r="K239" s="14">
        <v>3</v>
      </c>
      <c r="L239" s="14">
        <v>4</v>
      </c>
      <c r="M239" s="14" t="str">
        <f t="shared" si="14"/>
        <v>0304</v>
      </c>
      <c r="N239" s="17" t="s">
        <v>791</v>
      </c>
      <c r="P239" s="14" t="str">
        <f t="shared" si="15"/>
        <v>3700000</v>
      </c>
    </row>
    <row r="240" spans="1:16" ht="19.149999999999999" customHeight="1">
      <c r="A240" s="8">
        <v>30</v>
      </c>
      <c r="B240" s="9">
        <v>1</v>
      </c>
      <c r="C240" s="9">
        <v>414</v>
      </c>
      <c r="D240" s="9">
        <v>300010414</v>
      </c>
      <c r="E240" s="37" t="s">
        <v>791</v>
      </c>
      <c r="H240" s="9" t="s">
        <v>148</v>
      </c>
      <c r="I240" s="39" t="s">
        <v>773</v>
      </c>
      <c r="J240" s="9">
        <v>13</v>
      </c>
      <c r="K240" s="14">
        <v>3</v>
      </c>
      <c r="L240" s="14">
        <v>4</v>
      </c>
      <c r="M240" s="14" t="str">
        <f t="shared" si="14"/>
        <v>0304</v>
      </c>
      <c r="N240" s="17" t="s">
        <v>791</v>
      </c>
      <c r="P240" s="14" t="str">
        <f t="shared" si="15"/>
        <v>3700000</v>
      </c>
    </row>
    <row r="241" spans="1:16" ht="19.149999999999999" customHeight="1">
      <c r="A241" s="8">
        <v>52</v>
      </c>
      <c r="B241" s="9">
        <v>1</v>
      </c>
      <c r="C241" s="9">
        <v>571</v>
      </c>
      <c r="D241" s="9">
        <v>520010571</v>
      </c>
      <c r="E241" s="37" t="s">
        <v>791</v>
      </c>
      <c r="H241" s="9" t="s">
        <v>149</v>
      </c>
      <c r="I241" s="39" t="s">
        <v>773</v>
      </c>
      <c r="J241" s="9">
        <v>28</v>
      </c>
      <c r="K241" s="14">
        <v>3</v>
      </c>
      <c r="L241" s="14">
        <v>4</v>
      </c>
      <c r="M241" s="14" t="str">
        <f t="shared" si="14"/>
        <v>0304</v>
      </c>
      <c r="N241" s="17" t="s">
        <v>791</v>
      </c>
      <c r="P241" s="14" t="str">
        <f t="shared" si="15"/>
        <v>3700000</v>
      </c>
    </row>
    <row r="242" spans="1:16" ht="19.149999999999999" customHeight="1">
      <c r="A242" s="8">
        <v>52</v>
      </c>
      <c r="B242" s="9">
        <v>1</v>
      </c>
      <c r="C242" s="9">
        <v>572</v>
      </c>
      <c r="D242" s="9">
        <v>520010572</v>
      </c>
      <c r="E242" s="37" t="s">
        <v>791</v>
      </c>
      <c r="H242" s="9" t="s">
        <v>150</v>
      </c>
      <c r="I242" s="39" t="s">
        <v>773</v>
      </c>
      <c r="J242" s="9">
        <v>18</v>
      </c>
      <c r="K242" s="14">
        <v>3</v>
      </c>
      <c r="L242" s="14">
        <v>4</v>
      </c>
      <c r="M242" s="14" t="str">
        <f t="shared" si="14"/>
        <v>0304</v>
      </c>
      <c r="N242" s="17" t="s">
        <v>791</v>
      </c>
      <c r="P242" s="14" t="str">
        <f t="shared" si="15"/>
        <v>3700000</v>
      </c>
    </row>
    <row r="243" spans="1:16" ht="19.149999999999999" customHeight="1">
      <c r="A243" s="8">
        <v>52</v>
      </c>
      <c r="B243" s="9">
        <v>1</v>
      </c>
      <c r="C243" s="9">
        <v>570</v>
      </c>
      <c r="D243" s="9">
        <v>520010570</v>
      </c>
      <c r="E243" s="37" t="s">
        <v>791</v>
      </c>
      <c r="H243" s="9" t="s">
        <v>407</v>
      </c>
      <c r="I243" s="39" t="s">
        <v>775</v>
      </c>
      <c r="J243" s="9">
        <v>28</v>
      </c>
      <c r="K243" s="14">
        <v>4</v>
      </c>
      <c r="L243" s="14">
        <v>1</v>
      </c>
      <c r="M243" s="14" t="str">
        <f t="shared" si="14"/>
        <v>0401</v>
      </c>
      <c r="N243" s="17" t="s">
        <v>791</v>
      </c>
      <c r="P243" s="14" t="str">
        <f t="shared" si="15"/>
        <v>3700000</v>
      </c>
    </row>
    <row r="244" spans="1:16" ht="19.149999999999999" customHeight="1">
      <c r="A244" s="8">
        <v>65</v>
      </c>
      <c r="B244" s="9">
        <v>1</v>
      </c>
      <c r="C244" s="9">
        <v>706</v>
      </c>
      <c r="D244" s="9">
        <v>650010706</v>
      </c>
      <c r="E244" s="41">
        <v>37</v>
      </c>
      <c r="F244" s="41"/>
      <c r="G244" s="41"/>
      <c r="H244" s="9" t="s">
        <v>683</v>
      </c>
      <c r="I244" s="39" t="s">
        <v>773</v>
      </c>
      <c r="J244" s="9">
        <v>75</v>
      </c>
      <c r="K244" s="14">
        <v>7</v>
      </c>
      <c r="L244" s="14">
        <v>3</v>
      </c>
      <c r="M244" s="14" t="str">
        <f t="shared" si="14"/>
        <v>0703</v>
      </c>
      <c r="N244" s="19">
        <v>37</v>
      </c>
      <c r="O244" s="19"/>
      <c r="P244" s="14" t="str">
        <f t="shared" si="15"/>
        <v>3700000</v>
      </c>
    </row>
    <row r="245" spans="1:16" ht="19.149999999999999" customHeight="1">
      <c r="A245" s="8">
        <v>65</v>
      </c>
      <c r="B245" s="9">
        <v>1</v>
      </c>
      <c r="C245" s="9">
        <v>675</v>
      </c>
      <c r="D245" s="9">
        <v>650010675</v>
      </c>
      <c r="E245" s="37" t="s">
        <v>791</v>
      </c>
      <c r="H245" s="9" t="s">
        <v>27</v>
      </c>
      <c r="I245" s="39" t="s">
        <v>773</v>
      </c>
      <c r="J245" s="9">
        <v>50</v>
      </c>
      <c r="K245" s="14">
        <v>2</v>
      </c>
      <c r="L245" s="14">
        <v>2</v>
      </c>
      <c r="M245" s="14" t="str">
        <f t="shared" si="14"/>
        <v>0202</v>
      </c>
      <c r="N245" s="17" t="s">
        <v>791</v>
      </c>
      <c r="P245" s="14" t="str">
        <f t="shared" si="15"/>
        <v>3700000</v>
      </c>
    </row>
    <row r="246" spans="1:16" ht="19.149999999999999" customHeight="1">
      <c r="A246" s="8">
        <v>65</v>
      </c>
      <c r="B246" s="9">
        <v>1</v>
      </c>
      <c r="C246" s="9">
        <v>689</v>
      </c>
      <c r="D246" s="9">
        <v>650010689</v>
      </c>
      <c r="E246" s="41" t="s">
        <v>791</v>
      </c>
      <c r="F246" s="41"/>
      <c r="G246" s="41"/>
      <c r="H246" s="9" t="s">
        <v>629</v>
      </c>
      <c r="I246" s="39" t="s">
        <v>773</v>
      </c>
      <c r="J246" s="9">
        <v>5</v>
      </c>
      <c r="K246" s="14">
        <v>7</v>
      </c>
      <c r="L246" s="14">
        <v>3</v>
      </c>
      <c r="M246" s="14" t="str">
        <f t="shared" si="14"/>
        <v>0703</v>
      </c>
      <c r="N246" s="19" t="s">
        <v>791</v>
      </c>
      <c r="O246" s="19"/>
      <c r="P246" s="14" t="str">
        <f t="shared" si="15"/>
        <v>3700000</v>
      </c>
    </row>
    <row r="247" spans="1:16" ht="19.149999999999999" customHeight="1">
      <c r="A247" s="8">
        <v>65</v>
      </c>
      <c r="B247" s="9">
        <v>1</v>
      </c>
      <c r="C247" s="9">
        <v>704</v>
      </c>
      <c r="D247" s="9">
        <v>650010704</v>
      </c>
      <c r="E247" s="37" t="s">
        <v>791</v>
      </c>
      <c r="H247" s="9" t="s">
        <v>151</v>
      </c>
      <c r="I247" s="39" t="s">
        <v>773</v>
      </c>
      <c r="J247" s="9">
        <v>18</v>
      </c>
      <c r="K247" s="14">
        <v>3</v>
      </c>
      <c r="L247" s="14">
        <v>4</v>
      </c>
      <c r="M247" s="14" t="str">
        <f t="shared" si="14"/>
        <v>0304</v>
      </c>
      <c r="N247" s="17" t="s">
        <v>791</v>
      </c>
      <c r="P247" s="14" t="str">
        <f t="shared" si="15"/>
        <v>3700000</v>
      </c>
    </row>
    <row r="248" spans="1:16" ht="19.149999999999999" customHeight="1">
      <c r="A248" s="8">
        <v>65</v>
      </c>
      <c r="B248" s="9">
        <v>1</v>
      </c>
      <c r="C248" s="9">
        <v>705</v>
      </c>
      <c r="D248" s="9">
        <v>650010705</v>
      </c>
      <c r="E248" s="41">
        <v>37</v>
      </c>
      <c r="F248" s="41"/>
      <c r="G248" s="41"/>
      <c r="H248" s="9" t="s">
        <v>710</v>
      </c>
      <c r="I248" s="39" t="s">
        <v>773</v>
      </c>
      <c r="J248" s="9">
        <v>100</v>
      </c>
      <c r="K248" s="14"/>
      <c r="L248" s="14"/>
      <c r="M248" s="14" t="str">
        <f t="shared" si="14"/>
        <v>0000</v>
      </c>
      <c r="N248" s="19">
        <v>37</v>
      </c>
      <c r="O248" s="19"/>
      <c r="P248" s="14" t="str">
        <f t="shared" si="15"/>
        <v>3700000</v>
      </c>
    </row>
    <row r="249" spans="1:16" ht="19.149999999999999" customHeight="1">
      <c r="A249" s="8">
        <v>65</v>
      </c>
      <c r="B249" s="9">
        <v>1</v>
      </c>
      <c r="C249" s="9">
        <v>698</v>
      </c>
      <c r="D249" s="9">
        <v>650010698</v>
      </c>
      <c r="E249" s="37" t="s">
        <v>791</v>
      </c>
      <c r="H249" s="9" t="s">
        <v>154</v>
      </c>
      <c r="I249" s="39" t="s">
        <v>773</v>
      </c>
      <c r="J249" s="9">
        <v>20</v>
      </c>
      <c r="K249" s="14">
        <v>3</v>
      </c>
      <c r="L249" s="14">
        <v>4</v>
      </c>
      <c r="M249" s="14" t="str">
        <f t="shared" si="14"/>
        <v>0304</v>
      </c>
      <c r="N249" s="17" t="s">
        <v>791</v>
      </c>
      <c r="P249" s="14" t="str">
        <f t="shared" si="15"/>
        <v>3700000</v>
      </c>
    </row>
    <row r="250" spans="1:16" ht="19.149999999999999" customHeight="1">
      <c r="A250" s="8">
        <v>12</v>
      </c>
      <c r="B250" s="9">
        <v>1</v>
      </c>
      <c r="C250" s="9">
        <v>282</v>
      </c>
      <c r="D250" s="9">
        <v>120010282</v>
      </c>
      <c r="E250" s="37" t="s">
        <v>791</v>
      </c>
      <c r="H250" s="9" t="s">
        <v>155</v>
      </c>
      <c r="I250" s="39" t="s">
        <v>773</v>
      </c>
      <c r="J250" s="9">
        <v>7</v>
      </c>
      <c r="K250" s="14">
        <v>3</v>
      </c>
      <c r="L250" s="14">
        <v>4</v>
      </c>
      <c r="M250" s="14" t="str">
        <f t="shared" si="14"/>
        <v>0304</v>
      </c>
      <c r="N250" s="17" t="s">
        <v>791</v>
      </c>
      <c r="P250" s="14" t="str">
        <f t="shared" si="15"/>
        <v>3700000</v>
      </c>
    </row>
    <row r="251" spans="1:16" ht="19.149999999999999" customHeight="1">
      <c r="A251" s="8">
        <v>65</v>
      </c>
      <c r="B251" s="9">
        <v>1</v>
      </c>
      <c r="C251" s="9">
        <v>699</v>
      </c>
      <c r="D251" s="9">
        <v>650010699</v>
      </c>
      <c r="E251" s="37" t="s">
        <v>791</v>
      </c>
      <c r="H251" s="9" t="s">
        <v>156</v>
      </c>
      <c r="I251" s="39" t="s">
        <v>773</v>
      </c>
      <c r="J251" s="9">
        <v>19.8</v>
      </c>
      <c r="K251" s="14">
        <v>3</v>
      </c>
      <c r="L251" s="14">
        <v>4</v>
      </c>
      <c r="M251" s="14" t="str">
        <f t="shared" si="14"/>
        <v>0304</v>
      </c>
      <c r="N251" s="17" t="s">
        <v>791</v>
      </c>
      <c r="P251" s="14" t="str">
        <f t="shared" si="15"/>
        <v>3700000</v>
      </c>
    </row>
    <row r="252" spans="1:16" ht="19.149999999999999" customHeight="1">
      <c r="A252" s="8">
        <v>65</v>
      </c>
      <c r="B252" s="9">
        <v>1</v>
      </c>
      <c r="C252" s="9">
        <v>681</v>
      </c>
      <c r="D252" s="9">
        <v>650010681</v>
      </c>
      <c r="E252" s="37" t="s">
        <v>791</v>
      </c>
      <c r="H252" s="9" t="s">
        <v>157</v>
      </c>
      <c r="I252" s="39" t="s">
        <v>773</v>
      </c>
      <c r="J252" s="9">
        <v>92</v>
      </c>
      <c r="K252" s="14">
        <v>3</v>
      </c>
      <c r="L252" s="14">
        <v>4</v>
      </c>
      <c r="M252" s="14" t="str">
        <f t="shared" si="14"/>
        <v>0304</v>
      </c>
      <c r="N252" s="17" t="s">
        <v>791</v>
      </c>
      <c r="P252" s="14" t="str">
        <f t="shared" si="15"/>
        <v>3700000</v>
      </c>
    </row>
    <row r="253" spans="1:16" ht="19.149999999999999" customHeight="1">
      <c r="A253" s="8">
        <v>59</v>
      </c>
      <c r="B253" s="9">
        <v>1</v>
      </c>
      <c r="C253" s="9">
        <v>653</v>
      </c>
      <c r="D253" s="9">
        <v>590010653</v>
      </c>
      <c r="E253" s="37" t="s">
        <v>791</v>
      </c>
      <c r="H253" s="9" t="s">
        <v>158</v>
      </c>
      <c r="I253" s="39" t="s">
        <v>773</v>
      </c>
      <c r="J253" s="9">
        <v>8.48</v>
      </c>
      <c r="K253" s="14">
        <v>3</v>
      </c>
      <c r="L253" s="14">
        <v>4</v>
      </c>
      <c r="M253" s="14" t="str">
        <f t="shared" si="14"/>
        <v>0304</v>
      </c>
      <c r="N253" s="17" t="s">
        <v>791</v>
      </c>
      <c r="P253" s="14" t="str">
        <f t="shared" si="15"/>
        <v>3700000</v>
      </c>
    </row>
    <row r="254" spans="1:16" ht="19.149999999999999" customHeight="1">
      <c r="A254" s="8">
        <v>59</v>
      </c>
      <c r="B254" s="9">
        <v>1</v>
      </c>
      <c r="C254" s="9">
        <v>652</v>
      </c>
      <c r="D254" s="9">
        <v>590010652</v>
      </c>
      <c r="E254" s="37" t="s">
        <v>791</v>
      </c>
      <c r="H254" s="9" t="s">
        <v>159</v>
      </c>
      <c r="I254" s="39" t="s">
        <v>773</v>
      </c>
      <c r="J254" s="9">
        <v>7</v>
      </c>
      <c r="K254" s="14">
        <v>3</v>
      </c>
      <c r="L254" s="14">
        <v>4</v>
      </c>
      <c r="M254" s="14" t="str">
        <f t="shared" si="14"/>
        <v>0304</v>
      </c>
      <c r="N254" s="17" t="s">
        <v>791</v>
      </c>
      <c r="P254" s="14" t="str">
        <f t="shared" si="15"/>
        <v>3700000</v>
      </c>
    </row>
    <row r="255" spans="1:16" ht="19.149999999999999" customHeight="1">
      <c r="A255" s="8">
        <v>65</v>
      </c>
      <c r="B255" s="9">
        <v>1</v>
      </c>
      <c r="C255" s="9">
        <v>682</v>
      </c>
      <c r="D255" s="9">
        <v>650010682</v>
      </c>
      <c r="E255" s="37" t="s">
        <v>791</v>
      </c>
      <c r="H255" s="9" t="s">
        <v>160</v>
      </c>
      <c r="I255" s="39" t="s">
        <v>773</v>
      </c>
      <c r="J255" s="9">
        <v>65</v>
      </c>
      <c r="K255" s="14">
        <v>3</v>
      </c>
      <c r="L255" s="14">
        <v>4</v>
      </c>
      <c r="M255" s="14" t="str">
        <f t="shared" si="14"/>
        <v>0304</v>
      </c>
      <c r="N255" s="17" t="s">
        <v>791</v>
      </c>
      <c r="P255" s="14" t="str">
        <f t="shared" si="15"/>
        <v>3700000</v>
      </c>
    </row>
    <row r="256" spans="1:16" ht="19.149999999999999" customHeight="1">
      <c r="A256" s="8">
        <v>30</v>
      </c>
      <c r="B256" s="9">
        <v>1</v>
      </c>
      <c r="C256" s="9">
        <v>417</v>
      </c>
      <c r="D256" s="9">
        <v>300010417</v>
      </c>
      <c r="E256" s="37" t="s">
        <v>791</v>
      </c>
      <c r="H256" s="9" t="s">
        <v>161</v>
      </c>
      <c r="I256" s="39" t="s">
        <v>773</v>
      </c>
      <c r="J256" s="9">
        <v>85</v>
      </c>
      <c r="K256" s="14">
        <v>3</v>
      </c>
      <c r="L256" s="14">
        <v>4</v>
      </c>
      <c r="M256" s="14" t="str">
        <f t="shared" si="14"/>
        <v>0304</v>
      </c>
      <c r="N256" s="17" t="s">
        <v>791</v>
      </c>
      <c r="P256" s="14" t="str">
        <f t="shared" si="15"/>
        <v>3700000</v>
      </c>
    </row>
    <row r="257" spans="1:16" ht="19.149999999999999" customHeight="1">
      <c r="A257" s="8">
        <v>59</v>
      </c>
      <c r="B257" s="9">
        <v>1</v>
      </c>
      <c r="C257" s="9">
        <v>648</v>
      </c>
      <c r="D257" s="9">
        <v>590010648</v>
      </c>
      <c r="E257" s="37" t="s">
        <v>791</v>
      </c>
      <c r="H257" s="9" t="s">
        <v>74</v>
      </c>
      <c r="I257" s="39" t="s">
        <v>773</v>
      </c>
      <c r="J257" s="9">
        <v>25</v>
      </c>
      <c r="K257" s="14">
        <v>3</v>
      </c>
      <c r="L257" s="14">
        <v>2</v>
      </c>
      <c r="M257" s="14" t="str">
        <f t="shared" si="14"/>
        <v>0302</v>
      </c>
      <c r="N257" s="17" t="s">
        <v>791</v>
      </c>
      <c r="P257" s="14" t="str">
        <f t="shared" si="15"/>
        <v>3700000</v>
      </c>
    </row>
    <row r="258" spans="1:16" ht="19.149999999999999" customHeight="1">
      <c r="A258" s="8">
        <v>39</v>
      </c>
      <c r="B258" s="9">
        <v>1</v>
      </c>
      <c r="C258" s="9">
        <v>546</v>
      </c>
      <c r="D258" s="9">
        <v>390010546</v>
      </c>
      <c r="E258" s="37" t="s">
        <v>791</v>
      </c>
      <c r="H258" s="9" t="s">
        <v>162</v>
      </c>
      <c r="I258" s="39" t="s">
        <v>773</v>
      </c>
      <c r="J258" s="9">
        <v>18</v>
      </c>
      <c r="K258" s="14">
        <v>3</v>
      </c>
      <c r="L258" s="14">
        <v>4</v>
      </c>
      <c r="M258" s="14" t="str">
        <f t="shared" si="14"/>
        <v>0304</v>
      </c>
      <c r="N258" s="17" t="s">
        <v>791</v>
      </c>
      <c r="P258" s="14" t="str">
        <f t="shared" si="15"/>
        <v>3700000</v>
      </c>
    </row>
    <row r="259" spans="1:16" ht="19.149999999999999" customHeight="1">
      <c r="A259" s="8">
        <v>30</v>
      </c>
      <c r="B259" s="9">
        <v>1</v>
      </c>
      <c r="C259" s="9">
        <v>395</v>
      </c>
      <c r="D259" s="9">
        <v>300010395</v>
      </c>
      <c r="E259" s="41">
        <v>37</v>
      </c>
      <c r="F259" s="41"/>
      <c r="G259" s="41"/>
      <c r="H259" s="9" t="s">
        <v>643</v>
      </c>
      <c r="I259" s="39" t="s">
        <v>773</v>
      </c>
      <c r="J259" s="9">
        <v>19.5</v>
      </c>
      <c r="K259" s="14">
        <v>7</v>
      </c>
      <c r="L259" s="14">
        <v>3</v>
      </c>
      <c r="M259" s="14" t="str">
        <f t="shared" si="14"/>
        <v>0703</v>
      </c>
      <c r="N259" s="19">
        <v>37</v>
      </c>
      <c r="O259" s="19"/>
      <c r="P259" s="14" t="str">
        <f t="shared" si="15"/>
        <v>3700000</v>
      </c>
    </row>
    <row r="260" spans="1:16" ht="19.149999999999999" customHeight="1">
      <c r="A260" s="8">
        <v>30</v>
      </c>
      <c r="B260" s="9">
        <v>1</v>
      </c>
      <c r="C260" s="9">
        <v>418</v>
      </c>
      <c r="D260" s="9">
        <v>300010418</v>
      </c>
      <c r="E260" s="41">
        <v>37</v>
      </c>
      <c r="F260" s="41"/>
      <c r="G260" s="41"/>
      <c r="H260" s="9" t="s">
        <v>716</v>
      </c>
      <c r="I260" s="39" t="s">
        <v>773</v>
      </c>
      <c r="J260" s="9">
        <v>3</v>
      </c>
      <c r="K260" s="14"/>
      <c r="L260" s="14"/>
      <c r="M260" s="14" t="str">
        <f t="shared" si="14"/>
        <v>0000</v>
      </c>
      <c r="N260" s="19">
        <v>37</v>
      </c>
      <c r="O260" s="19"/>
      <c r="P260" s="14" t="str">
        <f t="shared" si="15"/>
        <v>3700000</v>
      </c>
    </row>
    <row r="261" spans="1:16" ht="19.149999999999999" customHeight="1">
      <c r="A261" s="8">
        <v>30</v>
      </c>
      <c r="B261" s="9">
        <v>1</v>
      </c>
      <c r="C261" s="9">
        <v>415</v>
      </c>
      <c r="D261" s="9">
        <v>300010415</v>
      </c>
      <c r="E261" s="41">
        <v>37</v>
      </c>
      <c r="F261" s="41"/>
      <c r="G261" s="41"/>
      <c r="H261" s="9" t="s">
        <v>695</v>
      </c>
      <c r="I261" s="39" t="s">
        <v>782</v>
      </c>
      <c r="J261" s="9">
        <v>350</v>
      </c>
      <c r="K261" s="14"/>
      <c r="L261" s="14"/>
      <c r="M261" s="14" t="str">
        <f t="shared" si="14"/>
        <v>0000</v>
      </c>
      <c r="N261" s="19">
        <v>37</v>
      </c>
      <c r="O261" s="19"/>
      <c r="P261" s="14" t="str">
        <f t="shared" si="15"/>
        <v>3700000</v>
      </c>
    </row>
    <row r="262" spans="1:16" ht="19.149999999999999" customHeight="1">
      <c r="A262" s="8">
        <v>30</v>
      </c>
      <c r="B262" s="9">
        <v>1</v>
      </c>
      <c r="C262" s="9">
        <v>416</v>
      </c>
      <c r="D262" s="9">
        <v>300010416</v>
      </c>
      <c r="E262" s="37" t="s">
        <v>791</v>
      </c>
      <c r="H262" s="9" t="s">
        <v>218</v>
      </c>
      <c r="I262" s="39" t="s">
        <v>773</v>
      </c>
      <c r="J262" s="9">
        <v>97</v>
      </c>
      <c r="K262" s="14">
        <v>3</v>
      </c>
      <c r="L262" s="14">
        <v>5</v>
      </c>
      <c r="M262" s="14" t="str">
        <f t="shared" si="14"/>
        <v>0305</v>
      </c>
      <c r="N262" s="17" t="s">
        <v>791</v>
      </c>
      <c r="P262" s="14" t="str">
        <f t="shared" si="15"/>
        <v>3700000</v>
      </c>
    </row>
    <row r="263" spans="1:16" ht="19.149999999999999" customHeight="1">
      <c r="A263" s="8">
        <v>52</v>
      </c>
      <c r="B263" s="9">
        <v>1</v>
      </c>
      <c r="C263" s="9">
        <v>574</v>
      </c>
      <c r="D263" s="9">
        <v>520010574</v>
      </c>
      <c r="E263" s="37" t="s">
        <v>791</v>
      </c>
      <c r="H263" s="9" t="s">
        <v>376</v>
      </c>
      <c r="I263" s="39" t="s">
        <v>773</v>
      </c>
      <c r="J263" s="9">
        <v>377.53</v>
      </c>
      <c r="K263" s="14">
        <v>4</v>
      </c>
      <c r="L263" s="14">
        <v>1</v>
      </c>
      <c r="M263" s="14" t="str">
        <f t="shared" si="14"/>
        <v>0401</v>
      </c>
      <c r="N263" s="17" t="s">
        <v>791</v>
      </c>
      <c r="P263" s="14" t="str">
        <f t="shared" si="15"/>
        <v>3700000</v>
      </c>
    </row>
    <row r="264" spans="1:16" ht="19.149999999999999" customHeight="1">
      <c r="A264" s="8">
        <v>52</v>
      </c>
      <c r="B264" s="9">
        <v>1</v>
      </c>
      <c r="C264" s="9">
        <v>8</v>
      </c>
      <c r="D264" s="9">
        <v>520010008</v>
      </c>
      <c r="E264" s="37" t="s">
        <v>791</v>
      </c>
      <c r="H264" s="9" t="s">
        <v>376</v>
      </c>
      <c r="I264" s="39" t="s">
        <v>773</v>
      </c>
      <c r="J264" s="9">
        <v>445</v>
      </c>
      <c r="K264" s="14">
        <v>4</v>
      </c>
      <c r="L264" s="14">
        <v>1</v>
      </c>
      <c r="M264" s="14" t="str">
        <f t="shared" si="14"/>
        <v>0401</v>
      </c>
      <c r="N264" s="17" t="s">
        <v>791</v>
      </c>
      <c r="P264" s="14" t="str">
        <f t="shared" si="15"/>
        <v>3700000</v>
      </c>
    </row>
    <row r="265" spans="1:16" ht="19.149999999999999" customHeight="1">
      <c r="A265" s="8">
        <v>30</v>
      </c>
      <c r="B265" s="9">
        <v>1</v>
      </c>
      <c r="C265" s="9">
        <v>366</v>
      </c>
      <c r="D265" s="9">
        <v>300010366</v>
      </c>
      <c r="E265" s="37" t="s">
        <v>791</v>
      </c>
      <c r="H265" s="9" t="s">
        <v>208</v>
      </c>
      <c r="I265" s="39" t="s">
        <v>773</v>
      </c>
      <c r="J265" s="9">
        <v>15.9</v>
      </c>
      <c r="K265" s="14">
        <v>3</v>
      </c>
      <c r="L265" s="14">
        <v>5</v>
      </c>
      <c r="M265" s="14" t="str">
        <f t="shared" si="14"/>
        <v>0305</v>
      </c>
      <c r="N265" s="17" t="s">
        <v>791</v>
      </c>
      <c r="P265" s="14" t="str">
        <f t="shared" si="15"/>
        <v>3700000</v>
      </c>
    </row>
    <row r="266" spans="1:16" ht="19.149999999999999" customHeight="1">
      <c r="A266" s="8">
        <v>24</v>
      </c>
      <c r="B266" s="9">
        <v>1</v>
      </c>
      <c r="C266" s="9">
        <v>7</v>
      </c>
      <c r="D266" s="9">
        <v>240010007</v>
      </c>
      <c r="E266" s="37" t="s">
        <v>791</v>
      </c>
      <c r="H266" s="9" t="s">
        <v>386</v>
      </c>
      <c r="I266" s="39" t="s">
        <v>773</v>
      </c>
      <c r="J266" s="9">
        <v>380</v>
      </c>
      <c r="K266" s="14">
        <v>4</v>
      </c>
      <c r="L266" s="14">
        <v>1</v>
      </c>
      <c r="M266" s="14" t="str">
        <f t="shared" si="14"/>
        <v>0401</v>
      </c>
      <c r="N266" s="17" t="s">
        <v>791</v>
      </c>
      <c r="P266" s="14" t="str">
        <f t="shared" si="15"/>
        <v>3700000</v>
      </c>
    </row>
    <row r="267" spans="1:16" ht="19.149999999999999" customHeight="1">
      <c r="A267" s="8">
        <v>10</v>
      </c>
      <c r="B267" s="9">
        <v>1</v>
      </c>
      <c r="C267" s="9">
        <v>2</v>
      </c>
      <c r="D267" s="9">
        <v>100010002</v>
      </c>
      <c r="E267" s="37" t="s">
        <v>791</v>
      </c>
      <c r="H267" s="9" t="s">
        <v>387</v>
      </c>
      <c r="I267" s="39" t="s">
        <v>773</v>
      </c>
      <c r="J267" s="9">
        <v>421.4</v>
      </c>
      <c r="K267" s="14">
        <v>4</v>
      </c>
      <c r="L267" s="14">
        <v>1</v>
      </c>
      <c r="M267" s="14" t="str">
        <f t="shared" si="14"/>
        <v>0401</v>
      </c>
      <c r="N267" s="17" t="s">
        <v>791</v>
      </c>
      <c r="P267" s="14" t="str">
        <f t="shared" si="15"/>
        <v>3700000</v>
      </c>
    </row>
    <row r="268" spans="1:16" ht="19.149999999999999" customHeight="1">
      <c r="A268" s="8">
        <v>10</v>
      </c>
      <c r="B268" s="9">
        <v>1</v>
      </c>
      <c r="C268" s="9">
        <v>4</v>
      </c>
      <c r="D268" s="9">
        <v>100010004</v>
      </c>
      <c r="E268" s="37" t="s">
        <v>791</v>
      </c>
      <c r="H268" s="9" t="s">
        <v>392</v>
      </c>
      <c r="I268" s="39" t="s">
        <v>773</v>
      </c>
      <c r="J268" s="9">
        <v>1.6</v>
      </c>
      <c r="K268" s="14">
        <v>3</v>
      </c>
      <c r="L268" s="14">
        <v>3</v>
      </c>
      <c r="M268" s="14" t="str">
        <f t="shared" si="14"/>
        <v>0303</v>
      </c>
      <c r="N268" s="17" t="s">
        <v>791</v>
      </c>
      <c r="P268" s="14" t="str">
        <f t="shared" si="15"/>
        <v>3700000</v>
      </c>
    </row>
    <row r="269" spans="1:16" ht="19.149999999999999" customHeight="1">
      <c r="A269" s="8">
        <v>10</v>
      </c>
      <c r="B269" s="9">
        <v>1</v>
      </c>
      <c r="C269" s="9">
        <v>216</v>
      </c>
      <c r="D269" s="9">
        <v>100010216</v>
      </c>
      <c r="E269" s="37" t="s">
        <v>791</v>
      </c>
      <c r="H269" s="9" t="s">
        <v>85</v>
      </c>
      <c r="I269" s="39" t="s">
        <v>773</v>
      </c>
      <c r="J269" s="9">
        <v>1.5</v>
      </c>
      <c r="K269" s="14">
        <v>3</v>
      </c>
      <c r="L269" s="14">
        <v>3</v>
      </c>
      <c r="M269" s="14" t="str">
        <f t="shared" si="14"/>
        <v>0303</v>
      </c>
      <c r="N269" s="17" t="s">
        <v>791</v>
      </c>
      <c r="P269" s="14" t="str">
        <f t="shared" si="15"/>
        <v>3700000</v>
      </c>
    </row>
    <row r="270" spans="1:16" ht="19.149999999999999" customHeight="1">
      <c r="A270" s="8">
        <v>10</v>
      </c>
      <c r="B270" s="9">
        <v>1</v>
      </c>
      <c r="C270" s="9">
        <v>5</v>
      </c>
      <c r="D270" s="9">
        <v>100010005</v>
      </c>
      <c r="E270" s="37" t="s">
        <v>791</v>
      </c>
      <c r="H270" s="9" t="s">
        <v>86</v>
      </c>
      <c r="I270" s="39" t="s">
        <v>773</v>
      </c>
      <c r="J270" s="9">
        <v>1.5</v>
      </c>
      <c r="K270" s="14">
        <v>3</v>
      </c>
      <c r="L270" s="14">
        <v>3</v>
      </c>
      <c r="M270" s="14" t="str">
        <f t="shared" si="14"/>
        <v>0303</v>
      </c>
      <c r="N270" s="17" t="s">
        <v>791</v>
      </c>
      <c r="P270" s="14" t="str">
        <f t="shared" si="15"/>
        <v>3700000</v>
      </c>
    </row>
    <row r="271" spans="1:16" ht="19.149999999999999" customHeight="1">
      <c r="A271" s="8">
        <v>48</v>
      </c>
      <c r="B271" s="9">
        <v>1</v>
      </c>
      <c r="C271" s="9">
        <v>2</v>
      </c>
      <c r="D271" s="9">
        <v>480010002</v>
      </c>
      <c r="E271" s="37" t="s">
        <v>791</v>
      </c>
      <c r="H271" s="9" t="s">
        <v>87</v>
      </c>
      <c r="I271" s="39" t="s">
        <v>773</v>
      </c>
      <c r="J271" s="9">
        <v>1.5</v>
      </c>
      <c r="K271" s="14">
        <v>3</v>
      </c>
      <c r="L271" s="14">
        <v>3</v>
      </c>
      <c r="M271" s="14" t="str">
        <f t="shared" si="14"/>
        <v>0303</v>
      </c>
      <c r="N271" s="17" t="s">
        <v>791</v>
      </c>
      <c r="P271" s="14" t="str">
        <f t="shared" si="15"/>
        <v>3700000</v>
      </c>
    </row>
    <row r="272" spans="1:16" ht="19.149999999999999" customHeight="1">
      <c r="A272" s="8">
        <v>12</v>
      </c>
      <c r="B272" s="9">
        <v>1</v>
      </c>
      <c r="C272" s="9">
        <v>268</v>
      </c>
      <c r="D272" s="9">
        <v>120010268</v>
      </c>
      <c r="E272" s="41">
        <v>37</v>
      </c>
      <c r="F272" s="41"/>
      <c r="G272" s="41"/>
      <c r="H272" s="9" t="s">
        <v>751</v>
      </c>
      <c r="I272" s="39" t="s">
        <v>773</v>
      </c>
      <c r="J272" s="9">
        <v>20</v>
      </c>
      <c r="K272" s="14"/>
      <c r="L272" s="14"/>
      <c r="M272" s="14" t="str">
        <f t="shared" si="14"/>
        <v>0000</v>
      </c>
      <c r="N272" s="19">
        <v>37</v>
      </c>
      <c r="O272" s="19"/>
      <c r="P272" s="14" t="str">
        <f t="shared" si="15"/>
        <v>3700000</v>
      </c>
    </row>
    <row r="273" spans="1:16" ht="19.149999999999999" customHeight="1">
      <c r="A273" s="8">
        <v>30</v>
      </c>
      <c r="B273" s="9">
        <v>1</v>
      </c>
      <c r="C273" s="9">
        <v>510</v>
      </c>
      <c r="D273" s="9">
        <v>300010510</v>
      </c>
      <c r="E273" s="41">
        <v>37</v>
      </c>
      <c r="F273" s="41"/>
      <c r="G273" s="41"/>
      <c r="H273" s="9" t="s">
        <v>752</v>
      </c>
      <c r="I273" s="39" t="s">
        <v>773</v>
      </c>
      <c r="J273" s="9">
        <v>2.5</v>
      </c>
      <c r="K273" s="14"/>
      <c r="L273" s="14"/>
      <c r="M273" s="14" t="str">
        <f t="shared" si="14"/>
        <v>0000</v>
      </c>
      <c r="N273" s="19">
        <v>37</v>
      </c>
      <c r="O273" s="19"/>
      <c r="P273" s="14" t="str">
        <f t="shared" si="15"/>
        <v>3700000</v>
      </c>
    </row>
    <row r="274" spans="1:16" ht="19.149999999999999" customHeight="1">
      <c r="A274" s="8">
        <v>30</v>
      </c>
      <c r="B274" s="9">
        <v>1</v>
      </c>
      <c r="C274" s="9">
        <v>516</v>
      </c>
      <c r="D274" s="9">
        <v>300010516</v>
      </c>
      <c r="E274" s="37" t="s">
        <v>791</v>
      </c>
      <c r="H274" s="9" t="s">
        <v>240</v>
      </c>
      <c r="I274" s="39" t="s">
        <v>773</v>
      </c>
      <c r="J274" s="9">
        <v>5.5</v>
      </c>
      <c r="K274" s="14">
        <v>3</v>
      </c>
      <c r="L274" s="14">
        <v>5</v>
      </c>
      <c r="M274" s="14" t="str">
        <f t="shared" si="14"/>
        <v>0305</v>
      </c>
      <c r="N274" s="17" t="s">
        <v>791</v>
      </c>
      <c r="P274" s="14" t="str">
        <f t="shared" si="15"/>
        <v>3700000</v>
      </c>
    </row>
    <row r="275" spans="1:16" ht="19.149999999999999" customHeight="1">
      <c r="A275" s="8">
        <v>65</v>
      </c>
      <c r="B275" s="9">
        <v>1</v>
      </c>
      <c r="C275" s="9">
        <v>692</v>
      </c>
      <c r="D275" s="9">
        <v>650010692</v>
      </c>
      <c r="E275" s="37" t="s">
        <v>791</v>
      </c>
      <c r="H275" s="9" t="s">
        <v>241</v>
      </c>
      <c r="I275" s="39" t="s">
        <v>773</v>
      </c>
      <c r="J275" s="9">
        <v>4</v>
      </c>
      <c r="K275" s="14">
        <v>3</v>
      </c>
      <c r="L275" s="14">
        <v>5</v>
      </c>
      <c r="M275" s="14" t="str">
        <f t="shared" si="14"/>
        <v>0305</v>
      </c>
      <c r="N275" s="17" t="s">
        <v>791</v>
      </c>
      <c r="P275" s="14" t="str">
        <f t="shared" si="15"/>
        <v>3700000</v>
      </c>
    </row>
    <row r="276" spans="1:16" ht="19.149999999999999" customHeight="1">
      <c r="A276" s="8">
        <v>30</v>
      </c>
      <c r="B276" s="9">
        <v>1</v>
      </c>
      <c r="C276" s="9">
        <v>406</v>
      </c>
      <c r="D276" s="9">
        <v>300010406</v>
      </c>
      <c r="E276" s="37" t="s">
        <v>791</v>
      </c>
      <c r="H276" s="9" t="s">
        <v>242</v>
      </c>
      <c r="I276" s="39" t="s">
        <v>773</v>
      </c>
      <c r="J276" s="9">
        <v>2.5</v>
      </c>
      <c r="K276" s="14">
        <v>3</v>
      </c>
      <c r="L276" s="14">
        <v>5</v>
      </c>
      <c r="M276" s="14" t="str">
        <f t="shared" si="14"/>
        <v>0305</v>
      </c>
      <c r="N276" s="17" t="s">
        <v>791</v>
      </c>
      <c r="P276" s="14" t="str">
        <f t="shared" si="15"/>
        <v>3700000</v>
      </c>
    </row>
    <row r="277" spans="1:16" ht="19.149999999999999" customHeight="1">
      <c r="A277" s="8">
        <v>59</v>
      </c>
      <c r="B277" s="9">
        <v>1</v>
      </c>
      <c r="C277" s="9">
        <v>649</v>
      </c>
      <c r="D277" s="9">
        <v>590010649</v>
      </c>
      <c r="E277" s="41">
        <v>37</v>
      </c>
      <c r="F277" s="41"/>
      <c r="G277" s="41"/>
      <c r="H277" s="9" t="s">
        <v>679</v>
      </c>
      <c r="I277" s="39" t="s">
        <v>773</v>
      </c>
      <c r="J277" s="9">
        <v>32</v>
      </c>
      <c r="K277" s="14">
        <v>7</v>
      </c>
      <c r="L277" s="14">
        <v>3</v>
      </c>
      <c r="M277" s="14" t="str">
        <f t="shared" si="14"/>
        <v>0703</v>
      </c>
      <c r="N277" s="19">
        <v>37</v>
      </c>
      <c r="O277" s="19"/>
      <c r="P277" s="14" t="str">
        <f t="shared" si="15"/>
        <v>3700000</v>
      </c>
    </row>
    <row r="278" spans="1:16" ht="19.149999999999999" customHeight="1">
      <c r="A278" s="8">
        <v>43</v>
      </c>
      <c r="B278" s="9">
        <v>1</v>
      </c>
      <c r="C278" s="9">
        <v>556</v>
      </c>
      <c r="D278" s="9">
        <v>430010556</v>
      </c>
      <c r="E278" s="41">
        <v>37</v>
      </c>
      <c r="F278" s="41"/>
      <c r="G278" s="41"/>
      <c r="H278" s="9" t="s">
        <v>680</v>
      </c>
      <c r="I278" s="39" t="s">
        <v>773</v>
      </c>
      <c r="J278" s="9">
        <v>6</v>
      </c>
      <c r="K278" s="14">
        <v>7</v>
      </c>
      <c r="L278" s="14">
        <v>3</v>
      </c>
      <c r="M278" s="14" t="str">
        <f t="shared" si="14"/>
        <v>0703</v>
      </c>
      <c r="N278" s="19">
        <v>37</v>
      </c>
      <c r="O278" s="19"/>
      <c r="P278" s="14" t="str">
        <f t="shared" si="15"/>
        <v>3700000</v>
      </c>
    </row>
    <row r="279" spans="1:16" ht="19.149999999999999" customHeight="1">
      <c r="A279" s="8">
        <v>37</v>
      </c>
      <c r="B279" s="9">
        <v>1</v>
      </c>
      <c r="C279" s="9">
        <v>2</v>
      </c>
      <c r="D279" s="9">
        <v>370010002</v>
      </c>
      <c r="E279" s="41">
        <v>37</v>
      </c>
      <c r="F279" s="41"/>
      <c r="G279" s="41"/>
      <c r="H279" s="9" t="s">
        <v>681</v>
      </c>
      <c r="I279" s="39" t="s">
        <v>771</v>
      </c>
      <c r="J279" s="9">
        <v>32</v>
      </c>
      <c r="K279" s="14">
        <v>7</v>
      </c>
      <c r="L279" s="14">
        <v>3</v>
      </c>
      <c r="M279" s="14" t="str">
        <f t="shared" si="14"/>
        <v>0703</v>
      </c>
      <c r="N279" s="19">
        <v>37</v>
      </c>
      <c r="O279" s="19"/>
      <c r="P279" s="14" t="str">
        <f t="shared" si="15"/>
        <v>3700000</v>
      </c>
    </row>
    <row r="280" spans="1:16" ht="19.149999999999999" customHeight="1">
      <c r="A280" s="8">
        <v>30</v>
      </c>
      <c r="B280" s="9">
        <v>1</v>
      </c>
      <c r="C280" s="9">
        <v>81</v>
      </c>
      <c r="D280" s="9">
        <v>300010081</v>
      </c>
      <c r="E280" s="49">
        <v>39</v>
      </c>
      <c r="F280" s="49"/>
      <c r="G280" s="49"/>
      <c r="H280" s="13" t="s">
        <v>620</v>
      </c>
      <c r="I280" s="48" t="s">
        <v>773</v>
      </c>
      <c r="J280" s="13">
        <v>31</v>
      </c>
      <c r="K280" s="14">
        <v>7</v>
      </c>
      <c r="L280" s="14">
        <v>3</v>
      </c>
      <c r="M280" s="14" t="str">
        <f t="shared" si="14"/>
        <v>0703</v>
      </c>
      <c r="N280" s="16">
        <v>39</v>
      </c>
      <c r="O280" s="16"/>
      <c r="P280" s="14" t="str">
        <f t="shared" si="15"/>
        <v>3900000</v>
      </c>
    </row>
    <row r="281" spans="1:16" ht="19.149999999999999" customHeight="1">
      <c r="A281" s="8">
        <v>59</v>
      </c>
      <c r="B281" s="9">
        <v>1</v>
      </c>
      <c r="C281" s="9">
        <v>647</v>
      </c>
      <c r="D281" s="9">
        <v>590010647</v>
      </c>
      <c r="E281" s="49">
        <v>39</v>
      </c>
      <c r="F281" s="49"/>
      <c r="G281" s="49"/>
      <c r="H281" s="13" t="s">
        <v>705</v>
      </c>
      <c r="I281" s="48" t="s">
        <v>773</v>
      </c>
      <c r="J281" s="13">
        <v>700</v>
      </c>
      <c r="K281" s="14"/>
      <c r="L281" s="14"/>
      <c r="M281" s="14" t="str">
        <f t="shared" si="14"/>
        <v>0000</v>
      </c>
      <c r="N281" s="16">
        <v>39</v>
      </c>
      <c r="O281" s="16"/>
      <c r="P281" s="14" t="str">
        <f t="shared" si="15"/>
        <v>3900000</v>
      </c>
    </row>
    <row r="282" spans="1:16" ht="19.149999999999999" customHeight="1">
      <c r="A282" s="15">
        <v>30</v>
      </c>
      <c r="B282" s="13">
        <v>1</v>
      </c>
      <c r="C282" s="13">
        <v>2</v>
      </c>
      <c r="D282" s="13">
        <v>300010002</v>
      </c>
      <c r="E282" s="49">
        <v>39</v>
      </c>
      <c r="F282" s="49"/>
      <c r="G282" s="49"/>
      <c r="H282" s="13" t="s">
        <v>641</v>
      </c>
      <c r="I282" s="48" t="s">
        <v>773</v>
      </c>
      <c r="J282" s="13">
        <v>66</v>
      </c>
      <c r="K282" s="14">
        <v>7</v>
      </c>
      <c r="L282" s="14">
        <v>3</v>
      </c>
      <c r="M282" s="14" t="str">
        <f t="shared" si="14"/>
        <v>0703</v>
      </c>
      <c r="N282" s="16">
        <v>39</v>
      </c>
      <c r="O282" s="16"/>
      <c r="P282" s="14" t="str">
        <f t="shared" si="15"/>
        <v>3900000</v>
      </c>
    </row>
    <row r="283" spans="1:16" ht="19.149999999999999" customHeight="1">
      <c r="A283" s="15">
        <v>30</v>
      </c>
      <c r="B283" s="13">
        <v>1</v>
      </c>
      <c r="C283" s="13">
        <v>518</v>
      </c>
      <c r="D283" s="13">
        <v>300010518</v>
      </c>
      <c r="E283" s="49">
        <v>39</v>
      </c>
      <c r="F283" s="49"/>
      <c r="G283" s="49"/>
      <c r="H283" s="13" t="s">
        <v>642</v>
      </c>
      <c r="I283" s="48" t="s">
        <v>773</v>
      </c>
      <c r="J283" s="13">
        <v>95</v>
      </c>
      <c r="K283" s="14">
        <v>7</v>
      </c>
      <c r="L283" s="14">
        <v>3</v>
      </c>
      <c r="M283" s="14" t="str">
        <f t="shared" si="14"/>
        <v>0703</v>
      </c>
      <c r="N283" s="16">
        <v>39</v>
      </c>
      <c r="O283" s="16"/>
      <c r="P283" s="14" t="str">
        <f t="shared" si="15"/>
        <v>3900000</v>
      </c>
    </row>
    <row r="284" spans="1:16" ht="19.149999999999999" customHeight="1">
      <c r="A284" s="15">
        <v>65</v>
      </c>
      <c r="B284" s="13">
        <v>1</v>
      </c>
      <c r="C284" s="13">
        <v>694</v>
      </c>
      <c r="D284" s="13">
        <v>650010694</v>
      </c>
      <c r="E284" s="49">
        <v>39</v>
      </c>
      <c r="F284" s="49"/>
      <c r="G284" s="49"/>
      <c r="H284" s="13" t="s">
        <v>733</v>
      </c>
      <c r="I284" s="48" t="s">
        <v>773</v>
      </c>
      <c r="J284" s="13">
        <v>2000</v>
      </c>
      <c r="K284" s="14"/>
      <c r="L284" s="14"/>
      <c r="M284" s="14" t="str">
        <f t="shared" si="14"/>
        <v>0000</v>
      </c>
      <c r="N284" s="16">
        <v>39</v>
      </c>
      <c r="O284" s="16"/>
      <c r="P284" s="14" t="str">
        <f t="shared" si="15"/>
        <v>3900000</v>
      </c>
    </row>
    <row r="285" spans="1:16" ht="19.149999999999999" customHeight="1">
      <c r="A285" s="15">
        <v>30</v>
      </c>
      <c r="B285" s="13">
        <v>1</v>
      </c>
      <c r="C285" s="13">
        <v>515</v>
      </c>
      <c r="D285" s="13">
        <v>300010515</v>
      </c>
      <c r="E285" s="49">
        <v>39</v>
      </c>
      <c r="F285" s="49"/>
      <c r="G285" s="49"/>
      <c r="H285" s="13" t="s">
        <v>739</v>
      </c>
      <c r="I285" s="48" t="s">
        <v>773</v>
      </c>
      <c r="J285" s="13">
        <v>54.9</v>
      </c>
      <c r="K285" s="14"/>
      <c r="L285" s="14"/>
      <c r="M285" s="14" t="str">
        <f t="shared" si="14"/>
        <v>0000</v>
      </c>
      <c r="N285" s="16">
        <v>39</v>
      </c>
      <c r="O285" s="16"/>
      <c r="P285" s="14" t="str">
        <f t="shared" si="15"/>
        <v>3900000</v>
      </c>
    </row>
    <row r="286" spans="1:16" ht="19.149999999999999" customHeight="1">
      <c r="A286" s="15">
        <v>30</v>
      </c>
      <c r="B286" s="13">
        <v>1</v>
      </c>
      <c r="C286" s="13">
        <v>511</v>
      </c>
      <c r="D286" s="13">
        <v>300010511</v>
      </c>
      <c r="E286" s="49">
        <v>39</v>
      </c>
      <c r="F286" s="49"/>
      <c r="G286" s="49"/>
      <c r="H286" s="13" t="s">
        <v>656</v>
      </c>
      <c r="I286" s="48" t="s">
        <v>773</v>
      </c>
      <c r="J286" s="13">
        <v>12.9</v>
      </c>
      <c r="K286" s="14">
        <v>7</v>
      </c>
      <c r="L286" s="14">
        <v>3</v>
      </c>
      <c r="M286" s="14" t="str">
        <f t="shared" si="14"/>
        <v>0703</v>
      </c>
      <c r="N286" s="16">
        <v>39</v>
      </c>
      <c r="O286" s="16"/>
      <c r="P286" s="14" t="str">
        <f t="shared" si="15"/>
        <v>3900000</v>
      </c>
    </row>
    <row r="287" spans="1:16" ht="19.149999999999999" customHeight="1">
      <c r="A287" s="15">
        <v>39</v>
      </c>
      <c r="B287" s="13">
        <v>1</v>
      </c>
      <c r="C287" s="13">
        <v>5</v>
      </c>
      <c r="D287" s="13">
        <v>390010005</v>
      </c>
      <c r="E287" s="49">
        <v>39</v>
      </c>
      <c r="F287" s="49"/>
      <c r="G287" s="49"/>
      <c r="H287" s="13" t="s">
        <v>740</v>
      </c>
      <c r="I287" s="48" t="s">
        <v>783</v>
      </c>
      <c r="J287" s="13">
        <v>42</v>
      </c>
      <c r="K287" s="14"/>
      <c r="L287" s="14"/>
      <c r="M287" s="14" t="str">
        <f t="shared" si="14"/>
        <v>0000</v>
      </c>
      <c r="N287" s="16">
        <v>39</v>
      </c>
      <c r="O287" s="16"/>
      <c r="P287" s="14" t="str">
        <f t="shared" si="15"/>
        <v>3900000</v>
      </c>
    </row>
    <row r="288" spans="1:16" ht="19.149999999999999" customHeight="1">
      <c r="A288" s="15">
        <v>30</v>
      </c>
      <c r="B288" s="13">
        <v>1</v>
      </c>
      <c r="C288" s="13">
        <v>506</v>
      </c>
      <c r="D288" s="13">
        <v>300010506</v>
      </c>
      <c r="E288" s="49">
        <v>39</v>
      </c>
      <c r="F288" s="49"/>
      <c r="G288" s="49"/>
      <c r="H288" s="13" t="s">
        <v>749</v>
      </c>
      <c r="I288" s="48" t="s">
        <v>773</v>
      </c>
      <c r="J288" s="13">
        <v>290</v>
      </c>
      <c r="K288" s="14"/>
      <c r="L288" s="14"/>
      <c r="M288" s="14" t="str">
        <f t="shared" si="14"/>
        <v>0000</v>
      </c>
      <c r="N288" s="16">
        <v>39</v>
      </c>
      <c r="O288" s="16"/>
      <c r="P288" s="14" t="str">
        <f t="shared" si="15"/>
        <v>3900000</v>
      </c>
    </row>
    <row r="289" spans="1:16" ht="19.149999999999999" customHeight="1">
      <c r="A289" s="15">
        <v>30</v>
      </c>
      <c r="B289" s="13">
        <v>1</v>
      </c>
      <c r="C289" s="13">
        <v>30</v>
      </c>
      <c r="D289" s="13">
        <v>300010030</v>
      </c>
      <c r="E289" s="49">
        <v>39</v>
      </c>
      <c r="F289" s="49"/>
      <c r="G289" s="49"/>
      <c r="H289" s="13" t="s">
        <v>750</v>
      </c>
      <c r="I289" s="48" t="s">
        <v>773</v>
      </c>
      <c r="J289" s="13">
        <v>2.5</v>
      </c>
      <c r="K289" s="14"/>
      <c r="L289" s="14"/>
      <c r="M289" s="14" t="str">
        <f t="shared" si="14"/>
        <v>0000</v>
      </c>
      <c r="N289" s="16">
        <v>39</v>
      </c>
      <c r="O289" s="16"/>
      <c r="P289" s="14" t="str">
        <f t="shared" si="15"/>
        <v>3900000</v>
      </c>
    </row>
    <row r="290" spans="1:16" ht="19.149999999999999" customHeight="1">
      <c r="A290" s="15">
        <v>30</v>
      </c>
      <c r="B290" s="13">
        <v>1</v>
      </c>
      <c r="C290" s="13">
        <v>408</v>
      </c>
      <c r="D290" s="13">
        <v>300010408</v>
      </c>
      <c r="E290" s="49">
        <v>39</v>
      </c>
      <c r="F290" s="49"/>
      <c r="G290" s="49"/>
      <c r="H290" s="13" t="s">
        <v>667</v>
      </c>
      <c r="I290" s="48" t="s">
        <v>773</v>
      </c>
      <c r="J290" s="13">
        <v>43.2</v>
      </c>
      <c r="K290" s="14">
        <v>7</v>
      </c>
      <c r="L290" s="14">
        <v>3</v>
      </c>
      <c r="M290" s="14" t="str">
        <f t="shared" si="14"/>
        <v>0703</v>
      </c>
      <c r="N290" s="16">
        <v>39</v>
      </c>
      <c r="O290" s="16"/>
      <c r="P290" s="14" t="str">
        <f t="shared" si="15"/>
        <v>3900000</v>
      </c>
    </row>
    <row r="291" spans="1:16" ht="19.149999999999999" customHeight="1">
      <c r="A291" s="15">
        <v>39</v>
      </c>
      <c r="B291" s="13">
        <v>1</v>
      </c>
      <c r="C291" s="13">
        <v>539</v>
      </c>
      <c r="D291" s="13">
        <v>390010539</v>
      </c>
      <c r="E291" s="49">
        <v>39</v>
      </c>
      <c r="F291" s="49"/>
      <c r="G291" s="49"/>
      <c r="H291" s="13" t="s">
        <v>763</v>
      </c>
      <c r="I291" s="48" t="s">
        <v>773</v>
      </c>
      <c r="J291" s="13">
        <v>21.75</v>
      </c>
      <c r="K291" s="14"/>
      <c r="L291" s="14"/>
      <c r="M291" s="14" t="str">
        <f t="shared" si="14"/>
        <v>0000</v>
      </c>
      <c r="N291" s="16">
        <v>39</v>
      </c>
      <c r="O291" s="16"/>
      <c r="P291" s="14" t="str">
        <f t="shared" si="15"/>
        <v>3900000</v>
      </c>
    </row>
    <row r="292" spans="1:16" ht="19.149999999999999" customHeight="1">
      <c r="A292" s="15">
        <v>66</v>
      </c>
      <c r="B292" s="13">
        <v>1</v>
      </c>
      <c r="C292" s="13">
        <v>764</v>
      </c>
      <c r="D292" s="13">
        <v>660010764</v>
      </c>
      <c r="E292" s="37" t="s">
        <v>803</v>
      </c>
      <c r="H292" s="9" t="s">
        <v>88</v>
      </c>
      <c r="I292" s="39" t="s">
        <v>777</v>
      </c>
      <c r="J292" s="9">
        <v>20</v>
      </c>
      <c r="K292" s="14">
        <v>3</v>
      </c>
      <c r="L292" s="14">
        <v>3</v>
      </c>
      <c r="M292" s="14" t="str">
        <f t="shared" si="14"/>
        <v>0303</v>
      </c>
      <c r="N292" s="17" t="s">
        <v>803</v>
      </c>
      <c r="P292" s="14" t="str">
        <f t="shared" si="15"/>
        <v>4100000</v>
      </c>
    </row>
    <row r="293" spans="1:16" ht="19.149999999999999" customHeight="1">
      <c r="A293" s="15">
        <v>30</v>
      </c>
      <c r="B293" s="13">
        <v>1</v>
      </c>
      <c r="C293" s="13">
        <v>61</v>
      </c>
      <c r="D293" s="13">
        <v>300010061</v>
      </c>
      <c r="E293" s="37" t="s">
        <v>808</v>
      </c>
      <c r="H293" s="9" t="s">
        <v>129</v>
      </c>
      <c r="I293" s="39" t="s">
        <v>773</v>
      </c>
      <c r="J293" s="9">
        <v>72.400000000000006</v>
      </c>
      <c r="K293" s="14">
        <v>3</v>
      </c>
      <c r="L293" s="14">
        <v>4</v>
      </c>
      <c r="M293" s="14" t="str">
        <f t="shared" si="14"/>
        <v>0304</v>
      </c>
      <c r="N293" s="17" t="s">
        <v>808</v>
      </c>
      <c r="P293" s="14" t="str">
        <f t="shared" si="15"/>
        <v>4300000</v>
      </c>
    </row>
    <row r="294" spans="1:16" ht="19.149999999999999" customHeight="1">
      <c r="A294" s="8">
        <v>54</v>
      </c>
      <c r="B294" s="9">
        <v>1</v>
      </c>
      <c r="C294" s="9">
        <v>604</v>
      </c>
      <c r="D294" s="9">
        <v>540010604</v>
      </c>
      <c r="E294" s="37" t="s">
        <v>808</v>
      </c>
      <c r="H294" s="9" t="s">
        <v>216</v>
      </c>
      <c r="I294" s="39" t="s">
        <v>773</v>
      </c>
      <c r="J294" s="9">
        <v>181</v>
      </c>
      <c r="K294" s="14">
        <v>3</v>
      </c>
      <c r="L294" s="14">
        <v>5</v>
      </c>
      <c r="M294" s="14" t="str">
        <f t="shared" si="14"/>
        <v>0305</v>
      </c>
      <c r="N294" s="17" t="s">
        <v>808</v>
      </c>
      <c r="P294" s="14" t="str">
        <f t="shared" si="15"/>
        <v>4300000</v>
      </c>
    </row>
    <row r="295" spans="1:16" ht="19.149999999999999" customHeight="1">
      <c r="A295" s="8">
        <v>43</v>
      </c>
      <c r="B295" s="9">
        <v>1</v>
      </c>
      <c r="C295" s="9">
        <v>1</v>
      </c>
      <c r="D295" s="9">
        <v>430010001</v>
      </c>
      <c r="E295" s="37" t="s">
        <v>808</v>
      </c>
      <c r="H295" s="9" t="s">
        <v>203</v>
      </c>
      <c r="I295" s="39" t="s">
        <v>773</v>
      </c>
      <c r="J295" s="9">
        <v>6</v>
      </c>
      <c r="K295" s="14">
        <v>3</v>
      </c>
      <c r="L295" s="14">
        <v>5</v>
      </c>
      <c r="M295" s="14" t="str">
        <f t="shared" si="14"/>
        <v>0305</v>
      </c>
      <c r="N295" s="17" t="s">
        <v>808</v>
      </c>
      <c r="P295" s="14" t="str">
        <f t="shared" si="15"/>
        <v>4300000</v>
      </c>
    </row>
    <row r="296" spans="1:16" ht="19.149999999999999" customHeight="1">
      <c r="A296" s="8">
        <v>43</v>
      </c>
      <c r="B296" s="9">
        <v>1</v>
      </c>
      <c r="C296" s="9">
        <v>548</v>
      </c>
      <c r="D296" s="9">
        <v>430010548</v>
      </c>
      <c r="E296" s="37" t="s">
        <v>808</v>
      </c>
      <c r="H296" s="9" t="s">
        <v>281</v>
      </c>
      <c r="I296" s="39" t="s">
        <v>773</v>
      </c>
      <c r="J296" s="9">
        <v>62.82</v>
      </c>
      <c r="K296" s="14">
        <v>3</v>
      </c>
      <c r="L296" s="14">
        <v>5</v>
      </c>
      <c r="M296" s="14" t="str">
        <f t="shared" si="14"/>
        <v>0305</v>
      </c>
      <c r="N296" s="17" t="s">
        <v>808</v>
      </c>
      <c r="P296" s="14" t="str">
        <f t="shared" si="15"/>
        <v>4300000</v>
      </c>
    </row>
    <row r="297" spans="1:16" ht="19.149999999999999" customHeight="1">
      <c r="A297" s="8">
        <v>43</v>
      </c>
      <c r="B297" s="9">
        <v>1</v>
      </c>
      <c r="C297" s="9">
        <v>549</v>
      </c>
      <c r="D297" s="9">
        <v>430010549</v>
      </c>
      <c r="E297" s="37" t="s">
        <v>808</v>
      </c>
      <c r="H297" s="9" t="s">
        <v>282</v>
      </c>
      <c r="I297" s="39" t="s">
        <v>773</v>
      </c>
      <c r="J297" s="9">
        <v>137</v>
      </c>
      <c r="K297" s="14">
        <v>3</v>
      </c>
      <c r="L297" s="14">
        <v>5</v>
      </c>
      <c r="M297" s="14" t="str">
        <f t="shared" si="14"/>
        <v>0305</v>
      </c>
      <c r="N297" s="17" t="s">
        <v>808</v>
      </c>
      <c r="P297" s="14" t="str">
        <f t="shared" si="15"/>
        <v>4300000</v>
      </c>
    </row>
    <row r="298" spans="1:16" ht="19.149999999999999" customHeight="1">
      <c r="A298" s="8">
        <v>30</v>
      </c>
      <c r="B298" s="9">
        <v>1</v>
      </c>
      <c r="C298" s="9">
        <v>454</v>
      </c>
      <c r="D298" s="9">
        <v>300010454</v>
      </c>
      <c r="E298" s="37" t="s">
        <v>808</v>
      </c>
      <c r="H298" s="9" t="s">
        <v>247</v>
      </c>
      <c r="I298" s="39" t="s">
        <v>771</v>
      </c>
      <c r="J298" s="9">
        <v>4.24</v>
      </c>
      <c r="K298" s="14">
        <v>2</v>
      </c>
      <c r="L298" s="14">
        <v>3</v>
      </c>
      <c r="M298" s="14" t="str">
        <f t="shared" ref="M298:M361" si="16">TEXT(K298,"00")&amp;TEXT(L298,"00")</f>
        <v>0203</v>
      </c>
      <c r="N298" s="17" t="s">
        <v>808</v>
      </c>
      <c r="P298" s="14" t="str">
        <f t="shared" ref="P298:P361" si="17">TEXT(E298,"00")&amp;TEXT(F298,"00")&amp;TEXT(G298,"000")</f>
        <v>4300000</v>
      </c>
    </row>
    <row r="299" spans="1:16" ht="19.149999999999999" customHeight="1">
      <c r="A299" s="8">
        <v>12</v>
      </c>
      <c r="B299" s="9">
        <v>1</v>
      </c>
      <c r="C299" s="9">
        <v>308</v>
      </c>
      <c r="D299" s="9">
        <v>120010308</v>
      </c>
      <c r="E299" s="37" t="s">
        <v>808</v>
      </c>
      <c r="H299" s="9" t="s">
        <v>248</v>
      </c>
      <c r="I299" s="39" t="s">
        <v>771</v>
      </c>
      <c r="J299" s="9">
        <v>4.24</v>
      </c>
      <c r="K299" s="14">
        <v>2</v>
      </c>
      <c r="L299" s="14">
        <v>3</v>
      </c>
      <c r="M299" s="14" t="str">
        <f t="shared" si="16"/>
        <v>0203</v>
      </c>
      <c r="N299" s="17" t="s">
        <v>808</v>
      </c>
      <c r="P299" s="14" t="str">
        <f t="shared" si="17"/>
        <v>4300000</v>
      </c>
    </row>
    <row r="300" spans="1:16" ht="19.149999999999999" customHeight="1">
      <c r="A300" s="8">
        <v>12</v>
      </c>
      <c r="B300" s="9">
        <v>1</v>
      </c>
      <c r="C300" s="9">
        <v>307</v>
      </c>
      <c r="D300" s="9">
        <v>120010307</v>
      </c>
      <c r="E300" s="37" t="s">
        <v>808</v>
      </c>
      <c r="H300" s="9" t="s">
        <v>249</v>
      </c>
      <c r="I300" s="39" t="s">
        <v>771</v>
      </c>
      <c r="J300" s="9">
        <v>4.24</v>
      </c>
      <c r="K300" s="14">
        <v>2</v>
      </c>
      <c r="L300" s="14">
        <v>3</v>
      </c>
      <c r="M300" s="14" t="str">
        <f t="shared" si="16"/>
        <v>0203</v>
      </c>
      <c r="N300" s="17" t="s">
        <v>808</v>
      </c>
      <c r="P300" s="14" t="str">
        <f t="shared" si="17"/>
        <v>4300000</v>
      </c>
    </row>
    <row r="301" spans="1:16" ht="19.149999999999999" customHeight="1">
      <c r="A301" s="8">
        <v>12</v>
      </c>
      <c r="B301" s="9">
        <v>1</v>
      </c>
      <c r="C301" s="9">
        <v>310</v>
      </c>
      <c r="D301" s="9">
        <v>120010310</v>
      </c>
      <c r="E301" s="37" t="s">
        <v>808</v>
      </c>
      <c r="H301" s="9" t="s">
        <v>219</v>
      </c>
      <c r="I301" s="39" t="s">
        <v>773</v>
      </c>
      <c r="J301" s="9">
        <v>265.95999999999998</v>
      </c>
      <c r="K301" s="14">
        <v>3</v>
      </c>
      <c r="L301" s="14">
        <v>5</v>
      </c>
      <c r="M301" s="14" t="str">
        <f t="shared" si="16"/>
        <v>0305</v>
      </c>
      <c r="N301" s="17" t="s">
        <v>808</v>
      </c>
      <c r="P301" s="14" t="str">
        <f t="shared" si="17"/>
        <v>4300000</v>
      </c>
    </row>
    <row r="302" spans="1:16" ht="19.149999999999999" customHeight="1">
      <c r="A302" s="8">
        <v>12</v>
      </c>
      <c r="B302" s="9">
        <v>1</v>
      </c>
      <c r="C302" s="9">
        <v>309</v>
      </c>
      <c r="D302" s="9">
        <v>120010309</v>
      </c>
      <c r="E302" s="37" t="s">
        <v>808</v>
      </c>
      <c r="H302" s="9" t="s">
        <v>220</v>
      </c>
      <c r="I302" s="39" t="s">
        <v>773</v>
      </c>
      <c r="J302" s="9">
        <v>265.95999999999998</v>
      </c>
      <c r="K302" s="14">
        <v>3</v>
      </c>
      <c r="L302" s="14">
        <v>5</v>
      </c>
      <c r="M302" s="14" t="str">
        <f t="shared" si="16"/>
        <v>0305</v>
      </c>
      <c r="N302" s="17" t="s">
        <v>808</v>
      </c>
      <c r="P302" s="14" t="str">
        <f t="shared" si="17"/>
        <v>4300000</v>
      </c>
    </row>
    <row r="303" spans="1:16" ht="19.149999999999999" customHeight="1">
      <c r="A303" s="8">
        <v>12</v>
      </c>
      <c r="B303" s="9">
        <v>1</v>
      </c>
      <c r="C303" s="9">
        <v>311</v>
      </c>
      <c r="D303" s="9">
        <v>120010311</v>
      </c>
      <c r="E303" s="37" t="s">
        <v>808</v>
      </c>
      <c r="H303" s="9" t="s">
        <v>221</v>
      </c>
      <c r="I303" s="39" t="s">
        <v>773</v>
      </c>
      <c r="J303" s="9">
        <v>99</v>
      </c>
      <c r="K303" s="14">
        <v>3</v>
      </c>
      <c r="L303" s="14">
        <v>5</v>
      </c>
      <c r="M303" s="14" t="str">
        <f t="shared" si="16"/>
        <v>0305</v>
      </c>
      <c r="N303" s="17" t="s">
        <v>808</v>
      </c>
      <c r="P303" s="14" t="str">
        <f t="shared" si="17"/>
        <v>4300000</v>
      </c>
    </row>
    <row r="304" spans="1:16" ht="19.149999999999999" customHeight="1">
      <c r="A304" s="8">
        <v>59</v>
      </c>
      <c r="B304" s="9">
        <v>1</v>
      </c>
      <c r="C304" s="9">
        <v>644</v>
      </c>
      <c r="D304" s="9">
        <v>590010644</v>
      </c>
      <c r="E304" s="37" t="s">
        <v>808</v>
      </c>
      <c r="H304" s="9" t="s">
        <v>222</v>
      </c>
      <c r="I304" s="39" t="s">
        <v>773</v>
      </c>
      <c r="J304" s="9">
        <v>99</v>
      </c>
      <c r="K304" s="14">
        <v>3</v>
      </c>
      <c r="L304" s="14">
        <v>5</v>
      </c>
      <c r="M304" s="14" t="str">
        <f t="shared" si="16"/>
        <v>0305</v>
      </c>
      <c r="N304" s="17" t="s">
        <v>808</v>
      </c>
      <c r="P304" s="14" t="str">
        <f t="shared" si="17"/>
        <v>4300000</v>
      </c>
    </row>
    <row r="305" spans="1:16" ht="19.149999999999999" customHeight="1">
      <c r="A305" s="8">
        <v>65</v>
      </c>
      <c r="B305" s="9">
        <v>1</v>
      </c>
      <c r="C305" s="9">
        <v>727</v>
      </c>
      <c r="D305" s="9">
        <v>650010727</v>
      </c>
      <c r="E305" s="37" t="s">
        <v>808</v>
      </c>
      <c r="H305" s="9" t="s">
        <v>223</v>
      </c>
      <c r="I305" s="39" t="s">
        <v>773</v>
      </c>
      <c r="J305" s="9">
        <v>287.41000000000003</v>
      </c>
      <c r="K305" s="14">
        <v>3</v>
      </c>
      <c r="L305" s="14">
        <v>5</v>
      </c>
      <c r="M305" s="14" t="str">
        <f t="shared" si="16"/>
        <v>0305</v>
      </c>
      <c r="N305" s="17" t="s">
        <v>808</v>
      </c>
      <c r="P305" s="14" t="str">
        <f t="shared" si="17"/>
        <v>4300000</v>
      </c>
    </row>
    <row r="306" spans="1:16" ht="19.149999999999999" customHeight="1">
      <c r="A306" s="8">
        <v>30</v>
      </c>
      <c r="B306" s="9">
        <v>1</v>
      </c>
      <c r="C306" s="9">
        <v>455</v>
      </c>
      <c r="D306" s="9">
        <v>300010455</v>
      </c>
      <c r="E306" s="37" t="s">
        <v>808</v>
      </c>
      <c r="H306" s="9" t="s">
        <v>224</v>
      </c>
      <c r="I306" s="39" t="s">
        <v>773</v>
      </c>
      <c r="J306" s="9">
        <v>296.41000000000003</v>
      </c>
      <c r="K306" s="14">
        <v>3</v>
      </c>
      <c r="L306" s="14">
        <v>5</v>
      </c>
      <c r="M306" s="14" t="str">
        <f t="shared" si="16"/>
        <v>0305</v>
      </c>
      <c r="N306" s="17" t="s">
        <v>808</v>
      </c>
      <c r="P306" s="14" t="str">
        <f t="shared" si="17"/>
        <v>4300000</v>
      </c>
    </row>
    <row r="307" spans="1:16" ht="19.149999999999999" customHeight="1">
      <c r="A307" s="8">
        <v>26</v>
      </c>
      <c r="B307" s="9">
        <v>1</v>
      </c>
      <c r="C307" s="9">
        <v>353</v>
      </c>
      <c r="D307" s="9">
        <v>260010353</v>
      </c>
      <c r="E307" s="37" t="s">
        <v>808</v>
      </c>
      <c r="H307" s="9" t="s">
        <v>225</v>
      </c>
      <c r="I307" s="39" t="s">
        <v>773</v>
      </c>
      <c r="J307" s="9">
        <v>866</v>
      </c>
      <c r="K307" s="14">
        <v>3</v>
      </c>
      <c r="L307" s="14">
        <v>5</v>
      </c>
      <c r="M307" s="14" t="str">
        <f t="shared" si="16"/>
        <v>0305</v>
      </c>
      <c r="N307" s="17" t="s">
        <v>808</v>
      </c>
      <c r="P307" s="14" t="str">
        <f t="shared" si="17"/>
        <v>4300000</v>
      </c>
    </row>
    <row r="308" spans="1:16" ht="19.149999999999999" customHeight="1">
      <c r="A308" s="8">
        <v>26</v>
      </c>
      <c r="B308" s="9">
        <v>1</v>
      </c>
      <c r="C308" s="9">
        <v>351</v>
      </c>
      <c r="D308" s="9">
        <v>260010351</v>
      </c>
      <c r="E308" s="37" t="s">
        <v>808</v>
      </c>
      <c r="H308" s="9" t="s">
        <v>250</v>
      </c>
      <c r="I308" s="39" t="s">
        <v>773</v>
      </c>
      <c r="J308" s="9">
        <v>590.11</v>
      </c>
      <c r="K308" s="14">
        <v>3</v>
      </c>
      <c r="L308" s="14">
        <v>5</v>
      </c>
      <c r="M308" s="14" t="str">
        <f t="shared" si="16"/>
        <v>0305</v>
      </c>
      <c r="N308" s="17" t="s">
        <v>808</v>
      </c>
      <c r="P308" s="14" t="str">
        <f t="shared" si="17"/>
        <v>4300000</v>
      </c>
    </row>
    <row r="309" spans="1:16" ht="19.149999999999999" customHeight="1">
      <c r="A309" s="8">
        <v>26</v>
      </c>
      <c r="B309" s="9">
        <v>1</v>
      </c>
      <c r="C309" s="9">
        <v>350</v>
      </c>
      <c r="D309" s="9">
        <v>260010350</v>
      </c>
      <c r="E309" s="37" t="s">
        <v>808</v>
      </c>
      <c r="H309" s="9" t="s">
        <v>298</v>
      </c>
      <c r="I309" s="39" t="s">
        <v>773</v>
      </c>
      <c r="J309" s="9">
        <v>63</v>
      </c>
      <c r="K309" s="14">
        <v>3</v>
      </c>
      <c r="L309" s="14">
        <v>5</v>
      </c>
      <c r="M309" s="14" t="str">
        <f t="shared" si="16"/>
        <v>0305</v>
      </c>
      <c r="N309" s="17" t="s">
        <v>808</v>
      </c>
      <c r="P309" s="14" t="str">
        <f t="shared" si="17"/>
        <v>4300000</v>
      </c>
    </row>
    <row r="310" spans="1:16" ht="19.149999999999999" customHeight="1">
      <c r="A310" s="8">
        <v>30</v>
      </c>
      <c r="B310" s="9">
        <v>1</v>
      </c>
      <c r="C310" s="9">
        <v>378</v>
      </c>
      <c r="D310" s="9">
        <v>300010378</v>
      </c>
      <c r="E310" s="37" t="s">
        <v>808</v>
      </c>
      <c r="H310" s="9" t="s">
        <v>228</v>
      </c>
      <c r="I310" s="39" t="s">
        <v>773</v>
      </c>
      <c r="J310" s="9">
        <v>10</v>
      </c>
      <c r="K310" s="14">
        <v>3</v>
      </c>
      <c r="L310" s="14">
        <v>5</v>
      </c>
      <c r="M310" s="14" t="str">
        <f t="shared" si="16"/>
        <v>0305</v>
      </c>
      <c r="N310" s="17" t="s">
        <v>808</v>
      </c>
      <c r="P310" s="14" t="str">
        <f t="shared" si="17"/>
        <v>4300000</v>
      </c>
    </row>
    <row r="311" spans="1:16" ht="19.149999999999999" customHeight="1">
      <c r="A311" s="8">
        <v>30</v>
      </c>
      <c r="B311" s="9">
        <v>1</v>
      </c>
      <c r="C311" s="9">
        <v>377</v>
      </c>
      <c r="D311" s="9">
        <v>300010377</v>
      </c>
      <c r="E311" s="37" t="s">
        <v>808</v>
      </c>
      <c r="H311" s="9" t="s">
        <v>251</v>
      </c>
      <c r="I311" s="39" t="s">
        <v>773</v>
      </c>
      <c r="J311" s="9">
        <v>2.5</v>
      </c>
      <c r="K311" s="14">
        <v>3</v>
      </c>
      <c r="L311" s="14">
        <v>5</v>
      </c>
      <c r="M311" s="14" t="str">
        <f t="shared" si="16"/>
        <v>0305</v>
      </c>
      <c r="N311" s="17" t="s">
        <v>808</v>
      </c>
      <c r="P311" s="14" t="str">
        <f t="shared" si="17"/>
        <v>4300000</v>
      </c>
    </row>
    <row r="312" spans="1:16" ht="19.149999999999999" customHeight="1">
      <c r="A312" s="8">
        <v>30</v>
      </c>
      <c r="B312" s="9">
        <v>1</v>
      </c>
      <c r="C312" s="9">
        <v>376</v>
      </c>
      <c r="D312" s="9">
        <v>300010376</v>
      </c>
      <c r="E312" s="37" t="s">
        <v>808</v>
      </c>
      <c r="H312" s="9" t="s">
        <v>252</v>
      </c>
      <c r="I312" s="39" t="s">
        <v>773</v>
      </c>
      <c r="J312" s="9">
        <v>2.5</v>
      </c>
      <c r="K312" s="14">
        <v>3</v>
      </c>
      <c r="L312" s="14">
        <v>5</v>
      </c>
      <c r="M312" s="14" t="str">
        <f t="shared" si="16"/>
        <v>0305</v>
      </c>
      <c r="N312" s="17" t="s">
        <v>808</v>
      </c>
      <c r="P312" s="14" t="str">
        <f t="shared" si="17"/>
        <v>4300000</v>
      </c>
    </row>
    <row r="313" spans="1:16" ht="19.149999999999999" customHeight="1">
      <c r="A313" s="8">
        <v>30</v>
      </c>
      <c r="B313" s="9">
        <v>1</v>
      </c>
      <c r="C313" s="9">
        <v>375</v>
      </c>
      <c r="D313" s="9">
        <v>300010375</v>
      </c>
      <c r="E313" s="37" t="s">
        <v>808</v>
      </c>
      <c r="H313" s="9" t="s">
        <v>253</v>
      </c>
      <c r="I313" s="39" t="s">
        <v>773</v>
      </c>
      <c r="J313" s="9">
        <v>2.2000000000000002</v>
      </c>
      <c r="K313" s="14">
        <v>3</v>
      </c>
      <c r="L313" s="14">
        <v>5</v>
      </c>
      <c r="M313" s="14" t="str">
        <f t="shared" si="16"/>
        <v>0305</v>
      </c>
      <c r="N313" s="17" t="s">
        <v>808</v>
      </c>
      <c r="P313" s="14" t="str">
        <f t="shared" si="17"/>
        <v>4300000</v>
      </c>
    </row>
    <row r="314" spans="1:16" ht="19.149999999999999" customHeight="1">
      <c r="A314" s="8">
        <v>30</v>
      </c>
      <c r="B314" s="9">
        <v>1</v>
      </c>
      <c r="C314" s="9">
        <v>374</v>
      </c>
      <c r="D314" s="9">
        <v>300010374</v>
      </c>
      <c r="E314" s="37" t="s">
        <v>808</v>
      </c>
      <c r="H314" s="9" t="s">
        <v>254</v>
      </c>
      <c r="I314" s="39" t="s">
        <v>773</v>
      </c>
      <c r="J314" s="9">
        <v>2.2000000000000002</v>
      </c>
      <c r="K314" s="14">
        <v>3</v>
      </c>
      <c r="L314" s="14">
        <v>5</v>
      </c>
      <c r="M314" s="14" t="str">
        <f t="shared" si="16"/>
        <v>0305</v>
      </c>
      <c r="N314" s="17" t="s">
        <v>808</v>
      </c>
      <c r="P314" s="14" t="str">
        <f t="shared" si="17"/>
        <v>4300000</v>
      </c>
    </row>
    <row r="315" spans="1:16" ht="19.149999999999999" customHeight="1">
      <c r="A315" s="8">
        <v>30</v>
      </c>
      <c r="B315" s="9">
        <v>1</v>
      </c>
      <c r="C315" s="9">
        <v>379</v>
      </c>
      <c r="D315" s="9">
        <v>300010379</v>
      </c>
      <c r="E315" s="37" t="s">
        <v>808</v>
      </c>
      <c r="H315" s="9" t="s">
        <v>255</v>
      </c>
      <c r="I315" s="39" t="s">
        <v>773</v>
      </c>
      <c r="J315" s="9">
        <v>2.5</v>
      </c>
      <c r="K315" s="14">
        <v>3</v>
      </c>
      <c r="L315" s="14">
        <v>5</v>
      </c>
      <c r="M315" s="14" t="str">
        <f t="shared" si="16"/>
        <v>0305</v>
      </c>
      <c r="N315" s="17" t="s">
        <v>808</v>
      </c>
      <c r="P315" s="14" t="str">
        <f t="shared" si="17"/>
        <v>4300000</v>
      </c>
    </row>
    <row r="316" spans="1:16" ht="19.149999999999999" customHeight="1">
      <c r="A316" s="8">
        <v>30</v>
      </c>
      <c r="B316" s="9">
        <v>1</v>
      </c>
      <c r="C316" s="9">
        <v>453</v>
      </c>
      <c r="D316" s="9">
        <v>300010453</v>
      </c>
      <c r="E316" s="37" t="s">
        <v>808</v>
      </c>
      <c r="H316" s="9" t="s">
        <v>229</v>
      </c>
      <c r="I316" s="39" t="s">
        <v>773</v>
      </c>
      <c r="J316" s="9">
        <v>70</v>
      </c>
      <c r="K316" s="14">
        <v>3</v>
      </c>
      <c r="L316" s="14">
        <v>5</v>
      </c>
      <c r="M316" s="14" t="str">
        <f t="shared" si="16"/>
        <v>0305</v>
      </c>
      <c r="N316" s="17" t="s">
        <v>808</v>
      </c>
      <c r="P316" s="14" t="str">
        <f t="shared" si="17"/>
        <v>4300000</v>
      </c>
    </row>
    <row r="317" spans="1:16" ht="19.149999999999999" customHeight="1">
      <c r="A317" s="8">
        <v>30</v>
      </c>
      <c r="B317" s="9">
        <v>1</v>
      </c>
      <c r="C317" s="9">
        <v>372</v>
      </c>
      <c r="D317" s="9">
        <v>300010372</v>
      </c>
      <c r="E317" s="37" t="s">
        <v>808</v>
      </c>
      <c r="H317" s="9" t="s">
        <v>256</v>
      </c>
      <c r="I317" s="39" t="s">
        <v>777</v>
      </c>
      <c r="J317" s="9">
        <v>5.81</v>
      </c>
      <c r="K317" s="14">
        <v>3</v>
      </c>
      <c r="L317" s="14">
        <v>5</v>
      </c>
      <c r="M317" s="14" t="str">
        <f t="shared" si="16"/>
        <v>0305</v>
      </c>
      <c r="N317" s="17" t="s">
        <v>808</v>
      </c>
      <c r="P317" s="14" t="str">
        <f t="shared" si="17"/>
        <v>4300000</v>
      </c>
    </row>
    <row r="318" spans="1:16" ht="19.149999999999999" customHeight="1">
      <c r="A318" s="8">
        <v>30</v>
      </c>
      <c r="B318" s="9">
        <v>1</v>
      </c>
      <c r="C318" s="9">
        <v>491</v>
      </c>
      <c r="D318" s="9">
        <v>300010491</v>
      </c>
      <c r="E318" s="37" t="s">
        <v>808</v>
      </c>
      <c r="H318" s="9" t="s">
        <v>257</v>
      </c>
      <c r="I318" s="39" t="s">
        <v>773</v>
      </c>
      <c r="J318" s="9">
        <v>52</v>
      </c>
      <c r="K318" s="14">
        <v>3</v>
      </c>
      <c r="L318" s="14">
        <v>5</v>
      </c>
      <c r="M318" s="14" t="str">
        <f t="shared" si="16"/>
        <v>0305</v>
      </c>
      <c r="N318" s="17" t="s">
        <v>808</v>
      </c>
      <c r="P318" s="14" t="str">
        <f t="shared" si="17"/>
        <v>4300000</v>
      </c>
    </row>
    <row r="319" spans="1:16" ht="19.149999999999999" customHeight="1">
      <c r="A319" s="8">
        <v>30</v>
      </c>
      <c r="B319" s="9">
        <v>1</v>
      </c>
      <c r="C319" s="9">
        <v>505</v>
      </c>
      <c r="D319" s="9">
        <v>300010505</v>
      </c>
      <c r="E319" s="37" t="s">
        <v>808</v>
      </c>
      <c r="H319" s="9" t="s">
        <v>258</v>
      </c>
      <c r="I319" s="39" t="s">
        <v>780</v>
      </c>
      <c r="J319" s="9">
        <v>20</v>
      </c>
      <c r="K319" s="14">
        <v>3</v>
      </c>
      <c r="L319" s="14">
        <v>5</v>
      </c>
      <c r="M319" s="14" t="str">
        <f t="shared" si="16"/>
        <v>0305</v>
      </c>
      <c r="N319" s="17" t="s">
        <v>808</v>
      </c>
      <c r="P319" s="14" t="str">
        <f t="shared" si="17"/>
        <v>4300000</v>
      </c>
    </row>
    <row r="320" spans="1:16" ht="19.149999999999999" customHeight="1">
      <c r="A320" s="8">
        <v>30</v>
      </c>
      <c r="B320" s="9">
        <v>1</v>
      </c>
      <c r="C320" s="9">
        <v>480</v>
      </c>
      <c r="D320" s="9">
        <v>300010480</v>
      </c>
      <c r="E320" s="37" t="s">
        <v>808</v>
      </c>
      <c r="H320" s="9" t="s">
        <v>230</v>
      </c>
      <c r="I320" s="39" t="s">
        <v>773</v>
      </c>
      <c r="J320" s="9">
        <v>131</v>
      </c>
      <c r="K320" s="14">
        <v>3</v>
      </c>
      <c r="L320" s="14">
        <v>5</v>
      </c>
      <c r="M320" s="14" t="str">
        <f t="shared" si="16"/>
        <v>0305</v>
      </c>
      <c r="N320" s="17" t="s">
        <v>808</v>
      </c>
      <c r="P320" s="14" t="str">
        <f t="shared" si="17"/>
        <v>4300000</v>
      </c>
    </row>
    <row r="321" spans="1:16" ht="19.149999999999999" customHeight="1">
      <c r="A321" s="8">
        <v>30</v>
      </c>
      <c r="B321" s="9">
        <v>1</v>
      </c>
      <c r="C321" s="9">
        <v>478</v>
      </c>
      <c r="D321" s="9">
        <v>300010478</v>
      </c>
      <c r="E321" s="37" t="s">
        <v>808</v>
      </c>
      <c r="H321" s="9" t="s">
        <v>231</v>
      </c>
      <c r="I321" s="39" t="s">
        <v>773</v>
      </c>
      <c r="J321" s="9">
        <v>145.78</v>
      </c>
      <c r="K321" s="14">
        <v>3</v>
      </c>
      <c r="L321" s="14">
        <v>5</v>
      </c>
      <c r="M321" s="14" t="str">
        <f t="shared" si="16"/>
        <v>0305</v>
      </c>
      <c r="N321" s="17" t="s">
        <v>808</v>
      </c>
      <c r="P321" s="14" t="str">
        <f t="shared" si="17"/>
        <v>4300000</v>
      </c>
    </row>
    <row r="322" spans="1:16" ht="19.149999999999999" customHeight="1">
      <c r="A322" s="8">
        <v>30</v>
      </c>
      <c r="B322" s="9">
        <v>1</v>
      </c>
      <c r="C322" s="9">
        <v>423</v>
      </c>
      <c r="D322" s="9">
        <v>300010423</v>
      </c>
      <c r="E322" s="37" t="s">
        <v>808</v>
      </c>
      <c r="H322" s="9" t="s">
        <v>232</v>
      </c>
      <c r="I322" s="39" t="s">
        <v>773</v>
      </c>
      <c r="J322" s="9">
        <v>13.28</v>
      </c>
      <c r="K322" s="14">
        <v>3</v>
      </c>
      <c r="L322" s="14">
        <v>5</v>
      </c>
      <c r="M322" s="14" t="str">
        <f t="shared" si="16"/>
        <v>0305</v>
      </c>
      <c r="N322" s="17" t="s">
        <v>808</v>
      </c>
      <c r="P322" s="14" t="str">
        <f t="shared" si="17"/>
        <v>4300000</v>
      </c>
    </row>
    <row r="323" spans="1:16" ht="19.149999999999999" customHeight="1">
      <c r="A323" s="8">
        <v>30</v>
      </c>
      <c r="B323" s="9">
        <v>1</v>
      </c>
      <c r="C323" s="9">
        <v>479</v>
      </c>
      <c r="D323" s="9">
        <v>300010479</v>
      </c>
      <c r="E323" s="37" t="s">
        <v>808</v>
      </c>
      <c r="H323" s="9" t="s">
        <v>233</v>
      </c>
      <c r="I323" s="39" t="s">
        <v>773</v>
      </c>
      <c r="J323" s="9">
        <v>0</v>
      </c>
      <c r="K323" s="14">
        <v>3</v>
      </c>
      <c r="L323" s="14">
        <v>5</v>
      </c>
      <c r="M323" s="14" t="str">
        <f t="shared" si="16"/>
        <v>0305</v>
      </c>
      <c r="N323" s="17" t="s">
        <v>808</v>
      </c>
      <c r="P323" s="14" t="str">
        <f t="shared" si="17"/>
        <v>4300000</v>
      </c>
    </row>
    <row r="324" spans="1:16" ht="19.149999999999999" customHeight="1">
      <c r="A324" s="8">
        <v>39</v>
      </c>
      <c r="B324" s="9">
        <v>1</v>
      </c>
      <c r="C324" s="9">
        <v>20</v>
      </c>
      <c r="D324" s="9">
        <v>390010020</v>
      </c>
      <c r="E324" s="37" t="s">
        <v>808</v>
      </c>
      <c r="H324" s="9" t="s">
        <v>234</v>
      </c>
      <c r="I324" s="39" t="s">
        <v>773</v>
      </c>
      <c r="J324" s="9">
        <v>0</v>
      </c>
      <c r="K324" s="14">
        <v>3</v>
      </c>
      <c r="L324" s="14">
        <v>5</v>
      </c>
      <c r="M324" s="14" t="str">
        <f t="shared" si="16"/>
        <v>0305</v>
      </c>
      <c r="N324" s="17" t="s">
        <v>808</v>
      </c>
      <c r="P324" s="14" t="str">
        <f t="shared" si="17"/>
        <v>4300000</v>
      </c>
    </row>
    <row r="325" spans="1:16" ht="19.149999999999999" customHeight="1">
      <c r="A325" s="8">
        <v>30</v>
      </c>
      <c r="B325" s="9">
        <v>1</v>
      </c>
      <c r="C325" s="9">
        <v>435</v>
      </c>
      <c r="D325" s="9">
        <v>300010435</v>
      </c>
      <c r="E325" s="37" t="s">
        <v>808</v>
      </c>
      <c r="H325" s="9" t="s">
        <v>235</v>
      </c>
      <c r="I325" s="39" t="s">
        <v>773</v>
      </c>
      <c r="J325" s="9">
        <v>14</v>
      </c>
      <c r="K325" s="14">
        <v>3</v>
      </c>
      <c r="L325" s="14">
        <v>5</v>
      </c>
      <c r="M325" s="14" t="str">
        <f t="shared" si="16"/>
        <v>0305</v>
      </c>
      <c r="N325" s="17" t="s">
        <v>808</v>
      </c>
      <c r="P325" s="14" t="str">
        <f t="shared" si="17"/>
        <v>4300000</v>
      </c>
    </row>
    <row r="326" spans="1:16" ht="19.149999999999999" customHeight="1">
      <c r="A326" s="8">
        <v>43</v>
      </c>
      <c r="B326" s="9">
        <v>1</v>
      </c>
      <c r="C326" s="9">
        <v>3</v>
      </c>
      <c r="D326" s="9">
        <v>430010003</v>
      </c>
      <c r="E326" s="37" t="s">
        <v>808</v>
      </c>
      <c r="H326" s="9" t="s">
        <v>236</v>
      </c>
      <c r="I326" s="39" t="s">
        <v>773</v>
      </c>
      <c r="J326" s="9">
        <v>3.45</v>
      </c>
      <c r="K326" s="14">
        <v>3</v>
      </c>
      <c r="L326" s="14">
        <v>5</v>
      </c>
      <c r="M326" s="14" t="str">
        <f t="shared" si="16"/>
        <v>0305</v>
      </c>
      <c r="N326" s="17" t="s">
        <v>808</v>
      </c>
      <c r="P326" s="14" t="str">
        <f t="shared" si="17"/>
        <v>4300000</v>
      </c>
    </row>
    <row r="327" spans="1:16" ht="19.149999999999999" customHeight="1">
      <c r="A327" s="8">
        <v>43</v>
      </c>
      <c r="B327" s="9">
        <v>1</v>
      </c>
      <c r="C327" s="9">
        <v>5</v>
      </c>
      <c r="D327" s="9">
        <v>430010005</v>
      </c>
      <c r="E327" s="37" t="s">
        <v>808</v>
      </c>
      <c r="H327" s="9" t="s">
        <v>259</v>
      </c>
      <c r="I327" s="39" t="s">
        <v>773</v>
      </c>
      <c r="J327" s="9">
        <v>18</v>
      </c>
      <c r="K327" s="14">
        <v>3</v>
      </c>
      <c r="L327" s="14">
        <v>5</v>
      </c>
      <c r="M327" s="14" t="str">
        <f t="shared" si="16"/>
        <v>0305</v>
      </c>
      <c r="N327" s="17" t="s">
        <v>808</v>
      </c>
      <c r="P327" s="14" t="str">
        <f t="shared" si="17"/>
        <v>4300000</v>
      </c>
    </row>
    <row r="328" spans="1:16" ht="19.149999999999999" customHeight="1">
      <c r="A328" s="8">
        <v>43</v>
      </c>
      <c r="B328" s="9">
        <v>1</v>
      </c>
      <c r="C328" s="9">
        <v>4</v>
      </c>
      <c r="D328" s="9">
        <v>430010004</v>
      </c>
      <c r="E328" s="37" t="s">
        <v>808</v>
      </c>
      <c r="H328" s="9" t="s">
        <v>260</v>
      </c>
      <c r="I328" s="39" t="s">
        <v>773</v>
      </c>
      <c r="J328" s="9">
        <v>13.9</v>
      </c>
      <c r="K328" s="14">
        <v>3</v>
      </c>
      <c r="L328" s="14">
        <v>5</v>
      </c>
      <c r="M328" s="14" t="str">
        <f t="shared" si="16"/>
        <v>0305</v>
      </c>
      <c r="N328" s="17" t="s">
        <v>808</v>
      </c>
      <c r="P328" s="14" t="str">
        <f t="shared" si="17"/>
        <v>4300000</v>
      </c>
    </row>
    <row r="329" spans="1:16" ht="19.149999999999999" customHeight="1">
      <c r="A329" s="8">
        <v>30</v>
      </c>
      <c r="B329" s="9">
        <v>1</v>
      </c>
      <c r="C329" s="9">
        <v>380</v>
      </c>
      <c r="D329" s="9">
        <v>300010380</v>
      </c>
      <c r="E329" s="41" t="s">
        <v>808</v>
      </c>
      <c r="F329" s="41"/>
      <c r="G329" s="41"/>
      <c r="H329" s="9" t="s">
        <v>753</v>
      </c>
      <c r="I329" s="39" t="s">
        <v>773</v>
      </c>
      <c r="J329" s="9">
        <v>80</v>
      </c>
      <c r="K329" s="14"/>
      <c r="L329" s="14"/>
      <c r="M329" s="14" t="str">
        <f t="shared" si="16"/>
        <v>0000</v>
      </c>
      <c r="N329" s="19" t="s">
        <v>808</v>
      </c>
      <c r="O329" s="19"/>
      <c r="P329" s="14" t="str">
        <f t="shared" si="17"/>
        <v>4300000</v>
      </c>
    </row>
    <row r="330" spans="1:16" ht="19.149999999999999" customHeight="1">
      <c r="A330" s="8">
        <v>30</v>
      </c>
      <c r="B330" s="9">
        <v>1</v>
      </c>
      <c r="C330" s="9">
        <v>381</v>
      </c>
      <c r="D330" s="9">
        <v>300010381</v>
      </c>
      <c r="E330" s="37" t="s">
        <v>808</v>
      </c>
      <c r="H330" s="9" t="s">
        <v>243</v>
      </c>
      <c r="I330" s="39" t="s">
        <v>773</v>
      </c>
      <c r="J330" s="9">
        <v>9</v>
      </c>
      <c r="K330" s="14">
        <v>3</v>
      </c>
      <c r="L330" s="14">
        <v>5</v>
      </c>
      <c r="M330" s="14" t="str">
        <f t="shared" si="16"/>
        <v>0305</v>
      </c>
      <c r="N330" s="17" t="s">
        <v>808</v>
      </c>
      <c r="P330" s="14" t="str">
        <f t="shared" si="17"/>
        <v>4300000</v>
      </c>
    </row>
    <row r="331" spans="1:16" ht="19.149999999999999" customHeight="1">
      <c r="A331" s="8">
        <v>30</v>
      </c>
      <c r="B331" s="9">
        <v>1</v>
      </c>
      <c r="C331" s="9">
        <v>382</v>
      </c>
      <c r="D331" s="9">
        <v>300010382</v>
      </c>
      <c r="E331" s="37" t="s">
        <v>808</v>
      </c>
      <c r="H331" s="9" t="s">
        <v>244</v>
      </c>
      <c r="I331" s="39" t="s">
        <v>773</v>
      </c>
      <c r="J331" s="9">
        <v>9</v>
      </c>
      <c r="K331" s="14">
        <v>3</v>
      </c>
      <c r="L331" s="14">
        <v>5</v>
      </c>
      <c r="M331" s="14" t="str">
        <f t="shared" si="16"/>
        <v>0305</v>
      </c>
      <c r="N331" s="17" t="s">
        <v>808</v>
      </c>
      <c r="P331" s="14" t="str">
        <f t="shared" si="17"/>
        <v>4300000</v>
      </c>
    </row>
    <row r="332" spans="1:16" ht="19.149999999999999" customHeight="1">
      <c r="A332" s="8">
        <v>30</v>
      </c>
      <c r="B332" s="9">
        <v>1</v>
      </c>
      <c r="C332" s="9">
        <v>452</v>
      </c>
      <c r="D332" s="9">
        <v>300010452</v>
      </c>
      <c r="E332" s="37" t="s">
        <v>808</v>
      </c>
      <c r="H332" s="9" t="s">
        <v>245</v>
      </c>
      <c r="I332" s="39" t="s">
        <v>773</v>
      </c>
      <c r="J332" s="9">
        <v>3</v>
      </c>
      <c r="K332" s="14">
        <v>3</v>
      </c>
      <c r="L332" s="14">
        <v>5</v>
      </c>
      <c r="M332" s="14" t="str">
        <f t="shared" si="16"/>
        <v>0305</v>
      </c>
      <c r="N332" s="17" t="s">
        <v>808</v>
      </c>
      <c r="P332" s="14" t="str">
        <f t="shared" si="17"/>
        <v>4300000</v>
      </c>
    </row>
    <row r="333" spans="1:16" ht="19.149999999999999" customHeight="1">
      <c r="A333" s="8">
        <v>30</v>
      </c>
      <c r="B333" s="9">
        <v>1</v>
      </c>
      <c r="C333" s="9">
        <v>373</v>
      </c>
      <c r="D333" s="9">
        <v>300010373</v>
      </c>
      <c r="E333" s="37" t="s">
        <v>808</v>
      </c>
      <c r="H333" s="9" t="s">
        <v>246</v>
      </c>
      <c r="I333" s="39" t="s">
        <v>773</v>
      </c>
      <c r="J333" s="9">
        <v>5</v>
      </c>
      <c r="K333" s="14">
        <v>3</v>
      </c>
      <c r="L333" s="14">
        <v>5</v>
      </c>
      <c r="M333" s="14" t="str">
        <f t="shared" si="16"/>
        <v>0305</v>
      </c>
      <c r="N333" s="17" t="s">
        <v>808</v>
      </c>
      <c r="P333" s="14" t="str">
        <f t="shared" si="17"/>
        <v>4300000</v>
      </c>
    </row>
    <row r="334" spans="1:16" ht="19.149999999999999" customHeight="1">
      <c r="A334" s="8">
        <v>30</v>
      </c>
      <c r="B334" s="9">
        <v>1</v>
      </c>
      <c r="C334" s="9">
        <v>437</v>
      </c>
      <c r="D334" s="9">
        <v>300010437</v>
      </c>
      <c r="E334" s="37" t="s">
        <v>808</v>
      </c>
      <c r="H334" s="9" t="s">
        <v>211</v>
      </c>
      <c r="I334" s="39" t="s">
        <v>773</v>
      </c>
      <c r="J334" s="9">
        <v>0.25</v>
      </c>
      <c r="K334" s="14">
        <v>3</v>
      </c>
      <c r="L334" s="14">
        <v>5</v>
      </c>
      <c r="M334" s="14" t="str">
        <f t="shared" si="16"/>
        <v>0305</v>
      </c>
      <c r="N334" s="17" t="s">
        <v>808</v>
      </c>
      <c r="P334" s="14" t="str">
        <f t="shared" si="17"/>
        <v>4300000</v>
      </c>
    </row>
    <row r="335" spans="1:16" ht="19.149999999999999" customHeight="1">
      <c r="A335" s="8">
        <v>30</v>
      </c>
      <c r="B335" s="9">
        <v>1</v>
      </c>
      <c r="C335" s="9">
        <v>383</v>
      </c>
      <c r="D335" s="9">
        <v>300010383</v>
      </c>
      <c r="E335" s="37" t="s">
        <v>808</v>
      </c>
      <c r="H335" s="9" t="s">
        <v>261</v>
      </c>
      <c r="I335" s="39" t="s">
        <v>773</v>
      </c>
      <c r="J335" s="9">
        <v>0.15</v>
      </c>
      <c r="K335" s="14">
        <v>3</v>
      </c>
      <c r="L335" s="14">
        <v>5</v>
      </c>
      <c r="M335" s="14" t="str">
        <f t="shared" si="16"/>
        <v>0305</v>
      </c>
      <c r="N335" s="17" t="s">
        <v>808</v>
      </c>
      <c r="P335" s="14" t="str">
        <f t="shared" si="17"/>
        <v>4300000</v>
      </c>
    </row>
    <row r="336" spans="1:16" ht="19.149999999999999" customHeight="1">
      <c r="A336" s="8">
        <v>30</v>
      </c>
      <c r="B336" s="9">
        <v>1</v>
      </c>
      <c r="C336" s="9">
        <v>507</v>
      </c>
      <c r="D336" s="9">
        <v>300010507</v>
      </c>
      <c r="E336" s="37" t="s">
        <v>808</v>
      </c>
      <c r="H336" s="9" t="s">
        <v>262</v>
      </c>
      <c r="I336" s="39" t="s">
        <v>773</v>
      </c>
      <c r="J336" s="9">
        <v>0.25</v>
      </c>
      <c r="K336" s="14">
        <v>3</v>
      </c>
      <c r="L336" s="14">
        <v>5</v>
      </c>
      <c r="M336" s="14" t="str">
        <f t="shared" si="16"/>
        <v>0305</v>
      </c>
      <c r="N336" s="17" t="s">
        <v>808</v>
      </c>
      <c r="P336" s="14" t="str">
        <f t="shared" si="17"/>
        <v>4300000</v>
      </c>
    </row>
    <row r="337" spans="1:16" ht="19.149999999999999" customHeight="1">
      <c r="A337" s="8">
        <v>30</v>
      </c>
      <c r="B337" s="9">
        <v>1</v>
      </c>
      <c r="C337" s="9">
        <v>394</v>
      </c>
      <c r="D337" s="9">
        <v>300010394</v>
      </c>
      <c r="E337" s="37" t="s">
        <v>808</v>
      </c>
      <c r="H337" s="9" t="s">
        <v>123</v>
      </c>
      <c r="I337" s="39" t="s">
        <v>773</v>
      </c>
      <c r="J337" s="9">
        <v>0.25</v>
      </c>
      <c r="K337" s="14">
        <v>3</v>
      </c>
      <c r="L337" s="14">
        <v>4</v>
      </c>
      <c r="M337" s="14" t="str">
        <f t="shared" si="16"/>
        <v>0304</v>
      </c>
      <c r="N337" s="17" t="s">
        <v>808</v>
      </c>
      <c r="P337" s="14" t="str">
        <f t="shared" si="17"/>
        <v>4300000</v>
      </c>
    </row>
    <row r="338" spans="1:16" ht="19.149999999999999" customHeight="1">
      <c r="A338" s="8">
        <v>30</v>
      </c>
      <c r="B338" s="9">
        <v>1</v>
      </c>
      <c r="C338" s="9">
        <v>392</v>
      </c>
      <c r="D338" s="9">
        <v>300010392</v>
      </c>
      <c r="E338" s="37" t="s">
        <v>808</v>
      </c>
      <c r="H338" s="9" t="s">
        <v>124</v>
      </c>
      <c r="I338" s="39" t="s">
        <v>773</v>
      </c>
      <c r="J338" s="9">
        <v>0.25</v>
      </c>
      <c r="K338" s="14">
        <v>3</v>
      </c>
      <c r="L338" s="14">
        <v>4</v>
      </c>
      <c r="M338" s="14" t="str">
        <f t="shared" si="16"/>
        <v>0304</v>
      </c>
      <c r="N338" s="17" t="s">
        <v>808</v>
      </c>
      <c r="P338" s="14" t="str">
        <f t="shared" si="17"/>
        <v>4300000</v>
      </c>
    </row>
    <row r="339" spans="1:16" ht="19.149999999999999" customHeight="1">
      <c r="A339" s="8">
        <v>30</v>
      </c>
      <c r="B339" s="9">
        <v>1</v>
      </c>
      <c r="C339" s="9">
        <v>451</v>
      </c>
      <c r="D339" s="9">
        <v>300010451</v>
      </c>
      <c r="E339" s="37" t="s">
        <v>808</v>
      </c>
      <c r="H339" s="9" t="s">
        <v>125</v>
      </c>
      <c r="I339" s="39" t="s">
        <v>773</v>
      </c>
      <c r="J339" s="9">
        <v>0.25</v>
      </c>
      <c r="K339" s="14">
        <v>3</v>
      </c>
      <c r="L339" s="14">
        <v>4</v>
      </c>
      <c r="M339" s="14" t="str">
        <f t="shared" si="16"/>
        <v>0304</v>
      </c>
      <c r="N339" s="17" t="s">
        <v>808</v>
      </c>
      <c r="P339" s="14" t="str">
        <f t="shared" si="17"/>
        <v>4300000</v>
      </c>
    </row>
    <row r="340" spans="1:16" ht="19.149999999999999" customHeight="1">
      <c r="A340" s="8">
        <v>30</v>
      </c>
      <c r="B340" s="9">
        <v>1</v>
      </c>
      <c r="C340" s="9">
        <v>438</v>
      </c>
      <c r="D340" s="9">
        <v>300010438</v>
      </c>
      <c r="E340" s="37" t="s">
        <v>808</v>
      </c>
      <c r="H340" s="9" t="s">
        <v>126</v>
      </c>
      <c r="I340" s="39" t="s">
        <v>773</v>
      </c>
      <c r="J340" s="9">
        <v>0.25</v>
      </c>
      <c r="K340" s="14">
        <v>3</v>
      </c>
      <c r="L340" s="14">
        <v>4</v>
      </c>
      <c r="M340" s="14" t="str">
        <f t="shared" si="16"/>
        <v>0304</v>
      </c>
      <c r="N340" s="17" t="s">
        <v>808</v>
      </c>
      <c r="P340" s="14" t="str">
        <f t="shared" si="17"/>
        <v>4300000</v>
      </c>
    </row>
    <row r="341" spans="1:16" ht="19.149999999999999" customHeight="1">
      <c r="A341" s="8">
        <v>52</v>
      </c>
      <c r="B341" s="9">
        <v>1</v>
      </c>
      <c r="C341" s="9">
        <v>567</v>
      </c>
      <c r="D341" s="9">
        <v>520010567</v>
      </c>
      <c r="E341" s="37" t="s">
        <v>808</v>
      </c>
      <c r="H341" s="9" t="s">
        <v>127</v>
      </c>
      <c r="I341" s="39" t="s">
        <v>773</v>
      </c>
      <c r="J341" s="9">
        <v>0.25</v>
      </c>
      <c r="K341" s="14">
        <v>3</v>
      </c>
      <c r="L341" s="14">
        <v>4</v>
      </c>
      <c r="M341" s="14" t="str">
        <f t="shared" si="16"/>
        <v>0304</v>
      </c>
      <c r="N341" s="17" t="s">
        <v>808</v>
      </c>
      <c r="P341" s="14" t="str">
        <f t="shared" si="17"/>
        <v>4300000</v>
      </c>
    </row>
    <row r="342" spans="1:16" ht="19.149999999999999" customHeight="1">
      <c r="A342" s="8">
        <v>26</v>
      </c>
      <c r="B342" s="9">
        <v>1</v>
      </c>
      <c r="C342" s="9">
        <v>2</v>
      </c>
      <c r="D342" s="9">
        <v>260010002</v>
      </c>
      <c r="E342" s="37" t="s">
        <v>808</v>
      </c>
      <c r="H342" s="9" t="s">
        <v>128</v>
      </c>
      <c r="I342" s="39" t="s">
        <v>773</v>
      </c>
      <c r="J342" s="9">
        <v>0.1</v>
      </c>
      <c r="K342" s="14">
        <v>3</v>
      </c>
      <c r="L342" s="14">
        <v>4</v>
      </c>
      <c r="M342" s="14" t="str">
        <f t="shared" si="16"/>
        <v>0304</v>
      </c>
      <c r="N342" s="17" t="s">
        <v>808</v>
      </c>
      <c r="P342" s="14" t="str">
        <f t="shared" si="17"/>
        <v>4300000</v>
      </c>
    </row>
    <row r="343" spans="1:16" ht="19.149999999999999" customHeight="1">
      <c r="A343" s="8">
        <v>26</v>
      </c>
      <c r="B343" s="9">
        <v>1</v>
      </c>
      <c r="C343" s="9">
        <v>349</v>
      </c>
      <c r="D343" s="9">
        <v>260010349</v>
      </c>
      <c r="E343" s="37" t="s">
        <v>808</v>
      </c>
      <c r="H343" s="9" t="s">
        <v>163</v>
      </c>
      <c r="I343" s="39" t="s">
        <v>773</v>
      </c>
      <c r="J343" s="9">
        <v>1.5</v>
      </c>
      <c r="K343" s="14">
        <v>3</v>
      </c>
      <c r="L343" s="14">
        <v>4</v>
      </c>
      <c r="M343" s="14" t="str">
        <f t="shared" si="16"/>
        <v>0304</v>
      </c>
      <c r="N343" s="17" t="s">
        <v>808</v>
      </c>
      <c r="P343" s="14" t="str">
        <f t="shared" si="17"/>
        <v>4300000</v>
      </c>
    </row>
    <row r="344" spans="1:16" ht="19.149999999999999" customHeight="1">
      <c r="A344" s="8">
        <v>26</v>
      </c>
      <c r="B344" s="9">
        <v>1</v>
      </c>
      <c r="C344" s="9">
        <v>354</v>
      </c>
      <c r="D344" s="9">
        <v>260010354</v>
      </c>
      <c r="E344" s="37" t="s">
        <v>808</v>
      </c>
      <c r="H344" s="9" t="s">
        <v>329</v>
      </c>
      <c r="I344" s="39" t="s">
        <v>776</v>
      </c>
      <c r="J344" s="9">
        <v>26.9</v>
      </c>
      <c r="K344" s="14">
        <v>3</v>
      </c>
      <c r="L344" s="14">
        <v>7</v>
      </c>
      <c r="M344" s="14" t="str">
        <f t="shared" si="16"/>
        <v>0307</v>
      </c>
      <c r="N344" s="17" t="s">
        <v>808</v>
      </c>
      <c r="P344" s="14" t="str">
        <f t="shared" si="17"/>
        <v>4300000</v>
      </c>
    </row>
    <row r="345" spans="1:16" ht="19.149999999999999" customHeight="1">
      <c r="A345" s="8">
        <v>30</v>
      </c>
      <c r="B345" s="9">
        <v>1</v>
      </c>
      <c r="C345" s="9">
        <v>393</v>
      </c>
      <c r="D345" s="9">
        <v>300010393</v>
      </c>
      <c r="E345" s="37" t="s">
        <v>815</v>
      </c>
      <c r="H345" s="9" t="s">
        <v>264</v>
      </c>
      <c r="I345" s="39" t="s">
        <v>773</v>
      </c>
      <c r="J345" s="9">
        <v>27</v>
      </c>
      <c r="K345" s="14">
        <v>3</v>
      </c>
      <c r="L345" s="14">
        <v>5</v>
      </c>
      <c r="M345" s="14" t="str">
        <f t="shared" si="16"/>
        <v>0305</v>
      </c>
      <c r="N345" s="17" t="s">
        <v>815</v>
      </c>
      <c r="P345" s="14" t="str">
        <f t="shared" si="17"/>
        <v>4400000</v>
      </c>
    </row>
    <row r="346" spans="1:16" ht="19.149999999999999" customHeight="1">
      <c r="A346" s="8">
        <v>43</v>
      </c>
      <c r="B346" s="9">
        <v>1</v>
      </c>
      <c r="C346" s="9">
        <v>6</v>
      </c>
      <c r="D346" s="9">
        <v>430010006</v>
      </c>
      <c r="E346" s="41">
        <v>46</v>
      </c>
      <c r="F346" s="41"/>
      <c r="G346" s="41"/>
      <c r="H346" s="9" t="s">
        <v>684</v>
      </c>
      <c r="I346" s="39" t="s">
        <v>773</v>
      </c>
      <c r="J346" s="9">
        <v>27</v>
      </c>
      <c r="K346" s="14">
        <v>7</v>
      </c>
      <c r="L346" s="14">
        <v>3</v>
      </c>
      <c r="M346" s="14" t="str">
        <f t="shared" si="16"/>
        <v>0703</v>
      </c>
      <c r="N346" s="19">
        <v>46</v>
      </c>
      <c r="O346" s="19"/>
      <c r="P346" s="14" t="str">
        <f t="shared" si="17"/>
        <v>4600000</v>
      </c>
    </row>
    <row r="347" spans="1:16" ht="19.149999999999999" customHeight="1">
      <c r="A347" s="8">
        <v>43</v>
      </c>
      <c r="B347" s="9">
        <v>1</v>
      </c>
      <c r="C347" s="9">
        <v>558</v>
      </c>
      <c r="D347" s="9">
        <v>430010558</v>
      </c>
      <c r="E347" s="41">
        <v>46</v>
      </c>
      <c r="F347" s="41"/>
      <c r="G347" s="41"/>
      <c r="H347" s="9" t="s">
        <v>685</v>
      </c>
      <c r="I347" s="39" t="s">
        <v>775</v>
      </c>
      <c r="J347" s="9">
        <v>16.95</v>
      </c>
      <c r="K347" s="14">
        <v>7</v>
      </c>
      <c r="L347" s="14">
        <v>3</v>
      </c>
      <c r="M347" s="14" t="str">
        <f t="shared" si="16"/>
        <v>0703</v>
      </c>
      <c r="N347" s="19">
        <v>46</v>
      </c>
      <c r="O347" s="19"/>
      <c r="P347" s="14" t="str">
        <f t="shared" si="17"/>
        <v>4600000</v>
      </c>
    </row>
    <row r="348" spans="1:16" ht="19.149999999999999" customHeight="1">
      <c r="A348" s="8">
        <v>39</v>
      </c>
      <c r="B348" s="9">
        <v>1</v>
      </c>
      <c r="C348" s="9">
        <v>544</v>
      </c>
      <c r="D348" s="9">
        <v>390010544</v>
      </c>
      <c r="E348" s="41">
        <v>48</v>
      </c>
      <c r="F348" s="41"/>
      <c r="G348" s="41"/>
      <c r="H348" s="9" t="s">
        <v>697</v>
      </c>
      <c r="I348" s="39" t="s">
        <v>773</v>
      </c>
      <c r="J348" s="9">
        <v>100</v>
      </c>
      <c r="K348" s="14"/>
      <c r="L348" s="14"/>
      <c r="M348" s="14" t="str">
        <f t="shared" si="16"/>
        <v>0000</v>
      </c>
      <c r="N348" s="19">
        <v>48</v>
      </c>
      <c r="O348" s="19"/>
      <c r="P348" s="14" t="str">
        <f t="shared" si="17"/>
        <v>4800000</v>
      </c>
    </row>
    <row r="349" spans="1:16" ht="19.149999999999999" customHeight="1">
      <c r="A349" s="8">
        <v>30</v>
      </c>
      <c r="B349" s="9">
        <v>1</v>
      </c>
      <c r="C349" s="9">
        <v>42</v>
      </c>
      <c r="D349" s="9">
        <v>300010042</v>
      </c>
      <c r="E349" s="37" t="s">
        <v>800</v>
      </c>
      <c r="H349" s="9" t="s">
        <v>134</v>
      </c>
      <c r="I349" s="39" t="s">
        <v>773</v>
      </c>
      <c r="J349" s="9">
        <v>14</v>
      </c>
      <c r="K349" s="14">
        <v>3</v>
      </c>
      <c r="L349" s="14">
        <v>4</v>
      </c>
      <c r="M349" s="14" t="str">
        <f t="shared" si="16"/>
        <v>0304</v>
      </c>
      <c r="N349" s="17" t="s">
        <v>800</v>
      </c>
      <c r="P349" s="14" t="str">
        <f t="shared" si="17"/>
        <v>4800000</v>
      </c>
    </row>
    <row r="350" spans="1:16" ht="19.149999999999999" customHeight="1">
      <c r="A350" s="8">
        <v>24</v>
      </c>
      <c r="B350" s="9">
        <v>1</v>
      </c>
      <c r="C350" s="9">
        <v>336</v>
      </c>
      <c r="D350" s="9">
        <v>240010336</v>
      </c>
      <c r="E350" s="37" t="s">
        <v>800</v>
      </c>
      <c r="H350" s="9" t="s">
        <v>145</v>
      </c>
      <c r="I350" s="39" t="s">
        <v>773</v>
      </c>
      <c r="J350" s="9">
        <v>3.99</v>
      </c>
      <c r="K350" s="14">
        <v>3</v>
      </c>
      <c r="L350" s="14">
        <v>4</v>
      </c>
      <c r="M350" s="14" t="str">
        <f t="shared" si="16"/>
        <v>0304</v>
      </c>
      <c r="N350" s="17" t="s">
        <v>800</v>
      </c>
      <c r="P350" s="14" t="str">
        <f t="shared" si="17"/>
        <v>4800000</v>
      </c>
    </row>
    <row r="351" spans="1:16" ht="19.149999999999999" customHeight="1">
      <c r="A351" s="8">
        <v>30</v>
      </c>
      <c r="B351" s="9">
        <v>1</v>
      </c>
      <c r="C351" s="9">
        <v>422</v>
      </c>
      <c r="D351" s="9">
        <v>300010422</v>
      </c>
      <c r="E351" s="37" t="s">
        <v>800</v>
      </c>
      <c r="H351" s="9" t="s">
        <v>49</v>
      </c>
      <c r="I351" s="39" t="s">
        <v>773</v>
      </c>
      <c r="J351" s="9">
        <v>9</v>
      </c>
      <c r="K351" s="14">
        <v>3</v>
      </c>
      <c r="L351" s="14">
        <v>2</v>
      </c>
      <c r="M351" s="14" t="str">
        <f t="shared" si="16"/>
        <v>0302</v>
      </c>
      <c r="N351" s="17" t="s">
        <v>800</v>
      </c>
      <c r="P351" s="14" t="str">
        <f t="shared" si="17"/>
        <v>4800000</v>
      </c>
    </row>
    <row r="352" spans="1:16" ht="19.149999999999999" customHeight="1">
      <c r="A352" s="8">
        <v>52</v>
      </c>
      <c r="B352" s="9">
        <v>1</v>
      </c>
      <c r="C352" s="9">
        <v>569</v>
      </c>
      <c r="D352" s="9">
        <v>520010569</v>
      </c>
      <c r="E352" s="41">
        <v>48</v>
      </c>
      <c r="F352" s="41"/>
      <c r="G352" s="41"/>
      <c r="H352" s="9" t="s">
        <v>712</v>
      </c>
      <c r="I352" s="39" t="s">
        <v>773</v>
      </c>
      <c r="J352" s="9">
        <v>9500</v>
      </c>
      <c r="K352" s="14"/>
      <c r="L352" s="14"/>
      <c r="M352" s="14" t="str">
        <f t="shared" si="16"/>
        <v>0000</v>
      </c>
      <c r="N352" s="19">
        <v>48</v>
      </c>
      <c r="O352" s="19"/>
      <c r="P352" s="14" t="str">
        <f t="shared" si="17"/>
        <v>4800000</v>
      </c>
    </row>
    <row r="353" spans="1:16" ht="19.149999999999999" customHeight="1">
      <c r="A353" s="8">
        <v>30</v>
      </c>
      <c r="B353" s="9">
        <v>1</v>
      </c>
      <c r="C353" s="9">
        <v>367</v>
      </c>
      <c r="D353" s="9">
        <v>300010367</v>
      </c>
      <c r="E353" s="37" t="s">
        <v>800</v>
      </c>
      <c r="H353" s="9" t="s">
        <v>89</v>
      </c>
      <c r="I353" s="39" t="s">
        <v>773</v>
      </c>
      <c r="J353" s="9">
        <v>20</v>
      </c>
      <c r="K353" s="14">
        <v>3</v>
      </c>
      <c r="L353" s="14">
        <v>3</v>
      </c>
      <c r="M353" s="14" t="str">
        <f t="shared" si="16"/>
        <v>0303</v>
      </c>
      <c r="N353" s="17" t="s">
        <v>800</v>
      </c>
      <c r="P353" s="14" t="str">
        <f t="shared" si="17"/>
        <v>4800000</v>
      </c>
    </row>
    <row r="354" spans="1:16" ht="19.149999999999999" customHeight="1">
      <c r="A354" s="8">
        <v>54</v>
      </c>
      <c r="B354" s="9">
        <v>1</v>
      </c>
      <c r="C354" s="9">
        <v>633</v>
      </c>
      <c r="D354" s="9">
        <v>540010633</v>
      </c>
      <c r="E354" s="41">
        <v>48</v>
      </c>
      <c r="F354" s="41"/>
      <c r="G354" s="41"/>
      <c r="H354" s="9" t="s">
        <v>745</v>
      </c>
      <c r="I354" s="39" t="s">
        <v>773</v>
      </c>
      <c r="J354" s="9">
        <v>539</v>
      </c>
      <c r="K354" s="14"/>
      <c r="L354" s="14"/>
      <c r="M354" s="14" t="str">
        <f t="shared" si="16"/>
        <v>0000</v>
      </c>
      <c r="N354" s="19">
        <v>48</v>
      </c>
      <c r="O354" s="19"/>
      <c r="P354" s="14" t="str">
        <f t="shared" si="17"/>
        <v>4800000</v>
      </c>
    </row>
    <row r="355" spans="1:16" ht="19.149999999999999" customHeight="1">
      <c r="A355" s="8">
        <v>39</v>
      </c>
      <c r="B355" s="9">
        <v>1</v>
      </c>
      <c r="C355" s="9">
        <v>543</v>
      </c>
      <c r="D355" s="9">
        <v>390010543</v>
      </c>
      <c r="E355" s="37" t="s">
        <v>788</v>
      </c>
      <c r="H355" s="9" t="s">
        <v>289</v>
      </c>
      <c r="I355" s="39" t="s">
        <v>773</v>
      </c>
      <c r="J355" s="9">
        <v>2</v>
      </c>
      <c r="K355" s="14">
        <v>4</v>
      </c>
      <c r="L355" s="14">
        <v>1</v>
      </c>
      <c r="M355" s="14" t="str">
        <f t="shared" si="16"/>
        <v>0401</v>
      </c>
      <c r="N355" s="17" t="s">
        <v>788</v>
      </c>
      <c r="P355" s="14" t="str">
        <f t="shared" si="17"/>
        <v>5100000</v>
      </c>
    </row>
    <row r="356" spans="1:16" ht="19.149999999999999" customHeight="1">
      <c r="A356" s="8">
        <v>54</v>
      </c>
      <c r="B356" s="9">
        <v>1</v>
      </c>
      <c r="C356" s="9">
        <v>634</v>
      </c>
      <c r="D356" s="9">
        <v>540010634</v>
      </c>
      <c r="E356" s="37" t="s">
        <v>788</v>
      </c>
      <c r="H356" s="9" t="s">
        <v>113</v>
      </c>
      <c r="I356" s="39" t="s">
        <v>773</v>
      </c>
      <c r="J356" s="9">
        <v>45.9</v>
      </c>
      <c r="K356" s="14">
        <v>3</v>
      </c>
      <c r="L356" s="14">
        <v>4</v>
      </c>
      <c r="M356" s="14" t="str">
        <f t="shared" si="16"/>
        <v>0304</v>
      </c>
      <c r="N356" s="17" t="s">
        <v>788</v>
      </c>
      <c r="P356" s="14" t="str">
        <f t="shared" si="17"/>
        <v>5100000</v>
      </c>
    </row>
    <row r="357" spans="1:16" ht="19.149999999999999" customHeight="1">
      <c r="A357" s="8">
        <v>3</v>
      </c>
      <c r="B357" s="9">
        <v>1</v>
      </c>
      <c r="C357" s="9">
        <v>2</v>
      </c>
      <c r="D357" s="9">
        <v>30010002</v>
      </c>
      <c r="E357" s="37" t="s">
        <v>788</v>
      </c>
      <c r="H357" s="9" t="s">
        <v>114</v>
      </c>
      <c r="I357" s="39" t="s">
        <v>773</v>
      </c>
      <c r="J357" s="9">
        <v>25</v>
      </c>
      <c r="K357" s="14">
        <v>3</v>
      </c>
      <c r="L357" s="14">
        <v>4</v>
      </c>
      <c r="M357" s="14" t="str">
        <f t="shared" si="16"/>
        <v>0304</v>
      </c>
      <c r="N357" s="17" t="s">
        <v>788</v>
      </c>
      <c r="P357" s="14" t="str">
        <f t="shared" si="17"/>
        <v>5100000</v>
      </c>
    </row>
    <row r="358" spans="1:16" ht="19.149999999999999" customHeight="1">
      <c r="A358" s="8">
        <v>65</v>
      </c>
      <c r="B358" s="9">
        <v>1</v>
      </c>
      <c r="C358" s="9">
        <v>659</v>
      </c>
      <c r="D358" s="9">
        <v>650010659</v>
      </c>
      <c r="E358" s="37" t="s">
        <v>788</v>
      </c>
      <c r="H358" s="9" t="s">
        <v>115</v>
      </c>
      <c r="I358" s="39" t="s">
        <v>773</v>
      </c>
      <c r="J358" s="9">
        <v>67</v>
      </c>
      <c r="K358" s="14">
        <v>3</v>
      </c>
      <c r="L358" s="14">
        <v>4</v>
      </c>
      <c r="M358" s="14" t="str">
        <f t="shared" si="16"/>
        <v>0304</v>
      </c>
      <c r="N358" s="17" t="s">
        <v>788</v>
      </c>
      <c r="P358" s="14" t="str">
        <f t="shared" si="17"/>
        <v>5100000</v>
      </c>
    </row>
    <row r="359" spans="1:16" ht="19.149999999999999" customHeight="1">
      <c r="A359" s="8">
        <v>51</v>
      </c>
      <c r="B359" s="9">
        <v>1</v>
      </c>
      <c r="C359" s="9">
        <v>1</v>
      </c>
      <c r="D359" s="9">
        <v>510010001</v>
      </c>
      <c r="E359" s="37" t="s">
        <v>788</v>
      </c>
      <c r="H359" s="9" t="s">
        <v>21</v>
      </c>
      <c r="I359" s="39" t="s">
        <v>773</v>
      </c>
      <c r="J359" s="9">
        <v>50</v>
      </c>
      <c r="K359" s="14">
        <v>2</v>
      </c>
      <c r="L359" s="14">
        <v>1</v>
      </c>
      <c r="M359" s="14" t="str">
        <f t="shared" si="16"/>
        <v>0201</v>
      </c>
      <c r="N359" s="17" t="s">
        <v>788</v>
      </c>
      <c r="P359" s="14" t="str">
        <f t="shared" si="17"/>
        <v>5100000</v>
      </c>
    </row>
    <row r="360" spans="1:16" ht="19.149999999999999" customHeight="1">
      <c r="A360" s="8">
        <v>51</v>
      </c>
      <c r="B360" s="9">
        <v>1</v>
      </c>
      <c r="C360" s="9">
        <v>3</v>
      </c>
      <c r="D360" s="9">
        <v>510010003</v>
      </c>
      <c r="E360" s="37" t="s">
        <v>788</v>
      </c>
      <c r="H360" s="9" t="s">
        <v>398</v>
      </c>
      <c r="I360" s="39" t="s">
        <v>773</v>
      </c>
      <c r="J360" s="9">
        <v>18</v>
      </c>
      <c r="K360" s="14">
        <v>4</v>
      </c>
      <c r="L360" s="14">
        <v>1</v>
      </c>
      <c r="M360" s="14" t="str">
        <f t="shared" si="16"/>
        <v>0401</v>
      </c>
      <c r="N360" s="17" t="s">
        <v>788</v>
      </c>
      <c r="P360" s="14" t="str">
        <f t="shared" si="17"/>
        <v>5100000</v>
      </c>
    </row>
    <row r="361" spans="1:16" ht="19.149999999999999" customHeight="1">
      <c r="A361" s="8">
        <v>52</v>
      </c>
      <c r="B361" s="9">
        <v>1</v>
      </c>
      <c r="C361" s="9">
        <v>3</v>
      </c>
      <c r="D361" s="9">
        <v>520010003</v>
      </c>
      <c r="E361" s="37" t="s">
        <v>788</v>
      </c>
      <c r="H361" s="9" t="s">
        <v>399</v>
      </c>
      <c r="I361" s="39" t="s">
        <v>773</v>
      </c>
      <c r="J361" s="9">
        <v>18</v>
      </c>
      <c r="K361" s="14">
        <v>4</v>
      </c>
      <c r="L361" s="14">
        <v>1</v>
      </c>
      <c r="M361" s="14" t="str">
        <f t="shared" si="16"/>
        <v>0401</v>
      </c>
      <c r="N361" s="17" t="s">
        <v>788</v>
      </c>
      <c r="P361" s="14" t="str">
        <f t="shared" si="17"/>
        <v>5100000</v>
      </c>
    </row>
    <row r="362" spans="1:16" ht="19.149999999999999" customHeight="1">
      <c r="A362" s="8">
        <v>52</v>
      </c>
      <c r="B362" s="9">
        <v>1</v>
      </c>
      <c r="C362" s="9">
        <v>2</v>
      </c>
      <c r="D362" s="9">
        <v>520010002</v>
      </c>
      <c r="E362" s="37" t="s">
        <v>788</v>
      </c>
      <c r="H362" s="9" t="s">
        <v>313</v>
      </c>
      <c r="I362" s="39" t="s">
        <v>773</v>
      </c>
      <c r="J362" s="9">
        <v>80</v>
      </c>
      <c r="K362" s="14">
        <v>3</v>
      </c>
      <c r="L362" s="14">
        <v>7</v>
      </c>
      <c r="M362" s="14" t="str">
        <f t="shared" ref="M362:M425" si="18">TEXT(K362,"00")&amp;TEXT(L362,"00")</f>
        <v>0307</v>
      </c>
      <c r="N362" s="17" t="s">
        <v>788</v>
      </c>
      <c r="P362" s="14" t="str">
        <f t="shared" ref="P362:P425" si="19">TEXT(E362,"00")&amp;TEXT(F362,"00")&amp;TEXT(G362,"000")</f>
        <v>5100000</v>
      </c>
    </row>
    <row r="363" spans="1:16" ht="19.149999999999999" customHeight="1">
      <c r="A363" s="8">
        <v>65</v>
      </c>
      <c r="B363" s="9">
        <v>1</v>
      </c>
      <c r="C363" s="9">
        <v>722</v>
      </c>
      <c r="D363" s="9">
        <v>650010722</v>
      </c>
      <c r="E363" s="37" t="s">
        <v>788</v>
      </c>
      <c r="H363" s="9" t="s">
        <v>314</v>
      </c>
      <c r="I363" s="39" t="s">
        <v>773</v>
      </c>
      <c r="J363" s="9">
        <v>85</v>
      </c>
      <c r="K363" s="14">
        <v>3</v>
      </c>
      <c r="L363" s="14">
        <v>7</v>
      </c>
      <c r="M363" s="14" t="str">
        <f t="shared" si="18"/>
        <v>0307</v>
      </c>
      <c r="N363" s="17" t="s">
        <v>788</v>
      </c>
      <c r="P363" s="14" t="str">
        <f t="shared" si="19"/>
        <v>5100000</v>
      </c>
    </row>
    <row r="364" spans="1:16" ht="19.149999999999999" customHeight="1">
      <c r="A364" s="8">
        <v>65</v>
      </c>
      <c r="B364" s="9">
        <v>1</v>
      </c>
      <c r="C364" s="9">
        <v>718</v>
      </c>
      <c r="D364" s="9">
        <v>650010718</v>
      </c>
      <c r="E364" s="41">
        <v>51</v>
      </c>
      <c r="F364" s="41"/>
      <c r="G364" s="41"/>
      <c r="H364" s="9" t="s">
        <v>589</v>
      </c>
      <c r="I364" s="39" t="s">
        <v>773</v>
      </c>
      <c r="J364" s="9">
        <v>53.5</v>
      </c>
      <c r="K364" s="14">
        <v>5</v>
      </c>
      <c r="L364" s="14">
        <v>1</v>
      </c>
      <c r="M364" s="14" t="str">
        <f t="shared" si="18"/>
        <v>0501</v>
      </c>
      <c r="N364" s="19">
        <v>51</v>
      </c>
      <c r="O364" s="19"/>
      <c r="P364" s="14" t="str">
        <f t="shared" si="19"/>
        <v>5100000</v>
      </c>
    </row>
    <row r="365" spans="1:16" ht="19.149999999999999" customHeight="1">
      <c r="A365" s="8">
        <v>65</v>
      </c>
      <c r="B365" s="9">
        <v>1</v>
      </c>
      <c r="C365" s="9">
        <v>695</v>
      </c>
      <c r="D365" s="9">
        <v>650010695</v>
      </c>
      <c r="E365" s="41">
        <v>51</v>
      </c>
      <c r="F365" s="41"/>
      <c r="G365" s="41"/>
      <c r="H365" s="9" t="s">
        <v>590</v>
      </c>
      <c r="I365" s="39" t="s">
        <v>773</v>
      </c>
      <c r="J365" s="9">
        <v>63.9</v>
      </c>
      <c r="K365" s="14">
        <v>5</v>
      </c>
      <c r="L365" s="14">
        <v>1</v>
      </c>
      <c r="M365" s="14" t="str">
        <f t="shared" si="18"/>
        <v>0501</v>
      </c>
      <c r="N365" s="19">
        <v>51</v>
      </c>
      <c r="O365" s="19"/>
      <c r="P365" s="14" t="str">
        <f t="shared" si="19"/>
        <v>5100000</v>
      </c>
    </row>
    <row r="366" spans="1:16" ht="19.149999999999999" customHeight="1">
      <c r="A366" s="8">
        <v>65</v>
      </c>
      <c r="B366" s="9">
        <v>1</v>
      </c>
      <c r="C366" s="9">
        <v>668</v>
      </c>
      <c r="D366" s="9">
        <v>650010668</v>
      </c>
      <c r="E366" s="41">
        <v>51</v>
      </c>
      <c r="F366" s="41"/>
      <c r="G366" s="41"/>
      <c r="H366" s="9" t="s">
        <v>591</v>
      </c>
      <c r="I366" s="39" t="s">
        <v>773</v>
      </c>
      <c r="J366" s="9">
        <v>63</v>
      </c>
      <c r="K366" s="14">
        <v>5</v>
      </c>
      <c r="L366" s="14">
        <v>1</v>
      </c>
      <c r="M366" s="14" t="str">
        <f t="shared" si="18"/>
        <v>0501</v>
      </c>
      <c r="N366" s="19">
        <v>51</v>
      </c>
      <c r="O366" s="19"/>
      <c r="P366" s="14" t="str">
        <f t="shared" si="19"/>
        <v>5100000</v>
      </c>
    </row>
    <row r="367" spans="1:16" ht="19.149999999999999" customHeight="1">
      <c r="A367" s="8">
        <v>30</v>
      </c>
      <c r="B367" s="9">
        <v>1</v>
      </c>
      <c r="C367" s="9">
        <v>442</v>
      </c>
      <c r="D367" s="9">
        <v>300010442</v>
      </c>
      <c r="E367" s="41">
        <v>51</v>
      </c>
      <c r="F367" s="41"/>
      <c r="G367" s="41"/>
      <c r="H367" s="9" t="s">
        <v>592</v>
      </c>
      <c r="I367" s="39" t="s">
        <v>773</v>
      </c>
      <c r="J367" s="9">
        <v>53</v>
      </c>
      <c r="K367" s="14">
        <v>5</v>
      </c>
      <c r="L367" s="14">
        <v>1</v>
      </c>
      <c r="M367" s="14" t="str">
        <f t="shared" si="18"/>
        <v>0501</v>
      </c>
      <c r="N367" s="19">
        <v>51</v>
      </c>
      <c r="O367" s="19"/>
      <c r="P367" s="14" t="str">
        <f t="shared" si="19"/>
        <v>5100000</v>
      </c>
    </row>
    <row r="368" spans="1:16" ht="19.149999999999999" customHeight="1">
      <c r="A368" s="8">
        <v>65</v>
      </c>
      <c r="B368" s="9">
        <v>1</v>
      </c>
      <c r="C368" s="9">
        <v>664</v>
      </c>
      <c r="D368" s="9">
        <v>650010664</v>
      </c>
      <c r="E368" s="41">
        <v>51</v>
      </c>
      <c r="F368" s="41"/>
      <c r="G368" s="41"/>
      <c r="H368" s="9" t="s">
        <v>2768</v>
      </c>
      <c r="I368" s="39" t="s">
        <v>773</v>
      </c>
      <c r="J368" s="9">
        <v>115</v>
      </c>
      <c r="K368" s="14">
        <v>5</v>
      </c>
      <c r="L368" s="14">
        <v>1</v>
      </c>
      <c r="M368" s="14" t="str">
        <f t="shared" si="18"/>
        <v>0501</v>
      </c>
      <c r="N368" s="19">
        <v>51</v>
      </c>
      <c r="O368" s="19"/>
      <c r="P368" s="14" t="str">
        <f t="shared" si="19"/>
        <v>5100000</v>
      </c>
    </row>
    <row r="369" spans="1:16" ht="19.149999999999999" customHeight="1">
      <c r="A369" s="8">
        <v>65</v>
      </c>
      <c r="B369" s="9">
        <v>1</v>
      </c>
      <c r="C369" s="9">
        <v>663</v>
      </c>
      <c r="D369" s="9">
        <v>650010663</v>
      </c>
      <c r="E369" s="37" t="s">
        <v>788</v>
      </c>
      <c r="H369" s="9" t="s">
        <v>327</v>
      </c>
      <c r="I369" s="39" t="s">
        <v>773</v>
      </c>
      <c r="J369" s="9">
        <v>0.37</v>
      </c>
      <c r="K369" s="14">
        <v>3</v>
      </c>
      <c r="L369" s="14">
        <v>7</v>
      </c>
      <c r="M369" s="14" t="str">
        <f t="shared" si="18"/>
        <v>0307</v>
      </c>
      <c r="N369" s="17" t="s">
        <v>788</v>
      </c>
      <c r="P369" s="14" t="str">
        <f t="shared" si="19"/>
        <v>5100000</v>
      </c>
    </row>
    <row r="370" spans="1:16" ht="19.149999999999999" customHeight="1">
      <c r="A370" s="8">
        <v>65</v>
      </c>
      <c r="B370" s="9">
        <v>1</v>
      </c>
      <c r="C370" s="9">
        <v>662</v>
      </c>
      <c r="D370" s="9">
        <v>650010662</v>
      </c>
      <c r="E370" s="37" t="s">
        <v>816</v>
      </c>
      <c r="H370" s="9" t="s">
        <v>285</v>
      </c>
      <c r="I370" s="39" t="s">
        <v>773</v>
      </c>
      <c r="J370" s="9">
        <v>10</v>
      </c>
      <c r="K370" s="14">
        <v>3</v>
      </c>
      <c r="L370" s="14">
        <v>7</v>
      </c>
      <c r="M370" s="14" t="str">
        <f t="shared" si="18"/>
        <v>0307</v>
      </c>
      <c r="N370" s="17" t="s">
        <v>816</v>
      </c>
      <c r="P370" s="14" t="str">
        <f t="shared" si="19"/>
        <v>5200000</v>
      </c>
    </row>
    <row r="371" spans="1:16" ht="19.149999999999999" customHeight="1">
      <c r="A371" s="8">
        <v>65</v>
      </c>
      <c r="B371" s="9">
        <v>1</v>
      </c>
      <c r="C371" s="9">
        <v>3</v>
      </c>
      <c r="D371" s="9">
        <v>650010003</v>
      </c>
      <c r="E371" s="37" t="s">
        <v>816</v>
      </c>
      <c r="H371" s="9" t="s">
        <v>288</v>
      </c>
      <c r="I371" s="39" t="s">
        <v>773</v>
      </c>
      <c r="J371" s="9">
        <v>220</v>
      </c>
      <c r="K371" s="14">
        <v>3</v>
      </c>
      <c r="L371" s="14">
        <v>7</v>
      </c>
      <c r="M371" s="14" t="str">
        <f t="shared" si="18"/>
        <v>0307</v>
      </c>
      <c r="N371" s="17" t="s">
        <v>816</v>
      </c>
      <c r="P371" s="14" t="str">
        <f t="shared" si="19"/>
        <v>5200000</v>
      </c>
    </row>
    <row r="372" spans="1:16" ht="19.149999999999999" customHeight="1">
      <c r="A372" s="8">
        <v>26</v>
      </c>
      <c r="B372" s="9">
        <v>1</v>
      </c>
      <c r="C372" s="9">
        <v>4</v>
      </c>
      <c r="D372" s="9">
        <v>260010004</v>
      </c>
      <c r="E372" s="41">
        <v>52</v>
      </c>
      <c r="F372" s="41"/>
      <c r="G372" s="41"/>
      <c r="H372" s="9" t="s">
        <v>726</v>
      </c>
      <c r="I372" s="39" t="s">
        <v>783</v>
      </c>
      <c r="J372" s="9">
        <v>85</v>
      </c>
      <c r="K372" s="14"/>
      <c r="L372" s="14"/>
      <c r="M372" s="14" t="str">
        <f t="shared" si="18"/>
        <v>0000</v>
      </c>
      <c r="N372" s="19">
        <v>52</v>
      </c>
      <c r="O372" s="19"/>
      <c r="P372" s="14" t="str">
        <f t="shared" si="19"/>
        <v>5200000</v>
      </c>
    </row>
    <row r="373" spans="1:16" ht="19.149999999999999" customHeight="1">
      <c r="A373" s="8">
        <v>52</v>
      </c>
      <c r="B373" s="9">
        <v>1</v>
      </c>
      <c r="C373" s="9">
        <v>573</v>
      </c>
      <c r="D373" s="9">
        <v>520010573</v>
      </c>
      <c r="E373" s="37" t="s">
        <v>816</v>
      </c>
      <c r="H373" s="9" t="s">
        <v>335</v>
      </c>
      <c r="I373" s="39" t="s">
        <v>773</v>
      </c>
      <c r="J373" s="9">
        <v>60</v>
      </c>
      <c r="K373" s="14">
        <v>3</v>
      </c>
      <c r="L373" s="14">
        <v>7</v>
      </c>
      <c r="M373" s="14" t="str">
        <f t="shared" si="18"/>
        <v>0307</v>
      </c>
      <c r="N373" s="17" t="s">
        <v>816</v>
      </c>
      <c r="P373" s="14" t="str">
        <f t="shared" si="19"/>
        <v>5200000</v>
      </c>
    </row>
    <row r="374" spans="1:16" ht="19.149999999999999" customHeight="1">
      <c r="A374" s="8">
        <v>52</v>
      </c>
      <c r="B374" s="9">
        <v>1</v>
      </c>
      <c r="C374" s="9">
        <v>1</v>
      </c>
      <c r="D374" s="9">
        <v>520010001</v>
      </c>
      <c r="E374" s="37" t="s">
        <v>816</v>
      </c>
      <c r="H374" s="9" t="s">
        <v>336</v>
      </c>
      <c r="I374" s="39" t="s">
        <v>773</v>
      </c>
      <c r="J374" s="9">
        <v>88</v>
      </c>
      <c r="K374" s="14">
        <v>3</v>
      </c>
      <c r="L374" s="14">
        <v>7</v>
      </c>
      <c r="M374" s="14" t="str">
        <f t="shared" si="18"/>
        <v>0307</v>
      </c>
      <c r="N374" s="17" t="s">
        <v>816</v>
      </c>
      <c r="P374" s="14" t="str">
        <f t="shared" si="19"/>
        <v>5200000</v>
      </c>
    </row>
    <row r="375" spans="1:16" ht="19.149999999999999" customHeight="1">
      <c r="A375" s="8">
        <v>52</v>
      </c>
      <c r="B375" s="9">
        <v>1</v>
      </c>
      <c r="C375" s="9">
        <v>599</v>
      </c>
      <c r="D375" s="9">
        <v>520010599</v>
      </c>
      <c r="E375" s="41">
        <v>52</v>
      </c>
      <c r="F375" s="41"/>
      <c r="G375" s="41"/>
      <c r="H375" s="9" t="s">
        <v>582</v>
      </c>
      <c r="I375" s="39" t="s">
        <v>773</v>
      </c>
      <c r="J375" s="9">
        <v>60</v>
      </c>
      <c r="K375" s="14">
        <v>5</v>
      </c>
      <c r="L375" s="14">
        <v>1</v>
      </c>
      <c r="M375" s="14" t="str">
        <f t="shared" si="18"/>
        <v>0501</v>
      </c>
      <c r="N375" s="19">
        <v>52</v>
      </c>
      <c r="O375" s="19"/>
      <c r="P375" s="14" t="str">
        <f t="shared" si="19"/>
        <v>5200000</v>
      </c>
    </row>
    <row r="376" spans="1:16" ht="19.149999999999999" customHeight="1">
      <c r="A376" s="8">
        <v>52</v>
      </c>
      <c r="B376" s="9">
        <v>1</v>
      </c>
      <c r="C376" s="9">
        <v>597</v>
      </c>
      <c r="D376" s="9">
        <v>520010597</v>
      </c>
      <c r="E376" s="37" t="s">
        <v>810</v>
      </c>
      <c r="H376" s="9" t="s">
        <v>170</v>
      </c>
      <c r="I376" s="39" t="s">
        <v>773</v>
      </c>
      <c r="J376" s="9">
        <v>949</v>
      </c>
      <c r="K376" s="14">
        <v>3</v>
      </c>
      <c r="L376" s="14">
        <v>11</v>
      </c>
      <c r="M376" s="14" t="str">
        <f t="shared" si="18"/>
        <v>0311</v>
      </c>
      <c r="N376" s="17" t="s">
        <v>810</v>
      </c>
      <c r="P376" s="14" t="str">
        <f t="shared" si="19"/>
        <v>5300000</v>
      </c>
    </row>
    <row r="377" spans="1:16" ht="19.149999999999999" customHeight="1">
      <c r="A377" s="8">
        <v>52</v>
      </c>
      <c r="B377" s="9">
        <v>1</v>
      </c>
      <c r="C377" s="9">
        <v>566</v>
      </c>
      <c r="D377" s="9">
        <v>520010566</v>
      </c>
      <c r="E377" s="41" t="s">
        <v>805</v>
      </c>
      <c r="F377" s="41"/>
      <c r="G377" s="41"/>
      <c r="H377" s="9" t="s">
        <v>766</v>
      </c>
      <c r="I377" s="39" t="s">
        <v>773</v>
      </c>
      <c r="J377" s="9">
        <v>250</v>
      </c>
      <c r="K377" s="14"/>
      <c r="L377" s="14"/>
      <c r="M377" s="14" t="str">
        <f t="shared" si="18"/>
        <v>0000</v>
      </c>
      <c r="N377" s="19" t="s">
        <v>805</v>
      </c>
      <c r="O377" s="19"/>
      <c r="P377" s="14" t="str">
        <f t="shared" si="19"/>
        <v>5400000</v>
      </c>
    </row>
    <row r="378" spans="1:16" ht="19.149999999999999" customHeight="1">
      <c r="A378" s="8">
        <v>30</v>
      </c>
      <c r="B378" s="9">
        <v>1</v>
      </c>
      <c r="C378" s="9">
        <v>463</v>
      </c>
      <c r="D378" s="9">
        <v>300010463</v>
      </c>
      <c r="E378" s="41" t="s">
        <v>805</v>
      </c>
      <c r="F378" s="41"/>
      <c r="G378" s="41"/>
      <c r="H378" s="9" t="s">
        <v>767</v>
      </c>
      <c r="I378" s="39" t="s">
        <v>773</v>
      </c>
      <c r="J378" s="9">
        <v>250</v>
      </c>
      <c r="K378" s="14"/>
      <c r="L378" s="14"/>
      <c r="M378" s="14" t="str">
        <f t="shared" si="18"/>
        <v>0000</v>
      </c>
      <c r="N378" s="19" t="s">
        <v>805</v>
      </c>
      <c r="O378" s="19"/>
      <c r="P378" s="14" t="str">
        <f t="shared" si="19"/>
        <v>5400000</v>
      </c>
    </row>
    <row r="379" spans="1:16" ht="19.149999999999999" customHeight="1">
      <c r="A379" s="8">
        <v>54</v>
      </c>
      <c r="B379" s="9">
        <v>1</v>
      </c>
      <c r="C379" s="9">
        <v>627</v>
      </c>
      <c r="D379" s="9">
        <v>540010627</v>
      </c>
      <c r="E379" s="41" t="s">
        <v>805</v>
      </c>
      <c r="F379" s="41"/>
      <c r="G379" s="41"/>
      <c r="H379" s="9" t="s">
        <v>768</v>
      </c>
      <c r="I379" s="39" t="s">
        <v>773</v>
      </c>
      <c r="J379" s="9">
        <v>250</v>
      </c>
      <c r="K379" s="14"/>
      <c r="L379" s="14"/>
      <c r="M379" s="14" t="str">
        <f t="shared" si="18"/>
        <v>0000</v>
      </c>
      <c r="N379" s="19" t="s">
        <v>805</v>
      </c>
      <c r="O379" s="19"/>
      <c r="P379" s="14" t="str">
        <f t="shared" si="19"/>
        <v>5400000</v>
      </c>
    </row>
    <row r="380" spans="1:16" ht="19.149999999999999" customHeight="1">
      <c r="A380" s="8">
        <v>30</v>
      </c>
      <c r="B380" s="9">
        <v>1</v>
      </c>
      <c r="C380" s="9">
        <v>487</v>
      </c>
      <c r="D380" s="9">
        <v>300010487</v>
      </c>
      <c r="E380" s="37" t="s">
        <v>805</v>
      </c>
      <c r="H380" s="9" t="s">
        <v>101</v>
      </c>
      <c r="I380" s="39" t="s">
        <v>773</v>
      </c>
      <c r="J380" s="9">
        <v>84</v>
      </c>
      <c r="K380" s="14">
        <v>3</v>
      </c>
      <c r="L380" s="14">
        <v>3</v>
      </c>
      <c r="M380" s="14" t="str">
        <f t="shared" si="18"/>
        <v>0303</v>
      </c>
      <c r="N380" s="17" t="s">
        <v>805</v>
      </c>
      <c r="P380" s="14" t="str">
        <f t="shared" si="19"/>
        <v>5400000</v>
      </c>
    </row>
    <row r="381" spans="1:16" ht="19.149999999999999" customHeight="1">
      <c r="A381" s="8">
        <v>30</v>
      </c>
      <c r="B381" s="9">
        <v>1</v>
      </c>
      <c r="C381" s="9">
        <v>430</v>
      </c>
      <c r="D381" s="9">
        <v>300010430</v>
      </c>
      <c r="E381" s="37" t="s">
        <v>805</v>
      </c>
      <c r="H381" s="9" t="s">
        <v>268</v>
      </c>
      <c r="I381" s="39" t="s">
        <v>773</v>
      </c>
      <c r="J381" s="9">
        <v>80</v>
      </c>
      <c r="K381" s="14">
        <v>3</v>
      </c>
      <c r="L381" s="14">
        <v>5</v>
      </c>
      <c r="M381" s="14" t="str">
        <f t="shared" si="18"/>
        <v>0305</v>
      </c>
      <c r="N381" s="17" t="s">
        <v>805</v>
      </c>
      <c r="P381" s="14" t="str">
        <f t="shared" si="19"/>
        <v>5400000</v>
      </c>
    </row>
    <row r="382" spans="1:16" ht="19.149999999999999" customHeight="1">
      <c r="A382" s="8">
        <v>54</v>
      </c>
      <c r="B382" s="9">
        <v>1</v>
      </c>
      <c r="C382" s="9">
        <v>609</v>
      </c>
      <c r="D382" s="9">
        <v>540010609</v>
      </c>
      <c r="E382" s="37" t="s">
        <v>805</v>
      </c>
      <c r="H382" s="9" t="s">
        <v>269</v>
      </c>
      <c r="I382" s="39" t="s">
        <v>778</v>
      </c>
      <c r="J382" s="9">
        <v>61</v>
      </c>
      <c r="K382" s="14">
        <v>3</v>
      </c>
      <c r="L382" s="14">
        <v>5</v>
      </c>
      <c r="M382" s="14" t="str">
        <f t="shared" si="18"/>
        <v>0305</v>
      </c>
      <c r="N382" s="17" t="s">
        <v>805</v>
      </c>
      <c r="P382" s="14" t="str">
        <f t="shared" si="19"/>
        <v>5400000</v>
      </c>
    </row>
    <row r="383" spans="1:16" ht="19.149999999999999" customHeight="1">
      <c r="A383" s="8">
        <v>66</v>
      </c>
      <c r="B383" s="9">
        <v>1</v>
      </c>
      <c r="C383" s="9">
        <v>781</v>
      </c>
      <c r="D383" s="9">
        <v>660010781</v>
      </c>
      <c r="E383" s="41" t="s">
        <v>805</v>
      </c>
      <c r="F383" s="41"/>
      <c r="G383" s="41"/>
      <c r="H383" s="9" t="s">
        <v>769</v>
      </c>
      <c r="I383" s="39" t="s">
        <v>773</v>
      </c>
      <c r="J383" s="9">
        <v>140</v>
      </c>
      <c r="K383" s="14"/>
      <c r="L383" s="14"/>
      <c r="M383" s="14" t="str">
        <f t="shared" si="18"/>
        <v>0000</v>
      </c>
      <c r="N383" s="19" t="s">
        <v>805</v>
      </c>
      <c r="O383" s="19"/>
      <c r="P383" s="14" t="str">
        <f t="shared" si="19"/>
        <v>5400000</v>
      </c>
    </row>
    <row r="384" spans="1:16" ht="19.149999999999999" customHeight="1">
      <c r="A384" s="8">
        <v>30</v>
      </c>
      <c r="B384" s="9">
        <v>1</v>
      </c>
      <c r="C384" s="9">
        <v>390</v>
      </c>
      <c r="D384" s="9">
        <v>300010390</v>
      </c>
      <c r="E384" s="37" t="s">
        <v>805</v>
      </c>
      <c r="H384" s="9" t="s">
        <v>272</v>
      </c>
      <c r="I384" s="39" t="s">
        <v>773</v>
      </c>
      <c r="J384" s="9">
        <v>94</v>
      </c>
      <c r="K384" s="14">
        <v>3</v>
      </c>
      <c r="L384" s="14">
        <v>5</v>
      </c>
      <c r="M384" s="14" t="str">
        <f t="shared" si="18"/>
        <v>0305</v>
      </c>
      <c r="N384" s="17" t="s">
        <v>805</v>
      </c>
      <c r="P384" s="14" t="str">
        <f t="shared" si="19"/>
        <v>5400000</v>
      </c>
    </row>
    <row r="385" spans="1:16" ht="19.149999999999999" customHeight="1">
      <c r="A385" s="8">
        <v>54</v>
      </c>
      <c r="B385" s="9">
        <v>1</v>
      </c>
      <c r="C385" s="9">
        <v>614</v>
      </c>
      <c r="D385" s="9">
        <v>540010614</v>
      </c>
      <c r="E385" s="37" t="s">
        <v>805</v>
      </c>
      <c r="H385" s="9" t="s">
        <v>273</v>
      </c>
      <c r="I385" s="39" t="s">
        <v>773</v>
      </c>
      <c r="J385" s="9">
        <v>28</v>
      </c>
      <c r="K385" s="14">
        <v>3</v>
      </c>
      <c r="L385" s="14">
        <v>5</v>
      </c>
      <c r="M385" s="14" t="str">
        <f t="shared" si="18"/>
        <v>0305</v>
      </c>
      <c r="N385" s="17" t="s">
        <v>805</v>
      </c>
      <c r="P385" s="14" t="str">
        <f t="shared" si="19"/>
        <v>5400000</v>
      </c>
    </row>
    <row r="386" spans="1:16" ht="19.149999999999999" customHeight="1">
      <c r="A386" s="8">
        <v>54</v>
      </c>
      <c r="B386" s="9">
        <v>1</v>
      </c>
      <c r="C386" s="9">
        <v>616</v>
      </c>
      <c r="D386" s="9">
        <v>540010616</v>
      </c>
      <c r="E386" s="37" t="s">
        <v>805</v>
      </c>
      <c r="H386" s="9" t="s">
        <v>367</v>
      </c>
      <c r="I386" s="39" t="s">
        <v>773</v>
      </c>
      <c r="J386" s="9">
        <v>1065.75</v>
      </c>
      <c r="K386" s="14">
        <v>3</v>
      </c>
      <c r="L386" s="14">
        <v>10</v>
      </c>
      <c r="M386" s="14" t="str">
        <f t="shared" si="18"/>
        <v>0310</v>
      </c>
      <c r="N386" s="17" t="s">
        <v>805</v>
      </c>
      <c r="P386" s="14" t="str">
        <f t="shared" si="19"/>
        <v>5400000</v>
      </c>
    </row>
    <row r="387" spans="1:16" ht="19.149999999999999" customHeight="1">
      <c r="A387" s="8">
        <v>54</v>
      </c>
      <c r="B387" s="9">
        <v>1</v>
      </c>
      <c r="C387" s="9">
        <v>618</v>
      </c>
      <c r="D387" s="9">
        <v>540010618</v>
      </c>
      <c r="E387" s="37" t="s">
        <v>806</v>
      </c>
      <c r="H387" s="9" t="s">
        <v>106</v>
      </c>
      <c r="I387" s="39" t="s">
        <v>773</v>
      </c>
      <c r="J387" s="9">
        <v>29.5</v>
      </c>
      <c r="K387" s="14">
        <v>3</v>
      </c>
      <c r="L387" s="14">
        <v>3</v>
      </c>
      <c r="M387" s="14" t="str">
        <f t="shared" si="18"/>
        <v>0303</v>
      </c>
      <c r="N387" s="17" t="s">
        <v>806</v>
      </c>
      <c r="P387" s="14" t="str">
        <f t="shared" si="19"/>
        <v>5500000</v>
      </c>
    </row>
    <row r="388" spans="1:16" ht="19.149999999999999" customHeight="1">
      <c r="A388" s="8">
        <v>54</v>
      </c>
      <c r="B388" s="9">
        <v>1</v>
      </c>
      <c r="C388" s="9">
        <v>617</v>
      </c>
      <c r="D388" s="9">
        <v>540010617</v>
      </c>
      <c r="E388" s="41" t="s">
        <v>796</v>
      </c>
      <c r="F388" s="41"/>
      <c r="G388" s="41"/>
      <c r="H388" s="9" t="s">
        <v>687</v>
      </c>
      <c r="I388" s="39" t="s">
        <v>773</v>
      </c>
      <c r="J388" s="9">
        <v>15</v>
      </c>
      <c r="K388" s="14">
        <v>7</v>
      </c>
      <c r="L388" s="14">
        <v>3</v>
      </c>
      <c r="M388" s="14" t="str">
        <f t="shared" si="18"/>
        <v>0703</v>
      </c>
      <c r="N388" s="19" t="s">
        <v>796</v>
      </c>
      <c r="O388" s="19"/>
      <c r="P388" s="14" t="str">
        <f t="shared" si="19"/>
        <v>5900000</v>
      </c>
    </row>
    <row r="389" spans="1:16" ht="19.149999999999999" customHeight="1">
      <c r="A389" s="8">
        <v>54</v>
      </c>
      <c r="B389" s="9">
        <v>1</v>
      </c>
      <c r="C389" s="9">
        <v>607</v>
      </c>
      <c r="D389" s="9">
        <v>540010607</v>
      </c>
      <c r="E389" s="37" t="s">
        <v>796</v>
      </c>
      <c r="H389" s="9" t="s">
        <v>36</v>
      </c>
      <c r="I389" s="39" t="s">
        <v>773</v>
      </c>
      <c r="J389" s="9">
        <v>18</v>
      </c>
      <c r="K389" s="14">
        <v>2</v>
      </c>
      <c r="L389" s="14">
        <v>11</v>
      </c>
      <c r="M389" s="14" t="str">
        <f t="shared" si="18"/>
        <v>0211</v>
      </c>
      <c r="N389" s="17" t="s">
        <v>796</v>
      </c>
      <c r="P389" s="14" t="str">
        <f t="shared" si="19"/>
        <v>5900000</v>
      </c>
    </row>
    <row r="390" spans="1:16" ht="19.149999999999999" customHeight="1">
      <c r="A390" s="8">
        <v>59</v>
      </c>
      <c r="B390" s="9">
        <v>1</v>
      </c>
      <c r="C390" s="9">
        <v>651</v>
      </c>
      <c r="D390" s="9">
        <v>590010651</v>
      </c>
      <c r="E390" s="37" t="s">
        <v>796</v>
      </c>
      <c r="H390" s="9" t="s">
        <v>152</v>
      </c>
      <c r="I390" s="39" t="s">
        <v>773</v>
      </c>
      <c r="J390" s="9">
        <v>40</v>
      </c>
      <c r="K390" s="14">
        <v>3</v>
      </c>
      <c r="L390" s="14">
        <v>4</v>
      </c>
      <c r="M390" s="14" t="str">
        <f t="shared" si="18"/>
        <v>0304</v>
      </c>
      <c r="N390" s="17" t="s">
        <v>796</v>
      </c>
      <c r="P390" s="14" t="str">
        <f t="shared" si="19"/>
        <v>5900000</v>
      </c>
    </row>
    <row r="391" spans="1:16" ht="19.149999999999999" customHeight="1">
      <c r="A391" s="8">
        <v>30</v>
      </c>
      <c r="B391" s="9">
        <v>1</v>
      </c>
      <c r="C391" s="9">
        <v>1</v>
      </c>
      <c r="D391" s="9">
        <v>300010001</v>
      </c>
      <c r="E391" s="41" t="s">
        <v>796</v>
      </c>
      <c r="F391" s="41"/>
      <c r="G391" s="41"/>
      <c r="H391" s="9" t="s">
        <v>688</v>
      </c>
      <c r="I391" s="39" t="s">
        <v>773</v>
      </c>
      <c r="J391" s="9">
        <v>70</v>
      </c>
      <c r="K391" s="14">
        <v>7</v>
      </c>
      <c r="L391" s="14">
        <v>3</v>
      </c>
      <c r="M391" s="14" t="str">
        <f t="shared" si="18"/>
        <v>0703</v>
      </c>
      <c r="N391" s="19" t="s">
        <v>796</v>
      </c>
      <c r="O391" s="19"/>
      <c r="P391" s="14" t="str">
        <f t="shared" si="19"/>
        <v>5900000</v>
      </c>
    </row>
    <row r="392" spans="1:16" ht="19.149999999999999" customHeight="1">
      <c r="A392" s="8">
        <v>54</v>
      </c>
      <c r="B392" s="9">
        <v>1</v>
      </c>
      <c r="C392" s="9">
        <v>622</v>
      </c>
      <c r="D392" s="9">
        <v>540010622</v>
      </c>
      <c r="E392" s="37" t="s">
        <v>796</v>
      </c>
      <c r="H392" s="9" t="s">
        <v>279</v>
      </c>
      <c r="I392" s="39" t="s">
        <v>773</v>
      </c>
      <c r="J392" s="9">
        <v>62</v>
      </c>
      <c r="K392" s="14">
        <v>3</v>
      </c>
      <c r="L392" s="14">
        <v>4</v>
      </c>
      <c r="M392" s="14" t="str">
        <f t="shared" si="18"/>
        <v>0304</v>
      </c>
      <c r="N392" s="17" t="s">
        <v>796</v>
      </c>
      <c r="P392" s="14" t="str">
        <f t="shared" si="19"/>
        <v>5900000</v>
      </c>
    </row>
    <row r="393" spans="1:16" ht="19.149999999999999" customHeight="1">
      <c r="A393" s="8">
        <v>54</v>
      </c>
      <c r="B393" s="9">
        <v>1</v>
      </c>
      <c r="C393" s="9">
        <v>623</v>
      </c>
      <c r="D393" s="9">
        <v>540010623</v>
      </c>
      <c r="E393" s="37" t="s">
        <v>796</v>
      </c>
      <c r="H393" s="9" t="s">
        <v>181</v>
      </c>
      <c r="I393" s="39" t="s">
        <v>773</v>
      </c>
      <c r="J393" s="9">
        <v>35</v>
      </c>
      <c r="K393" s="14">
        <v>3</v>
      </c>
      <c r="L393" s="14">
        <v>4</v>
      </c>
      <c r="M393" s="14" t="str">
        <f t="shared" si="18"/>
        <v>0304</v>
      </c>
      <c r="N393" s="17" t="s">
        <v>796</v>
      </c>
      <c r="P393" s="14" t="str">
        <f t="shared" si="19"/>
        <v>5900000</v>
      </c>
    </row>
    <row r="394" spans="1:16" ht="19.149999999999999" customHeight="1">
      <c r="A394" s="8">
        <v>59</v>
      </c>
      <c r="B394" s="9">
        <v>1</v>
      </c>
      <c r="C394" s="9">
        <v>654</v>
      </c>
      <c r="D394" s="9">
        <v>590010654</v>
      </c>
      <c r="E394" s="37" t="s">
        <v>796</v>
      </c>
      <c r="H394" s="9" t="s">
        <v>190</v>
      </c>
      <c r="I394" s="39" t="s">
        <v>773</v>
      </c>
      <c r="J394" s="9">
        <v>40.5</v>
      </c>
      <c r="K394" s="14">
        <v>3</v>
      </c>
      <c r="L394" s="14">
        <v>4</v>
      </c>
      <c r="M394" s="14" t="str">
        <f t="shared" si="18"/>
        <v>0304</v>
      </c>
      <c r="N394" s="17" t="s">
        <v>796</v>
      </c>
      <c r="P394" s="14" t="str">
        <f t="shared" si="19"/>
        <v>5900000</v>
      </c>
    </row>
    <row r="395" spans="1:16" ht="19.149999999999999" customHeight="1">
      <c r="A395" s="8">
        <v>59</v>
      </c>
      <c r="B395" s="9">
        <v>1</v>
      </c>
      <c r="C395" s="9">
        <v>1</v>
      </c>
      <c r="D395" s="9">
        <v>590010001</v>
      </c>
      <c r="E395" s="37" t="s">
        <v>796</v>
      </c>
      <c r="H395" s="9" t="s">
        <v>191</v>
      </c>
      <c r="I395" s="39" t="s">
        <v>773</v>
      </c>
      <c r="J395" s="9">
        <v>3.1</v>
      </c>
      <c r="K395" s="14">
        <v>3</v>
      </c>
      <c r="L395" s="14">
        <v>4</v>
      </c>
      <c r="M395" s="14" t="str">
        <f t="shared" si="18"/>
        <v>0304</v>
      </c>
      <c r="N395" s="17" t="s">
        <v>796</v>
      </c>
      <c r="P395" s="14" t="str">
        <f t="shared" si="19"/>
        <v>5900000</v>
      </c>
    </row>
    <row r="396" spans="1:16" ht="19.149999999999999" customHeight="1">
      <c r="A396" s="8">
        <v>39</v>
      </c>
      <c r="B396" s="9">
        <v>1</v>
      </c>
      <c r="C396" s="9">
        <v>42</v>
      </c>
      <c r="D396" s="9">
        <v>390010042</v>
      </c>
      <c r="E396" s="37" t="s">
        <v>796</v>
      </c>
      <c r="H396" s="9" t="s">
        <v>411</v>
      </c>
      <c r="I396" s="39" t="s">
        <v>773</v>
      </c>
      <c r="J396" s="9">
        <v>38</v>
      </c>
      <c r="K396" s="14">
        <v>3</v>
      </c>
      <c r="L396" s="14">
        <v>3</v>
      </c>
      <c r="M396" s="14" t="str">
        <f t="shared" si="18"/>
        <v>0303</v>
      </c>
      <c r="N396" s="17" t="s">
        <v>796</v>
      </c>
      <c r="P396" s="14" t="str">
        <f t="shared" si="19"/>
        <v>5900000</v>
      </c>
    </row>
    <row r="397" spans="1:16" ht="19.149999999999999" customHeight="1">
      <c r="A397" s="8">
        <v>65</v>
      </c>
      <c r="B397" s="9">
        <v>1</v>
      </c>
      <c r="C397" s="9">
        <v>724</v>
      </c>
      <c r="D397" s="9">
        <v>650010724</v>
      </c>
      <c r="E397" s="37" t="s">
        <v>796</v>
      </c>
      <c r="H397" s="9" t="s">
        <v>99</v>
      </c>
      <c r="I397" s="39" t="s">
        <v>773</v>
      </c>
      <c r="J397" s="9">
        <v>50</v>
      </c>
      <c r="K397" s="14">
        <v>3</v>
      </c>
      <c r="L397" s="14">
        <v>3</v>
      </c>
      <c r="M397" s="14" t="str">
        <f t="shared" si="18"/>
        <v>0303</v>
      </c>
      <c r="N397" s="17" t="s">
        <v>796</v>
      </c>
      <c r="P397" s="14" t="str">
        <f t="shared" si="19"/>
        <v>5900000</v>
      </c>
    </row>
    <row r="398" spans="1:16" ht="19.149999999999999" customHeight="1">
      <c r="A398" s="8">
        <v>59</v>
      </c>
      <c r="B398" s="9">
        <v>1</v>
      </c>
      <c r="C398" s="9">
        <v>645</v>
      </c>
      <c r="D398" s="9">
        <v>590010645</v>
      </c>
      <c r="E398" s="37" t="s">
        <v>796</v>
      </c>
      <c r="H398" s="9" t="s">
        <v>48</v>
      </c>
      <c r="I398" s="39" t="s">
        <v>773</v>
      </c>
      <c r="J398" s="9">
        <v>7.5</v>
      </c>
      <c r="K398" s="14">
        <v>3</v>
      </c>
      <c r="L398" s="14">
        <v>1</v>
      </c>
      <c r="M398" s="14" t="str">
        <f t="shared" si="18"/>
        <v>0301</v>
      </c>
      <c r="N398" s="17" t="s">
        <v>796</v>
      </c>
      <c r="P398" s="14" t="str">
        <f t="shared" si="19"/>
        <v>5900000</v>
      </c>
    </row>
    <row r="399" spans="1:16" ht="19.149999999999999" customHeight="1">
      <c r="A399" s="8">
        <v>30</v>
      </c>
      <c r="B399" s="9">
        <v>1</v>
      </c>
      <c r="C399" s="9">
        <v>79</v>
      </c>
      <c r="D399" s="9">
        <v>300010079</v>
      </c>
      <c r="E399" s="41" t="s">
        <v>794</v>
      </c>
      <c r="F399" s="41"/>
      <c r="G399" s="41"/>
      <c r="H399" s="9" t="s">
        <v>621</v>
      </c>
      <c r="I399" s="39" t="s">
        <v>773</v>
      </c>
      <c r="J399" s="9">
        <v>1.34</v>
      </c>
      <c r="K399" s="14">
        <v>7</v>
      </c>
      <c r="L399" s="14">
        <v>3</v>
      </c>
      <c r="M399" s="14" t="str">
        <f t="shared" si="18"/>
        <v>0703</v>
      </c>
      <c r="N399" s="19" t="s">
        <v>794</v>
      </c>
      <c r="O399" s="19"/>
      <c r="P399" s="14" t="str">
        <f t="shared" si="19"/>
        <v>6000000</v>
      </c>
    </row>
    <row r="400" spans="1:16" ht="19.149999999999999" customHeight="1">
      <c r="A400" s="8">
        <v>30</v>
      </c>
      <c r="B400" s="9">
        <v>1</v>
      </c>
      <c r="C400" s="9">
        <v>78</v>
      </c>
      <c r="D400" s="9">
        <v>300010078</v>
      </c>
      <c r="E400" s="37" t="s">
        <v>794</v>
      </c>
      <c r="H400" s="9" t="s">
        <v>30</v>
      </c>
      <c r="I400" s="39" t="s">
        <v>773</v>
      </c>
      <c r="J400" s="9">
        <v>16.5</v>
      </c>
      <c r="K400" s="14">
        <v>2</v>
      </c>
      <c r="L400" s="14">
        <v>4</v>
      </c>
      <c r="M400" s="14" t="str">
        <f t="shared" si="18"/>
        <v>0204</v>
      </c>
      <c r="N400" s="17" t="s">
        <v>794</v>
      </c>
      <c r="P400" s="14" t="str">
        <f t="shared" si="19"/>
        <v>6000000</v>
      </c>
    </row>
    <row r="401" spans="1:16" ht="19.149999999999999" customHeight="1">
      <c r="A401" s="8">
        <v>60</v>
      </c>
      <c r="B401" s="9">
        <v>1</v>
      </c>
      <c r="C401" s="9">
        <v>1</v>
      </c>
      <c r="D401" s="9">
        <v>600010001</v>
      </c>
      <c r="E401" s="37" t="s">
        <v>794</v>
      </c>
      <c r="H401" s="9" t="s">
        <v>31</v>
      </c>
      <c r="I401" s="39" t="s">
        <v>773</v>
      </c>
      <c r="J401" s="9">
        <v>18.5</v>
      </c>
      <c r="K401" s="14">
        <v>2</v>
      </c>
      <c r="L401" s="14">
        <v>4</v>
      </c>
      <c r="M401" s="14" t="str">
        <f t="shared" si="18"/>
        <v>0204</v>
      </c>
      <c r="N401" s="17" t="s">
        <v>794</v>
      </c>
      <c r="P401" s="14" t="str">
        <f t="shared" si="19"/>
        <v>6000000</v>
      </c>
    </row>
    <row r="402" spans="1:16" ht="19.149999999999999" customHeight="1">
      <c r="A402" s="8">
        <v>5</v>
      </c>
      <c r="B402" s="9">
        <v>1</v>
      </c>
      <c r="C402" s="9">
        <v>5</v>
      </c>
      <c r="D402" s="9">
        <v>50010005</v>
      </c>
      <c r="E402" s="41">
        <v>60</v>
      </c>
      <c r="F402" s="41"/>
      <c r="G402" s="41"/>
      <c r="H402" s="9" t="s">
        <v>747</v>
      </c>
      <c r="I402" s="39" t="s">
        <v>773</v>
      </c>
      <c r="J402" s="9">
        <v>15</v>
      </c>
      <c r="K402" s="14"/>
      <c r="L402" s="14"/>
      <c r="M402" s="14" t="str">
        <f t="shared" si="18"/>
        <v>0000</v>
      </c>
      <c r="N402" s="19">
        <v>60</v>
      </c>
      <c r="O402" s="19"/>
      <c r="P402" s="14" t="str">
        <f t="shared" si="19"/>
        <v>6000000</v>
      </c>
    </row>
    <row r="403" spans="1:16" ht="19.149999999999999" customHeight="1">
      <c r="A403" s="8">
        <v>60</v>
      </c>
      <c r="B403" s="9">
        <v>1</v>
      </c>
      <c r="C403" s="9">
        <v>656</v>
      </c>
      <c r="D403" s="9">
        <v>600010656</v>
      </c>
      <c r="E403" s="37" t="s">
        <v>794</v>
      </c>
      <c r="H403" s="9" t="s">
        <v>33</v>
      </c>
      <c r="I403" s="39" t="s">
        <v>773</v>
      </c>
      <c r="J403" s="9">
        <v>10</v>
      </c>
      <c r="K403" s="14">
        <v>2</v>
      </c>
      <c r="L403" s="14">
        <v>4</v>
      </c>
      <c r="M403" s="14" t="str">
        <f t="shared" si="18"/>
        <v>0204</v>
      </c>
      <c r="N403" s="17" t="s">
        <v>794</v>
      </c>
      <c r="P403" s="14" t="str">
        <f t="shared" si="19"/>
        <v>6000000</v>
      </c>
    </row>
    <row r="404" spans="1:16" ht="19.149999999999999" customHeight="1">
      <c r="A404" s="8">
        <v>60</v>
      </c>
      <c r="B404" s="9">
        <v>1</v>
      </c>
      <c r="C404" s="9">
        <v>657</v>
      </c>
      <c r="D404" s="9">
        <v>600010657</v>
      </c>
      <c r="E404" s="37" t="s">
        <v>794</v>
      </c>
      <c r="H404" s="9" t="s">
        <v>34</v>
      </c>
      <c r="I404" s="39" t="s">
        <v>773</v>
      </c>
      <c r="J404" s="9">
        <v>20</v>
      </c>
      <c r="K404" s="14">
        <v>2</v>
      </c>
      <c r="L404" s="14">
        <v>4</v>
      </c>
      <c r="M404" s="14" t="str">
        <f t="shared" si="18"/>
        <v>0204</v>
      </c>
      <c r="N404" s="17" t="s">
        <v>794</v>
      </c>
      <c r="P404" s="14" t="str">
        <f t="shared" si="19"/>
        <v>6000000</v>
      </c>
    </row>
    <row r="405" spans="1:16" ht="19.149999999999999" customHeight="1">
      <c r="A405" s="8">
        <v>5</v>
      </c>
      <c r="B405" s="9">
        <v>1</v>
      </c>
      <c r="C405" s="9">
        <v>4</v>
      </c>
      <c r="D405" s="9">
        <v>50010004</v>
      </c>
      <c r="E405" s="37" t="s">
        <v>794</v>
      </c>
      <c r="H405" s="9" t="s">
        <v>35</v>
      </c>
      <c r="I405" s="39" t="s">
        <v>773</v>
      </c>
      <c r="J405" s="9">
        <v>8</v>
      </c>
      <c r="K405" s="14">
        <v>2</v>
      </c>
      <c r="L405" s="14">
        <v>4</v>
      </c>
      <c r="M405" s="14" t="str">
        <f t="shared" si="18"/>
        <v>0204</v>
      </c>
      <c r="N405" s="17" t="s">
        <v>794</v>
      </c>
      <c r="P405" s="14" t="str">
        <f t="shared" si="19"/>
        <v>6000000</v>
      </c>
    </row>
    <row r="406" spans="1:16" ht="19.149999999999999" customHeight="1">
      <c r="A406" s="8">
        <v>30</v>
      </c>
      <c r="B406" s="9">
        <v>1</v>
      </c>
      <c r="C406" s="9">
        <v>365</v>
      </c>
      <c r="D406" s="9">
        <v>300010365</v>
      </c>
      <c r="E406" s="37" t="s">
        <v>794</v>
      </c>
      <c r="H406" s="9" t="s">
        <v>757</v>
      </c>
      <c r="I406" s="39" t="s">
        <v>773</v>
      </c>
      <c r="J406" s="9">
        <v>140</v>
      </c>
      <c r="K406" s="14"/>
      <c r="L406" s="14"/>
      <c r="M406" s="14" t="str">
        <f t="shared" si="18"/>
        <v>0000</v>
      </c>
      <c r="N406" s="17" t="s">
        <v>794</v>
      </c>
      <c r="P406" s="14" t="str">
        <f t="shared" si="19"/>
        <v>6000000</v>
      </c>
    </row>
    <row r="407" spans="1:16" ht="19.149999999999999" customHeight="1">
      <c r="A407" s="8">
        <v>30</v>
      </c>
      <c r="B407" s="9">
        <v>1</v>
      </c>
      <c r="C407" s="9">
        <v>364</v>
      </c>
      <c r="D407" s="9">
        <v>300010364</v>
      </c>
      <c r="E407" s="37" t="s">
        <v>794</v>
      </c>
      <c r="H407" s="9" t="s">
        <v>361</v>
      </c>
      <c r="I407" s="39" t="s">
        <v>773</v>
      </c>
      <c r="J407" s="9">
        <v>15</v>
      </c>
      <c r="K407" s="14">
        <v>3</v>
      </c>
      <c r="L407" s="14">
        <v>10</v>
      </c>
      <c r="M407" s="14" t="str">
        <f t="shared" si="18"/>
        <v>0310</v>
      </c>
      <c r="N407" s="17" t="s">
        <v>794</v>
      </c>
      <c r="P407" s="14" t="str">
        <f t="shared" si="19"/>
        <v>6000000</v>
      </c>
    </row>
    <row r="408" spans="1:16" ht="19.149999999999999" customHeight="1">
      <c r="A408" s="8">
        <v>10</v>
      </c>
      <c r="B408" s="9">
        <v>1</v>
      </c>
      <c r="C408" s="9">
        <v>228</v>
      </c>
      <c r="D408" s="9">
        <v>100010228</v>
      </c>
      <c r="E408" s="37" t="s">
        <v>794</v>
      </c>
      <c r="H408" s="9" t="s">
        <v>362</v>
      </c>
      <c r="I408" s="39" t="s">
        <v>773</v>
      </c>
      <c r="J408" s="9">
        <v>31</v>
      </c>
      <c r="K408" s="14">
        <v>3</v>
      </c>
      <c r="L408" s="14">
        <v>10</v>
      </c>
      <c r="M408" s="14" t="str">
        <f t="shared" si="18"/>
        <v>0310</v>
      </c>
      <c r="N408" s="17" t="s">
        <v>794</v>
      </c>
      <c r="P408" s="14" t="str">
        <f t="shared" si="19"/>
        <v>6000000</v>
      </c>
    </row>
    <row r="409" spans="1:16" ht="19.149999999999999" customHeight="1">
      <c r="A409" s="8">
        <v>30</v>
      </c>
      <c r="B409" s="9">
        <v>1</v>
      </c>
      <c r="C409" s="9">
        <v>82</v>
      </c>
      <c r="D409" s="9">
        <v>300010082</v>
      </c>
      <c r="E409" s="37" t="s">
        <v>794</v>
      </c>
      <c r="H409" s="9" t="s">
        <v>363</v>
      </c>
      <c r="I409" s="39" t="s">
        <v>773</v>
      </c>
      <c r="J409" s="9">
        <v>49.1</v>
      </c>
      <c r="K409" s="14">
        <v>3</v>
      </c>
      <c r="L409" s="14">
        <v>10</v>
      </c>
      <c r="M409" s="14" t="str">
        <f t="shared" si="18"/>
        <v>0310</v>
      </c>
      <c r="N409" s="17" t="s">
        <v>794</v>
      </c>
      <c r="P409" s="14" t="str">
        <f t="shared" si="19"/>
        <v>6000000</v>
      </c>
    </row>
    <row r="410" spans="1:16" ht="19.149999999999999" customHeight="1">
      <c r="A410" s="8">
        <v>30</v>
      </c>
      <c r="B410" s="9">
        <v>1</v>
      </c>
      <c r="C410" s="9">
        <v>508</v>
      </c>
      <c r="D410" s="9">
        <v>300010508</v>
      </c>
      <c r="E410" s="37" t="s">
        <v>794</v>
      </c>
      <c r="H410" s="9" t="s">
        <v>364</v>
      </c>
      <c r="I410" s="39" t="s">
        <v>773</v>
      </c>
      <c r="J410" s="9">
        <v>15</v>
      </c>
      <c r="K410" s="14">
        <v>3</v>
      </c>
      <c r="L410" s="14">
        <v>10</v>
      </c>
      <c r="M410" s="14" t="str">
        <f t="shared" si="18"/>
        <v>0310</v>
      </c>
      <c r="N410" s="17" t="s">
        <v>794</v>
      </c>
      <c r="P410" s="14" t="str">
        <f t="shared" si="19"/>
        <v>6000000</v>
      </c>
    </row>
    <row r="411" spans="1:16" ht="19.149999999999999" customHeight="1">
      <c r="A411" s="8">
        <v>30</v>
      </c>
      <c r="B411" s="9">
        <v>1</v>
      </c>
      <c r="C411" s="9">
        <v>490</v>
      </c>
      <c r="D411" s="9">
        <v>300010490</v>
      </c>
      <c r="E411" s="41" t="s">
        <v>794</v>
      </c>
      <c r="F411" s="41"/>
      <c r="G411" s="41"/>
      <c r="H411" s="9" t="s">
        <v>561</v>
      </c>
      <c r="I411" s="39" t="s">
        <v>773</v>
      </c>
      <c r="J411" s="9">
        <v>20</v>
      </c>
      <c r="K411" s="14">
        <v>5</v>
      </c>
      <c r="L411" s="14">
        <v>1</v>
      </c>
      <c r="M411" s="14" t="str">
        <f t="shared" si="18"/>
        <v>0501</v>
      </c>
      <c r="N411" s="19" t="s">
        <v>794</v>
      </c>
      <c r="O411" s="19"/>
      <c r="P411" s="14" t="str">
        <f t="shared" si="19"/>
        <v>6000000</v>
      </c>
    </row>
    <row r="412" spans="1:16" ht="19.149999999999999" customHeight="1">
      <c r="A412" s="8">
        <v>60</v>
      </c>
      <c r="B412" s="9">
        <v>1</v>
      </c>
      <c r="C412" s="9">
        <v>655</v>
      </c>
      <c r="D412" s="9">
        <v>600010655</v>
      </c>
      <c r="E412" s="41">
        <v>61</v>
      </c>
      <c r="F412" s="41"/>
      <c r="G412" s="41"/>
      <c r="H412" s="9" t="s">
        <v>720</v>
      </c>
      <c r="I412" s="39" t="s">
        <v>777</v>
      </c>
      <c r="J412" s="9">
        <v>10</v>
      </c>
      <c r="K412" s="14"/>
      <c r="L412" s="14"/>
      <c r="M412" s="14" t="str">
        <f t="shared" si="18"/>
        <v>0000</v>
      </c>
      <c r="N412" s="19">
        <v>61</v>
      </c>
      <c r="O412" s="19"/>
      <c r="P412" s="14" t="str">
        <f t="shared" si="19"/>
        <v>6100000</v>
      </c>
    </row>
    <row r="413" spans="1:16" ht="19.149999999999999" customHeight="1">
      <c r="A413" s="8">
        <v>30</v>
      </c>
      <c r="B413" s="9">
        <v>1</v>
      </c>
      <c r="C413" s="9">
        <v>397</v>
      </c>
      <c r="D413" s="9">
        <v>300010397</v>
      </c>
      <c r="E413" s="41">
        <v>61</v>
      </c>
      <c r="F413" s="41"/>
      <c r="G413" s="41"/>
      <c r="H413" s="9" t="s">
        <v>557</v>
      </c>
      <c r="I413" s="39" t="s">
        <v>777</v>
      </c>
      <c r="J413" s="9">
        <v>12.5</v>
      </c>
      <c r="K413" s="14">
        <v>3</v>
      </c>
      <c r="L413" s="14">
        <v>4</v>
      </c>
      <c r="M413" s="14" t="str">
        <f t="shared" si="18"/>
        <v>0304</v>
      </c>
      <c r="N413" s="19">
        <v>61</v>
      </c>
      <c r="O413" s="19"/>
      <c r="P413" s="14" t="str">
        <f t="shared" si="19"/>
        <v>6100000</v>
      </c>
    </row>
    <row r="414" spans="1:16" ht="19.149999999999999" customHeight="1">
      <c r="A414" s="8">
        <v>61</v>
      </c>
      <c r="B414" s="9">
        <v>1</v>
      </c>
      <c r="C414" s="9">
        <v>2</v>
      </c>
      <c r="D414" s="9">
        <v>610010002</v>
      </c>
      <c r="E414" s="37" t="s">
        <v>812</v>
      </c>
      <c r="H414" s="9" t="s">
        <v>193</v>
      </c>
      <c r="I414" s="39" t="s">
        <v>773</v>
      </c>
      <c r="J414" s="9">
        <v>160</v>
      </c>
      <c r="K414" s="14">
        <v>3</v>
      </c>
      <c r="L414" s="14">
        <v>4</v>
      </c>
      <c r="M414" s="14" t="str">
        <f t="shared" si="18"/>
        <v>0304</v>
      </c>
      <c r="N414" s="17" t="s">
        <v>812</v>
      </c>
      <c r="P414" s="14" t="str">
        <f t="shared" si="19"/>
        <v>6100000</v>
      </c>
    </row>
    <row r="415" spans="1:16" ht="19.149999999999999" customHeight="1">
      <c r="A415" s="8">
        <v>61</v>
      </c>
      <c r="B415" s="9">
        <v>1</v>
      </c>
      <c r="C415" s="9">
        <v>1</v>
      </c>
      <c r="D415" s="9">
        <v>610010001</v>
      </c>
      <c r="E415" s="41">
        <v>61</v>
      </c>
      <c r="F415" s="41"/>
      <c r="G415" s="41"/>
      <c r="H415" s="9" t="s">
        <v>466</v>
      </c>
      <c r="I415" s="39" t="s">
        <v>773</v>
      </c>
      <c r="J415" s="9">
        <v>50</v>
      </c>
      <c r="K415" s="14">
        <v>4</v>
      </c>
      <c r="L415" s="14">
        <v>2</v>
      </c>
      <c r="M415" s="14" t="str">
        <f t="shared" si="18"/>
        <v>0402</v>
      </c>
      <c r="N415" s="19">
        <v>61</v>
      </c>
      <c r="O415" s="19"/>
      <c r="P415" s="14" t="str">
        <f t="shared" si="19"/>
        <v>6100000</v>
      </c>
    </row>
    <row r="416" spans="1:16" ht="19.149999999999999" customHeight="1">
      <c r="A416" s="8">
        <v>30</v>
      </c>
      <c r="B416" s="9">
        <v>1</v>
      </c>
      <c r="C416" s="9">
        <v>457</v>
      </c>
      <c r="D416" s="9">
        <v>300010457</v>
      </c>
      <c r="E416" s="52">
        <v>65</v>
      </c>
      <c r="F416" s="52"/>
      <c r="G416" s="52"/>
      <c r="H416" s="9" t="s">
        <v>581</v>
      </c>
      <c r="I416" s="39" t="s">
        <v>777</v>
      </c>
      <c r="J416" s="9">
        <v>4.2</v>
      </c>
      <c r="K416" s="14">
        <v>5</v>
      </c>
      <c r="L416" s="14">
        <v>1</v>
      </c>
      <c r="M416" s="14" t="str">
        <f t="shared" si="18"/>
        <v>0501</v>
      </c>
      <c r="N416" s="22">
        <v>65</v>
      </c>
      <c r="O416" s="22"/>
      <c r="P416" s="14" t="str">
        <f t="shared" si="19"/>
        <v>6500000</v>
      </c>
    </row>
    <row r="417" spans="1:16" ht="19.149999999999999" customHeight="1">
      <c r="A417" s="8">
        <v>30</v>
      </c>
      <c r="B417" s="9">
        <v>1</v>
      </c>
      <c r="C417" s="9">
        <v>446</v>
      </c>
      <c r="D417" s="9">
        <v>300010446</v>
      </c>
      <c r="E417" s="41">
        <v>65</v>
      </c>
      <c r="F417" s="41"/>
      <c r="G417" s="41"/>
      <c r="H417" s="9" t="s">
        <v>593</v>
      </c>
      <c r="I417" s="39" t="s">
        <v>773</v>
      </c>
      <c r="J417" s="9">
        <v>100</v>
      </c>
      <c r="K417" s="14">
        <v>5</v>
      </c>
      <c r="L417" s="14">
        <v>1</v>
      </c>
      <c r="M417" s="14" t="str">
        <f t="shared" si="18"/>
        <v>0501</v>
      </c>
      <c r="N417" s="19">
        <v>65</v>
      </c>
      <c r="O417" s="19"/>
      <c r="P417" s="14" t="str">
        <f t="shared" si="19"/>
        <v>6500000</v>
      </c>
    </row>
    <row r="418" spans="1:16" ht="19.149999999999999" customHeight="1">
      <c r="A418" s="8">
        <v>12</v>
      </c>
      <c r="B418" s="9">
        <v>1</v>
      </c>
      <c r="C418" s="9">
        <v>319</v>
      </c>
      <c r="D418" s="9">
        <v>120010319</v>
      </c>
      <c r="E418" s="41" t="s">
        <v>820</v>
      </c>
      <c r="F418" s="41"/>
      <c r="G418" s="41"/>
      <c r="H418" s="9" t="s">
        <v>486</v>
      </c>
      <c r="I418" s="39" t="s">
        <v>773</v>
      </c>
      <c r="J418" s="9">
        <v>35</v>
      </c>
      <c r="K418" s="14">
        <v>4</v>
      </c>
      <c r="L418" s="14">
        <v>2</v>
      </c>
      <c r="M418" s="14" t="str">
        <f t="shared" si="18"/>
        <v>0402</v>
      </c>
      <c r="N418" s="19" t="s">
        <v>820</v>
      </c>
      <c r="O418" s="19"/>
      <c r="P418" s="14" t="str">
        <f t="shared" si="19"/>
        <v>7200000</v>
      </c>
    </row>
    <row r="419" spans="1:16" ht="19.149999999999999" customHeight="1">
      <c r="A419" s="8">
        <v>12</v>
      </c>
      <c r="B419" s="9">
        <v>1</v>
      </c>
      <c r="C419" s="9">
        <v>320</v>
      </c>
      <c r="D419" s="9">
        <v>120010320</v>
      </c>
      <c r="E419" s="41" t="s">
        <v>820</v>
      </c>
      <c r="F419" s="41"/>
      <c r="G419" s="41"/>
      <c r="H419" s="9" t="s">
        <v>487</v>
      </c>
      <c r="I419" s="39" t="s">
        <v>773</v>
      </c>
      <c r="J419" s="9">
        <v>40</v>
      </c>
      <c r="K419" s="14">
        <v>4</v>
      </c>
      <c r="L419" s="14">
        <v>2</v>
      </c>
      <c r="M419" s="14" t="str">
        <f t="shared" si="18"/>
        <v>0402</v>
      </c>
      <c r="N419" s="19" t="s">
        <v>820</v>
      </c>
      <c r="O419" s="19"/>
      <c r="P419" s="14" t="str">
        <f t="shared" si="19"/>
        <v>7200000</v>
      </c>
    </row>
    <row r="420" spans="1:16" ht="19.149999999999999" customHeight="1">
      <c r="A420" s="8">
        <v>66</v>
      </c>
      <c r="B420" s="9">
        <v>1</v>
      </c>
      <c r="C420" s="9">
        <v>762</v>
      </c>
      <c r="D420" s="9">
        <v>660010762</v>
      </c>
      <c r="E420" s="41">
        <v>72</v>
      </c>
      <c r="F420" s="41"/>
      <c r="G420" s="41"/>
      <c r="H420" s="9" t="s">
        <v>637</v>
      </c>
      <c r="I420" s="39" t="s">
        <v>773</v>
      </c>
      <c r="J420" s="9">
        <v>1.2</v>
      </c>
      <c r="K420" s="14">
        <v>7</v>
      </c>
      <c r="L420" s="14">
        <v>3</v>
      </c>
      <c r="M420" s="14" t="str">
        <f t="shared" si="18"/>
        <v>0703</v>
      </c>
      <c r="N420" s="19">
        <v>72</v>
      </c>
      <c r="O420" s="19"/>
      <c r="P420" s="14" t="str">
        <f t="shared" si="19"/>
        <v>7200000</v>
      </c>
    </row>
    <row r="421" spans="1:16" ht="19.149999999999999" customHeight="1">
      <c r="A421" s="8">
        <v>66</v>
      </c>
      <c r="B421" s="9">
        <v>1</v>
      </c>
      <c r="C421" s="9">
        <v>761</v>
      </c>
      <c r="D421" s="9">
        <v>660010761</v>
      </c>
      <c r="E421" s="37" t="s">
        <v>820</v>
      </c>
      <c r="H421" s="9" t="s">
        <v>446</v>
      </c>
      <c r="I421" s="39" t="s">
        <v>773</v>
      </c>
      <c r="J421" s="9">
        <v>1.33</v>
      </c>
      <c r="K421" s="14">
        <v>4</v>
      </c>
      <c r="L421" s="14">
        <v>2</v>
      </c>
      <c r="M421" s="14" t="str">
        <f t="shared" si="18"/>
        <v>0402</v>
      </c>
      <c r="N421" s="17" t="s">
        <v>820</v>
      </c>
      <c r="P421" s="14" t="str">
        <f t="shared" si="19"/>
        <v>7200000</v>
      </c>
    </row>
    <row r="422" spans="1:16" ht="19.149999999999999" customHeight="1">
      <c r="A422" s="8">
        <v>66</v>
      </c>
      <c r="B422" s="9">
        <v>1</v>
      </c>
      <c r="C422" s="9">
        <v>744</v>
      </c>
      <c r="D422" s="9">
        <v>660010744</v>
      </c>
      <c r="E422" s="37" t="s">
        <v>820</v>
      </c>
      <c r="H422" s="9" t="s">
        <v>447</v>
      </c>
      <c r="I422" s="39" t="s">
        <v>773</v>
      </c>
      <c r="J422" s="9">
        <v>1.53</v>
      </c>
      <c r="K422" s="14">
        <v>4</v>
      </c>
      <c r="L422" s="14">
        <v>2</v>
      </c>
      <c r="M422" s="14" t="str">
        <f t="shared" si="18"/>
        <v>0402</v>
      </c>
      <c r="N422" s="17" t="s">
        <v>820</v>
      </c>
      <c r="P422" s="14" t="str">
        <f t="shared" si="19"/>
        <v>7200000</v>
      </c>
    </row>
    <row r="423" spans="1:16" ht="19.149999999999999" customHeight="1">
      <c r="A423" s="8">
        <v>66</v>
      </c>
      <c r="B423" s="9">
        <v>1</v>
      </c>
      <c r="C423" s="9">
        <v>741</v>
      </c>
      <c r="D423" s="9">
        <v>660010741</v>
      </c>
      <c r="E423" s="37" t="s">
        <v>820</v>
      </c>
      <c r="H423" s="9" t="s">
        <v>448</v>
      </c>
      <c r="I423" s="39" t="s">
        <v>773</v>
      </c>
      <c r="J423" s="9">
        <v>4.99</v>
      </c>
      <c r="K423" s="14">
        <v>4</v>
      </c>
      <c r="L423" s="14">
        <v>2</v>
      </c>
      <c r="M423" s="14" t="str">
        <f t="shared" si="18"/>
        <v>0402</v>
      </c>
      <c r="N423" s="17" t="s">
        <v>820</v>
      </c>
      <c r="P423" s="14" t="str">
        <f t="shared" si="19"/>
        <v>7200000</v>
      </c>
    </row>
    <row r="424" spans="1:16" ht="19.149999999999999" customHeight="1">
      <c r="A424" s="8">
        <v>66</v>
      </c>
      <c r="B424" s="9">
        <v>1</v>
      </c>
      <c r="C424" s="9">
        <v>743</v>
      </c>
      <c r="D424" s="9">
        <v>660010743</v>
      </c>
      <c r="E424" s="37" t="s">
        <v>820</v>
      </c>
      <c r="H424" s="9" t="s">
        <v>449</v>
      </c>
      <c r="I424" s="39" t="s">
        <v>773</v>
      </c>
      <c r="J424" s="9">
        <v>6.9</v>
      </c>
      <c r="K424" s="14">
        <v>4</v>
      </c>
      <c r="L424" s="14">
        <v>2</v>
      </c>
      <c r="M424" s="14" t="str">
        <f t="shared" si="18"/>
        <v>0402</v>
      </c>
      <c r="N424" s="17" t="s">
        <v>820</v>
      </c>
      <c r="P424" s="14" t="str">
        <f t="shared" si="19"/>
        <v>7200000</v>
      </c>
    </row>
    <row r="425" spans="1:16" ht="19.149999999999999" customHeight="1">
      <c r="A425" s="8">
        <v>66</v>
      </c>
      <c r="B425" s="9">
        <v>1</v>
      </c>
      <c r="C425" s="9">
        <v>740</v>
      </c>
      <c r="D425" s="9">
        <v>660010740</v>
      </c>
      <c r="E425" s="37" t="s">
        <v>820</v>
      </c>
      <c r="H425" s="9" t="s">
        <v>450</v>
      </c>
      <c r="I425" s="39" t="s">
        <v>773</v>
      </c>
      <c r="J425" s="9">
        <v>6.12</v>
      </c>
      <c r="K425" s="14">
        <v>4</v>
      </c>
      <c r="L425" s="14">
        <v>2</v>
      </c>
      <c r="M425" s="14" t="str">
        <f t="shared" si="18"/>
        <v>0402</v>
      </c>
      <c r="N425" s="17" t="s">
        <v>820</v>
      </c>
      <c r="P425" s="14" t="str">
        <f t="shared" si="19"/>
        <v>7200000</v>
      </c>
    </row>
    <row r="426" spans="1:16" ht="19.149999999999999" customHeight="1">
      <c r="A426" s="8">
        <v>66</v>
      </c>
      <c r="B426" s="9">
        <v>1</v>
      </c>
      <c r="C426" s="9">
        <v>742</v>
      </c>
      <c r="D426" s="9">
        <v>660010742</v>
      </c>
      <c r="E426" s="37" t="s">
        <v>820</v>
      </c>
      <c r="H426" s="9" t="s">
        <v>451</v>
      </c>
      <c r="I426" s="39" t="s">
        <v>773</v>
      </c>
      <c r="J426" s="9">
        <v>7</v>
      </c>
      <c r="K426" s="14">
        <v>4</v>
      </c>
      <c r="L426" s="14">
        <v>2</v>
      </c>
      <c r="M426" s="14" t="str">
        <f t="shared" ref="M426:M489" si="20">TEXT(K426,"00")&amp;TEXT(L426,"00")</f>
        <v>0402</v>
      </c>
      <c r="N426" s="17" t="s">
        <v>820</v>
      </c>
      <c r="P426" s="14" t="str">
        <f t="shared" ref="P426:P489" si="21">TEXT(E426,"00")&amp;TEXT(F426,"00")&amp;TEXT(G426,"000")</f>
        <v>7200000</v>
      </c>
    </row>
    <row r="427" spans="1:16" ht="19.149999999999999" customHeight="1">
      <c r="A427" s="8">
        <v>66</v>
      </c>
      <c r="B427" s="9">
        <v>1</v>
      </c>
      <c r="C427" s="9">
        <v>739</v>
      </c>
      <c r="D427" s="9">
        <v>660010739</v>
      </c>
      <c r="E427" s="37" t="s">
        <v>820</v>
      </c>
      <c r="H427" s="9" t="s">
        <v>452</v>
      </c>
      <c r="I427" s="39" t="s">
        <v>773</v>
      </c>
      <c r="J427" s="9">
        <v>85.9</v>
      </c>
      <c r="K427" s="14">
        <v>4</v>
      </c>
      <c r="L427" s="14">
        <v>2</v>
      </c>
      <c r="M427" s="14" t="str">
        <f t="shared" si="20"/>
        <v>0402</v>
      </c>
      <c r="N427" s="17" t="s">
        <v>820</v>
      </c>
      <c r="P427" s="14" t="str">
        <f t="shared" si="21"/>
        <v>7200000</v>
      </c>
    </row>
    <row r="428" spans="1:16" ht="19.149999999999999" customHeight="1">
      <c r="A428" s="8">
        <v>72</v>
      </c>
      <c r="B428" s="9">
        <v>1</v>
      </c>
      <c r="C428" s="9">
        <v>8</v>
      </c>
      <c r="D428" s="9">
        <v>720010008</v>
      </c>
      <c r="E428" s="37" t="s">
        <v>820</v>
      </c>
      <c r="H428" s="9" t="s">
        <v>453</v>
      </c>
      <c r="I428" s="39" t="s">
        <v>773</v>
      </c>
      <c r="J428" s="9">
        <v>9.9</v>
      </c>
      <c r="K428" s="14">
        <v>4</v>
      </c>
      <c r="L428" s="14">
        <v>2</v>
      </c>
      <c r="M428" s="14" t="str">
        <f t="shared" si="20"/>
        <v>0402</v>
      </c>
      <c r="N428" s="17" t="s">
        <v>820</v>
      </c>
      <c r="P428" s="14" t="str">
        <f t="shared" si="21"/>
        <v>7200000</v>
      </c>
    </row>
    <row r="429" spans="1:16" ht="19.149999999999999" customHeight="1">
      <c r="A429" s="8">
        <v>66</v>
      </c>
      <c r="B429" s="9">
        <v>1</v>
      </c>
      <c r="C429" s="9">
        <v>738</v>
      </c>
      <c r="D429" s="9">
        <v>660010738</v>
      </c>
      <c r="E429" s="41" t="s">
        <v>820</v>
      </c>
      <c r="F429" s="41"/>
      <c r="G429" s="41"/>
      <c r="H429" s="9" t="s">
        <v>533</v>
      </c>
      <c r="I429" s="39" t="s">
        <v>773</v>
      </c>
      <c r="J429" s="9">
        <v>1.7</v>
      </c>
      <c r="K429" s="14">
        <v>5</v>
      </c>
      <c r="L429" s="14">
        <v>1</v>
      </c>
      <c r="M429" s="14" t="str">
        <f t="shared" si="20"/>
        <v>0501</v>
      </c>
      <c r="N429" s="19" t="s">
        <v>820</v>
      </c>
      <c r="O429" s="19"/>
      <c r="P429" s="14" t="str">
        <f t="shared" si="21"/>
        <v>7200000</v>
      </c>
    </row>
    <row r="430" spans="1:16" ht="19.149999999999999" customHeight="1">
      <c r="A430" s="8">
        <v>10</v>
      </c>
      <c r="B430" s="9">
        <v>1</v>
      </c>
      <c r="C430" s="9">
        <v>225</v>
      </c>
      <c r="D430" s="9">
        <v>100010225</v>
      </c>
      <c r="E430" s="41" t="s">
        <v>820</v>
      </c>
      <c r="F430" s="41"/>
      <c r="G430" s="41"/>
      <c r="H430" s="9" t="s">
        <v>534</v>
      </c>
      <c r="I430" s="39" t="s">
        <v>773</v>
      </c>
      <c r="J430" s="9">
        <v>0.6</v>
      </c>
      <c r="K430" s="14">
        <v>5</v>
      </c>
      <c r="L430" s="14">
        <v>1</v>
      </c>
      <c r="M430" s="14" t="str">
        <f t="shared" si="20"/>
        <v>0501</v>
      </c>
      <c r="N430" s="19" t="s">
        <v>820</v>
      </c>
      <c r="O430" s="19"/>
      <c r="P430" s="14" t="str">
        <f t="shared" si="21"/>
        <v>7200000</v>
      </c>
    </row>
    <row r="431" spans="1:16" ht="19.149999999999999" customHeight="1">
      <c r="A431" s="8">
        <v>10</v>
      </c>
      <c r="B431" s="9">
        <v>1</v>
      </c>
      <c r="C431" s="9">
        <v>224</v>
      </c>
      <c r="D431" s="9">
        <v>100010224</v>
      </c>
      <c r="E431" s="41" t="s">
        <v>820</v>
      </c>
      <c r="F431" s="41"/>
      <c r="G431" s="41"/>
      <c r="H431" s="9" t="s">
        <v>535</v>
      </c>
      <c r="I431" s="39" t="s">
        <v>773</v>
      </c>
      <c r="J431" s="9">
        <v>0.25</v>
      </c>
      <c r="K431" s="14">
        <v>5</v>
      </c>
      <c r="L431" s="14">
        <v>1</v>
      </c>
      <c r="M431" s="14" t="str">
        <f t="shared" si="20"/>
        <v>0501</v>
      </c>
      <c r="N431" s="19" t="s">
        <v>820</v>
      </c>
      <c r="O431" s="19"/>
      <c r="P431" s="14" t="str">
        <f t="shared" si="21"/>
        <v>7200000</v>
      </c>
    </row>
    <row r="432" spans="1:16" ht="19.149999999999999" customHeight="1">
      <c r="A432" s="8">
        <v>66</v>
      </c>
      <c r="B432" s="9">
        <v>1</v>
      </c>
      <c r="C432" s="9">
        <v>752</v>
      </c>
      <c r="D432" s="9">
        <v>660010752</v>
      </c>
      <c r="E432" s="41" t="s">
        <v>820</v>
      </c>
      <c r="F432" s="41"/>
      <c r="G432" s="41"/>
      <c r="H432" s="9" t="s">
        <v>536</v>
      </c>
      <c r="I432" s="39" t="s">
        <v>773</v>
      </c>
      <c r="J432" s="9">
        <v>1.8</v>
      </c>
      <c r="K432" s="14">
        <v>5</v>
      </c>
      <c r="L432" s="14">
        <v>1</v>
      </c>
      <c r="M432" s="14" t="str">
        <f t="shared" si="20"/>
        <v>0501</v>
      </c>
      <c r="N432" s="19" t="s">
        <v>820</v>
      </c>
      <c r="O432" s="19"/>
      <c r="P432" s="14" t="str">
        <f t="shared" si="21"/>
        <v>7200000</v>
      </c>
    </row>
    <row r="433" spans="1:16" ht="19.149999999999999" customHeight="1">
      <c r="A433" s="8">
        <v>72</v>
      </c>
      <c r="B433" s="9">
        <v>1</v>
      </c>
      <c r="C433" s="9">
        <v>12</v>
      </c>
      <c r="D433" s="9">
        <v>720010012</v>
      </c>
      <c r="E433" s="41" t="s">
        <v>820</v>
      </c>
      <c r="F433" s="41"/>
      <c r="G433" s="41"/>
      <c r="H433" s="9" t="s">
        <v>537</v>
      </c>
      <c r="I433" s="39" t="s">
        <v>773</v>
      </c>
      <c r="J433" s="9">
        <v>1.9</v>
      </c>
      <c r="K433" s="14">
        <v>5</v>
      </c>
      <c r="L433" s="14">
        <v>1</v>
      </c>
      <c r="M433" s="14" t="str">
        <f t="shared" si="20"/>
        <v>0501</v>
      </c>
      <c r="N433" s="19" t="s">
        <v>820</v>
      </c>
      <c r="O433" s="19"/>
      <c r="P433" s="14" t="str">
        <f t="shared" si="21"/>
        <v>7200000</v>
      </c>
    </row>
    <row r="434" spans="1:16" ht="19.149999999999999" customHeight="1">
      <c r="A434" s="8">
        <v>72</v>
      </c>
      <c r="B434" s="9">
        <v>1</v>
      </c>
      <c r="C434" s="9">
        <v>10</v>
      </c>
      <c r="D434" s="9">
        <v>720010010</v>
      </c>
      <c r="E434" s="41" t="s">
        <v>820</v>
      </c>
      <c r="F434" s="41"/>
      <c r="G434" s="41"/>
      <c r="H434" s="9" t="s">
        <v>538</v>
      </c>
      <c r="I434" s="39" t="s">
        <v>773</v>
      </c>
      <c r="J434" s="9">
        <v>1.3</v>
      </c>
      <c r="K434" s="14">
        <v>5</v>
      </c>
      <c r="L434" s="14">
        <v>1</v>
      </c>
      <c r="M434" s="14" t="str">
        <f t="shared" si="20"/>
        <v>0501</v>
      </c>
      <c r="N434" s="19" t="s">
        <v>820</v>
      </c>
      <c r="O434" s="19"/>
      <c r="P434" s="14" t="str">
        <f t="shared" si="21"/>
        <v>7200000</v>
      </c>
    </row>
    <row r="435" spans="1:16" ht="19.149999999999999" customHeight="1">
      <c r="A435" s="8">
        <v>72</v>
      </c>
      <c r="B435" s="9">
        <v>1</v>
      </c>
      <c r="C435" s="9">
        <v>11</v>
      </c>
      <c r="D435" s="9">
        <v>720010011</v>
      </c>
      <c r="E435" s="41" t="s">
        <v>820</v>
      </c>
      <c r="F435" s="41"/>
      <c r="G435" s="41"/>
      <c r="H435" s="9" t="s">
        <v>539</v>
      </c>
      <c r="I435" s="39" t="s">
        <v>773</v>
      </c>
      <c r="J435" s="9">
        <v>0.5</v>
      </c>
      <c r="K435" s="14">
        <v>5</v>
      </c>
      <c r="L435" s="14">
        <v>1</v>
      </c>
      <c r="M435" s="14" t="str">
        <f t="shared" si="20"/>
        <v>0501</v>
      </c>
      <c r="N435" s="19" t="s">
        <v>820</v>
      </c>
      <c r="O435" s="19"/>
      <c r="P435" s="14" t="str">
        <f t="shared" si="21"/>
        <v>7200000</v>
      </c>
    </row>
    <row r="436" spans="1:16" ht="19.149999999999999" customHeight="1">
      <c r="A436" s="8">
        <v>72</v>
      </c>
      <c r="B436" s="9">
        <v>1</v>
      </c>
      <c r="C436" s="9">
        <v>4</v>
      </c>
      <c r="D436" s="9">
        <v>720010004</v>
      </c>
      <c r="E436" s="41" t="s">
        <v>820</v>
      </c>
      <c r="F436" s="41"/>
      <c r="G436" s="41"/>
      <c r="H436" s="9" t="s">
        <v>540</v>
      </c>
      <c r="I436" s="39" t="s">
        <v>773</v>
      </c>
      <c r="J436" s="9">
        <v>1.8</v>
      </c>
      <c r="K436" s="14">
        <v>5</v>
      </c>
      <c r="L436" s="14">
        <v>1</v>
      </c>
      <c r="M436" s="14" t="str">
        <f t="shared" si="20"/>
        <v>0501</v>
      </c>
      <c r="N436" s="19" t="s">
        <v>820</v>
      </c>
      <c r="O436" s="19"/>
      <c r="P436" s="14" t="str">
        <f t="shared" si="21"/>
        <v>7200000</v>
      </c>
    </row>
    <row r="437" spans="1:16" ht="19.149999999999999" customHeight="1">
      <c r="A437" s="8">
        <v>72</v>
      </c>
      <c r="B437" s="9">
        <v>1</v>
      </c>
      <c r="C437" s="9">
        <v>5</v>
      </c>
      <c r="D437" s="9">
        <v>720010005</v>
      </c>
      <c r="E437" s="37" t="s">
        <v>820</v>
      </c>
      <c r="H437" s="9" t="s">
        <v>441</v>
      </c>
      <c r="I437" s="39" t="s">
        <v>773</v>
      </c>
      <c r="J437" s="9">
        <v>19.5</v>
      </c>
      <c r="K437" s="14">
        <v>4</v>
      </c>
      <c r="L437" s="14">
        <v>2</v>
      </c>
      <c r="M437" s="14" t="str">
        <f t="shared" si="20"/>
        <v>0402</v>
      </c>
      <c r="N437" s="17" t="s">
        <v>820</v>
      </c>
      <c r="P437" s="14" t="str">
        <f t="shared" si="21"/>
        <v>7200000</v>
      </c>
    </row>
    <row r="438" spans="1:16" ht="19.149999999999999" customHeight="1">
      <c r="A438" s="8">
        <v>72</v>
      </c>
      <c r="B438" s="9">
        <v>1</v>
      </c>
      <c r="C438" s="9">
        <v>6</v>
      </c>
      <c r="D438" s="9">
        <v>720010006</v>
      </c>
      <c r="E438" s="37" t="s">
        <v>820</v>
      </c>
      <c r="H438" s="9" t="s">
        <v>442</v>
      </c>
      <c r="I438" s="39" t="s">
        <v>773</v>
      </c>
      <c r="J438" s="9">
        <v>36.9</v>
      </c>
      <c r="K438" s="14">
        <v>4</v>
      </c>
      <c r="L438" s="14">
        <v>2</v>
      </c>
      <c r="M438" s="14" t="str">
        <f t="shared" si="20"/>
        <v>0402</v>
      </c>
      <c r="N438" s="17" t="s">
        <v>820</v>
      </c>
      <c r="P438" s="14" t="str">
        <f t="shared" si="21"/>
        <v>7200000</v>
      </c>
    </row>
    <row r="439" spans="1:16" ht="19.149999999999999" customHeight="1">
      <c r="A439" s="8">
        <v>66</v>
      </c>
      <c r="B439" s="9">
        <v>1</v>
      </c>
      <c r="C439" s="9">
        <v>737</v>
      </c>
      <c r="D439" s="9">
        <v>660010737</v>
      </c>
      <c r="E439" s="41">
        <v>72</v>
      </c>
      <c r="F439" s="41"/>
      <c r="G439" s="41"/>
      <c r="H439" s="9" t="s">
        <v>735</v>
      </c>
      <c r="I439" s="39" t="s">
        <v>777</v>
      </c>
      <c r="J439" s="9">
        <v>5.9</v>
      </c>
      <c r="K439" s="14"/>
      <c r="L439" s="14"/>
      <c r="M439" s="14" t="str">
        <f t="shared" si="20"/>
        <v>0000</v>
      </c>
      <c r="N439" s="19">
        <v>72</v>
      </c>
      <c r="O439" s="19"/>
      <c r="P439" s="14" t="str">
        <f t="shared" si="21"/>
        <v>7200000</v>
      </c>
    </row>
    <row r="440" spans="1:16" ht="19.149999999999999" customHeight="1">
      <c r="A440" s="8">
        <v>72</v>
      </c>
      <c r="B440" s="9">
        <v>1</v>
      </c>
      <c r="C440" s="9">
        <v>3</v>
      </c>
      <c r="D440" s="9">
        <v>720010003</v>
      </c>
      <c r="E440" s="37" t="s">
        <v>820</v>
      </c>
      <c r="H440" s="9" t="s">
        <v>454</v>
      </c>
      <c r="I440" s="39" t="s">
        <v>773</v>
      </c>
      <c r="J440" s="9">
        <v>7</v>
      </c>
      <c r="K440" s="14">
        <v>4</v>
      </c>
      <c r="L440" s="14">
        <v>2</v>
      </c>
      <c r="M440" s="14" t="str">
        <f t="shared" si="20"/>
        <v>0402</v>
      </c>
      <c r="N440" s="17" t="s">
        <v>820</v>
      </c>
      <c r="P440" s="14" t="str">
        <f t="shared" si="21"/>
        <v>7200000</v>
      </c>
    </row>
    <row r="441" spans="1:16" ht="19.149999999999999" customHeight="1">
      <c r="A441" s="8">
        <v>66</v>
      </c>
      <c r="B441" s="9">
        <v>1</v>
      </c>
      <c r="C441" s="9">
        <v>736</v>
      </c>
      <c r="D441" s="9">
        <v>660010736</v>
      </c>
      <c r="E441" s="37" t="s">
        <v>820</v>
      </c>
      <c r="H441" s="9" t="s">
        <v>455</v>
      </c>
      <c r="I441" s="39" t="s">
        <v>773</v>
      </c>
      <c r="J441" s="9">
        <v>10</v>
      </c>
      <c r="K441" s="14">
        <v>4</v>
      </c>
      <c r="L441" s="14">
        <v>2</v>
      </c>
      <c r="M441" s="14" t="str">
        <f t="shared" si="20"/>
        <v>0402</v>
      </c>
      <c r="N441" s="17" t="s">
        <v>820</v>
      </c>
      <c r="P441" s="14" t="str">
        <f t="shared" si="21"/>
        <v>7200000</v>
      </c>
    </row>
    <row r="442" spans="1:16" ht="19.149999999999999" customHeight="1">
      <c r="A442" s="8">
        <v>66</v>
      </c>
      <c r="B442" s="9">
        <v>1</v>
      </c>
      <c r="C442" s="9">
        <v>735</v>
      </c>
      <c r="D442" s="9">
        <v>660010735</v>
      </c>
      <c r="E442" s="37" t="s">
        <v>820</v>
      </c>
      <c r="H442" s="9" t="s">
        <v>456</v>
      </c>
      <c r="I442" s="39" t="s">
        <v>773</v>
      </c>
      <c r="J442" s="9">
        <v>50</v>
      </c>
      <c r="K442" s="14">
        <v>4</v>
      </c>
      <c r="L442" s="14">
        <v>2</v>
      </c>
      <c r="M442" s="14" t="str">
        <f t="shared" si="20"/>
        <v>0402</v>
      </c>
      <c r="N442" s="17" t="s">
        <v>820</v>
      </c>
      <c r="P442" s="14" t="str">
        <f t="shared" si="21"/>
        <v>7200000</v>
      </c>
    </row>
    <row r="443" spans="1:16" ht="19.149999999999999" customHeight="1">
      <c r="A443" s="8">
        <v>66</v>
      </c>
      <c r="B443" s="9">
        <v>1</v>
      </c>
      <c r="C443" s="9">
        <v>753</v>
      </c>
      <c r="D443" s="9">
        <v>660010753</v>
      </c>
      <c r="E443" s="37" t="s">
        <v>820</v>
      </c>
      <c r="H443" s="9" t="s">
        <v>457</v>
      </c>
      <c r="I443" s="39" t="s">
        <v>773</v>
      </c>
      <c r="J443" s="9">
        <v>90</v>
      </c>
      <c r="K443" s="14">
        <v>4</v>
      </c>
      <c r="L443" s="14">
        <v>2</v>
      </c>
      <c r="M443" s="14" t="str">
        <f t="shared" si="20"/>
        <v>0402</v>
      </c>
      <c r="N443" s="17" t="s">
        <v>820</v>
      </c>
      <c r="P443" s="14" t="str">
        <f t="shared" si="21"/>
        <v>7200000</v>
      </c>
    </row>
    <row r="444" spans="1:16" ht="19.149999999999999" customHeight="1">
      <c r="A444" s="8">
        <v>66</v>
      </c>
      <c r="B444" s="9">
        <v>1</v>
      </c>
      <c r="C444" s="9">
        <v>745</v>
      </c>
      <c r="D444" s="9">
        <v>660010745</v>
      </c>
      <c r="E444" s="41" t="s">
        <v>820</v>
      </c>
      <c r="F444" s="41"/>
      <c r="G444" s="41"/>
      <c r="H444" s="9" t="s">
        <v>461</v>
      </c>
      <c r="I444" s="39" t="s">
        <v>773</v>
      </c>
      <c r="J444" s="9">
        <v>6.4</v>
      </c>
      <c r="K444" s="14">
        <v>4</v>
      </c>
      <c r="L444" s="14">
        <v>2</v>
      </c>
      <c r="M444" s="14" t="str">
        <f t="shared" si="20"/>
        <v>0402</v>
      </c>
      <c r="N444" s="19" t="s">
        <v>820</v>
      </c>
      <c r="O444" s="19"/>
      <c r="P444" s="14" t="str">
        <f t="shared" si="21"/>
        <v>7200000</v>
      </c>
    </row>
    <row r="445" spans="1:16" ht="19.149999999999999" customHeight="1">
      <c r="A445" s="8">
        <v>66</v>
      </c>
      <c r="B445" s="9">
        <v>1</v>
      </c>
      <c r="C445" s="9">
        <v>730</v>
      </c>
      <c r="D445" s="9">
        <v>660010730</v>
      </c>
      <c r="E445" s="41" t="s">
        <v>820</v>
      </c>
      <c r="F445" s="41"/>
      <c r="G445" s="41"/>
      <c r="H445" s="9" t="s">
        <v>462</v>
      </c>
      <c r="I445" s="39" t="s">
        <v>773</v>
      </c>
      <c r="J445" s="9">
        <v>14.6</v>
      </c>
      <c r="K445" s="14">
        <v>4</v>
      </c>
      <c r="L445" s="14">
        <v>2</v>
      </c>
      <c r="M445" s="14" t="str">
        <f t="shared" si="20"/>
        <v>0402</v>
      </c>
      <c r="N445" s="19" t="s">
        <v>820</v>
      </c>
      <c r="O445" s="19"/>
      <c r="P445" s="14" t="str">
        <f t="shared" si="21"/>
        <v>7200000</v>
      </c>
    </row>
    <row r="446" spans="1:16" ht="19.149999999999999" customHeight="1">
      <c r="A446" s="8">
        <v>66</v>
      </c>
      <c r="B446" s="9">
        <v>1</v>
      </c>
      <c r="C446" s="9">
        <v>729</v>
      </c>
      <c r="D446" s="9">
        <v>660010729</v>
      </c>
      <c r="E446" s="41" t="s">
        <v>820</v>
      </c>
      <c r="F446" s="41"/>
      <c r="G446" s="41"/>
      <c r="H446" s="9" t="s">
        <v>463</v>
      </c>
      <c r="I446" s="39" t="s">
        <v>773</v>
      </c>
      <c r="J446" s="9">
        <v>17.100000000000001</v>
      </c>
      <c r="K446" s="14">
        <v>4</v>
      </c>
      <c r="L446" s="14">
        <v>2</v>
      </c>
      <c r="M446" s="14" t="str">
        <f t="shared" si="20"/>
        <v>0402</v>
      </c>
      <c r="N446" s="19" t="s">
        <v>820</v>
      </c>
      <c r="O446" s="19"/>
      <c r="P446" s="14" t="str">
        <f t="shared" si="21"/>
        <v>7200000</v>
      </c>
    </row>
    <row r="447" spans="1:16" ht="19.149999999999999" customHeight="1">
      <c r="A447" s="8">
        <v>66</v>
      </c>
      <c r="B447" s="9">
        <v>1</v>
      </c>
      <c r="C447" s="9">
        <v>1</v>
      </c>
      <c r="D447" s="9">
        <v>660010001</v>
      </c>
      <c r="E447" s="41" t="s">
        <v>820</v>
      </c>
      <c r="F447" s="41"/>
      <c r="G447" s="41"/>
      <c r="H447" s="9" t="s">
        <v>670</v>
      </c>
      <c r="I447" s="39" t="s">
        <v>773</v>
      </c>
      <c r="J447" s="9">
        <v>1.1000000000000001</v>
      </c>
      <c r="K447" s="14">
        <v>7</v>
      </c>
      <c r="L447" s="14">
        <v>3</v>
      </c>
      <c r="M447" s="14" t="str">
        <f t="shared" si="20"/>
        <v>0703</v>
      </c>
      <c r="N447" s="19" t="s">
        <v>820</v>
      </c>
      <c r="O447" s="19"/>
      <c r="P447" s="14" t="str">
        <f t="shared" si="21"/>
        <v>7200000</v>
      </c>
    </row>
    <row r="448" spans="1:16" ht="19.149999999999999" customHeight="1">
      <c r="A448" s="8">
        <v>66</v>
      </c>
      <c r="B448" s="9">
        <v>1</v>
      </c>
      <c r="C448" s="9">
        <v>756</v>
      </c>
      <c r="D448" s="9">
        <v>660010756</v>
      </c>
      <c r="E448" s="41" t="s">
        <v>820</v>
      </c>
      <c r="F448" s="41"/>
      <c r="G448" s="41"/>
      <c r="H448" s="9" t="s">
        <v>671</v>
      </c>
      <c r="I448" s="39" t="s">
        <v>773</v>
      </c>
      <c r="J448" s="9">
        <v>1.97</v>
      </c>
      <c r="K448" s="14">
        <v>7</v>
      </c>
      <c r="L448" s="14">
        <v>3</v>
      </c>
      <c r="M448" s="14" t="str">
        <f t="shared" si="20"/>
        <v>0703</v>
      </c>
      <c r="N448" s="19" t="s">
        <v>820</v>
      </c>
      <c r="O448" s="19"/>
      <c r="P448" s="14" t="str">
        <f t="shared" si="21"/>
        <v>7200000</v>
      </c>
    </row>
    <row r="449" spans="1:16" ht="19.149999999999999" customHeight="1">
      <c r="A449" s="8">
        <v>66</v>
      </c>
      <c r="B449" s="9">
        <v>1</v>
      </c>
      <c r="C449" s="9">
        <v>748</v>
      </c>
      <c r="D449" s="9">
        <v>660010748</v>
      </c>
      <c r="E449" s="41" t="s">
        <v>820</v>
      </c>
      <c r="F449" s="41"/>
      <c r="G449" s="41"/>
      <c r="H449" s="9" t="s">
        <v>672</v>
      </c>
      <c r="I449" s="39" t="s">
        <v>773</v>
      </c>
      <c r="J449" s="9">
        <v>0.84</v>
      </c>
      <c r="K449" s="14">
        <v>7</v>
      </c>
      <c r="L449" s="14">
        <v>3</v>
      </c>
      <c r="M449" s="14" t="str">
        <f t="shared" si="20"/>
        <v>0703</v>
      </c>
      <c r="N449" s="19" t="s">
        <v>820</v>
      </c>
      <c r="O449" s="19"/>
      <c r="P449" s="14" t="str">
        <f t="shared" si="21"/>
        <v>7200000</v>
      </c>
    </row>
    <row r="450" spans="1:16" ht="19.149999999999999" customHeight="1">
      <c r="A450" s="8">
        <v>66</v>
      </c>
      <c r="B450" s="9">
        <v>1</v>
      </c>
      <c r="C450" s="9">
        <v>747</v>
      </c>
      <c r="D450" s="9">
        <v>660010747</v>
      </c>
      <c r="E450" s="41" t="s">
        <v>820</v>
      </c>
      <c r="F450" s="41"/>
      <c r="G450" s="41"/>
      <c r="H450" s="9" t="s">
        <v>673</v>
      </c>
      <c r="I450" s="39" t="s">
        <v>773</v>
      </c>
      <c r="J450" s="9">
        <v>23</v>
      </c>
      <c r="K450" s="14">
        <v>7</v>
      </c>
      <c r="L450" s="14">
        <v>3</v>
      </c>
      <c r="M450" s="14" t="str">
        <f t="shared" si="20"/>
        <v>0703</v>
      </c>
      <c r="N450" s="19" t="s">
        <v>820</v>
      </c>
      <c r="O450" s="19"/>
      <c r="P450" s="14" t="str">
        <f t="shared" si="21"/>
        <v>7200000</v>
      </c>
    </row>
    <row r="451" spans="1:16" ht="19.149999999999999" customHeight="1">
      <c r="A451" s="8">
        <v>66</v>
      </c>
      <c r="B451" s="9">
        <v>1</v>
      </c>
      <c r="C451" s="9">
        <v>746</v>
      </c>
      <c r="D451" s="9">
        <v>660010746</v>
      </c>
      <c r="E451" s="41">
        <v>72</v>
      </c>
      <c r="F451" s="41"/>
      <c r="G451" s="41"/>
      <c r="H451" s="9" t="s">
        <v>692</v>
      </c>
      <c r="I451" s="39" t="s">
        <v>773</v>
      </c>
      <c r="J451" s="9">
        <v>0.1</v>
      </c>
      <c r="K451" s="14"/>
      <c r="L451" s="14"/>
      <c r="M451" s="14" t="str">
        <f t="shared" si="20"/>
        <v>0000</v>
      </c>
      <c r="N451" s="19">
        <v>72</v>
      </c>
      <c r="O451" s="19"/>
      <c r="P451" s="14" t="str">
        <f t="shared" si="21"/>
        <v>7200000</v>
      </c>
    </row>
    <row r="452" spans="1:16" ht="19.149999999999999" customHeight="1">
      <c r="A452" s="8">
        <v>72</v>
      </c>
      <c r="B452" s="9">
        <v>1</v>
      </c>
      <c r="C452" s="9">
        <v>7</v>
      </c>
      <c r="D452" s="9">
        <v>720010007</v>
      </c>
      <c r="E452" s="41">
        <v>72</v>
      </c>
      <c r="F452" s="41"/>
      <c r="G452" s="41"/>
      <c r="H452" s="9" t="s">
        <v>693</v>
      </c>
      <c r="I452" s="39" t="s">
        <v>773</v>
      </c>
      <c r="J452" s="9">
        <v>0.11</v>
      </c>
      <c r="K452" s="14"/>
      <c r="L452" s="14"/>
      <c r="M452" s="14" t="str">
        <f t="shared" si="20"/>
        <v>0000</v>
      </c>
      <c r="N452" s="19">
        <v>72</v>
      </c>
      <c r="O452" s="19"/>
      <c r="P452" s="14" t="str">
        <f t="shared" si="21"/>
        <v>7200000</v>
      </c>
    </row>
    <row r="453" spans="1:16" ht="19.149999999999999" customHeight="1">
      <c r="A453" s="8">
        <v>66</v>
      </c>
      <c r="B453" s="9">
        <v>1</v>
      </c>
      <c r="C453" s="9">
        <v>755</v>
      </c>
      <c r="D453" s="9">
        <v>660010755</v>
      </c>
      <c r="E453" s="41" t="s">
        <v>820</v>
      </c>
      <c r="F453" s="41"/>
      <c r="G453" s="41"/>
      <c r="H453" s="9" t="s">
        <v>467</v>
      </c>
      <c r="I453" s="39" t="s">
        <v>773</v>
      </c>
      <c r="J453" s="9">
        <v>3.5</v>
      </c>
      <c r="K453" s="14">
        <v>4</v>
      </c>
      <c r="L453" s="14">
        <v>2</v>
      </c>
      <c r="M453" s="14" t="str">
        <f t="shared" si="20"/>
        <v>0402</v>
      </c>
      <c r="N453" s="19" t="s">
        <v>820</v>
      </c>
      <c r="O453" s="19"/>
      <c r="P453" s="14" t="str">
        <f t="shared" si="21"/>
        <v>7200000</v>
      </c>
    </row>
    <row r="454" spans="1:16" ht="19.149999999999999" customHeight="1">
      <c r="A454" s="8">
        <v>66</v>
      </c>
      <c r="B454" s="9">
        <v>1</v>
      </c>
      <c r="C454" s="9">
        <v>754</v>
      </c>
      <c r="D454" s="9">
        <v>660010754</v>
      </c>
      <c r="E454" s="41" t="s">
        <v>820</v>
      </c>
      <c r="F454" s="41"/>
      <c r="G454" s="41"/>
      <c r="H454" s="9" t="s">
        <v>468</v>
      </c>
      <c r="I454" s="39" t="s">
        <v>773</v>
      </c>
      <c r="J454" s="9">
        <v>5</v>
      </c>
      <c r="K454" s="14">
        <v>4</v>
      </c>
      <c r="L454" s="14">
        <v>2</v>
      </c>
      <c r="M454" s="14" t="str">
        <f t="shared" si="20"/>
        <v>0402</v>
      </c>
      <c r="N454" s="19" t="s">
        <v>820</v>
      </c>
      <c r="O454" s="19"/>
      <c r="P454" s="14" t="str">
        <f t="shared" si="21"/>
        <v>7200000</v>
      </c>
    </row>
    <row r="455" spans="1:16" ht="19.149999999999999" customHeight="1">
      <c r="A455" s="8">
        <v>66</v>
      </c>
      <c r="B455" s="9">
        <v>1</v>
      </c>
      <c r="C455" s="9">
        <v>733</v>
      </c>
      <c r="D455" s="9">
        <v>660010733</v>
      </c>
      <c r="E455" s="41" t="s">
        <v>820</v>
      </c>
      <c r="F455" s="41"/>
      <c r="G455" s="41"/>
      <c r="H455" s="9" t="s">
        <v>469</v>
      </c>
      <c r="I455" s="39" t="s">
        <v>773</v>
      </c>
      <c r="J455" s="9">
        <v>9.6999999999999993</v>
      </c>
      <c r="K455" s="14">
        <v>4</v>
      </c>
      <c r="L455" s="14">
        <v>2</v>
      </c>
      <c r="M455" s="14" t="str">
        <f t="shared" si="20"/>
        <v>0402</v>
      </c>
      <c r="N455" s="19" t="s">
        <v>820</v>
      </c>
      <c r="O455" s="19"/>
      <c r="P455" s="14" t="str">
        <f t="shared" si="21"/>
        <v>7200000</v>
      </c>
    </row>
    <row r="456" spans="1:16" ht="19.149999999999999" customHeight="1">
      <c r="A456" s="8">
        <v>66</v>
      </c>
      <c r="B456" s="9">
        <v>1</v>
      </c>
      <c r="C456" s="9">
        <v>732</v>
      </c>
      <c r="D456" s="9">
        <v>660010732</v>
      </c>
      <c r="E456" s="41" t="s">
        <v>820</v>
      </c>
      <c r="F456" s="41"/>
      <c r="G456" s="41"/>
      <c r="H456" s="9" t="s">
        <v>470</v>
      </c>
      <c r="I456" s="39" t="s">
        <v>773</v>
      </c>
      <c r="J456" s="9">
        <v>9.6999999999999993</v>
      </c>
      <c r="K456" s="14">
        <v>4</v>
      </c>
      <c r="L456" s="14">
        <v>2</v>
      </c>
      <c r="M456" s="14" t="str">
        <f t="shared" si="20"/>
        <v>0402</v>
      </c>
      <c r="N456" s="19" t="s">
        <v>820</v>
      </c>
      <c r="O456" s="19"/>
      <c r="P456" s="14" t="str">
        <f t="shared" si="21"/>
        <v>7200000</v>
      </c>
    </row>
    <row r="457" spans="1:16" ht="19.149999999999999" customHeight="1">
      <c r="A457" s="8">
        <v>66</v>
      </c>
      <c r="B457" s="9">
        <v>1</v>
      </c>
      <c r="C457" s="9">
        <v>734</v>
      </c>
      <c r="D457" s="9">
        <v>660010734</v>
      </c>
      <c r="E457" s="41" t="s">
        <v>820</v>
      </c>
      <c r="F457" s="41"/>
      <c r="G457" s="41"/>
      <c r="H457" s="9" t="s">
        <v>471</v>
      </c>
      <c r="I457" s="39" t="s">
        <v>773</v>
      </c>
      <c r="J457" s="9">
        <v>9.6999999999999993</v>
      </c>
      <c r="K457" s="14">
        <v>4</v>
      </c>
      <c r="L457" s="14">
        <v>2</v>
      </c>
      <c r="M457" s="14" t="str">
        <f t="shared" si="20"/>
        <v>0402</v>
      </c>
      <c r="N457" s="19" t="s">
        <v>820</v>
      </c>
      <c r="O457" s="19"/>
      <c r="P457" s="14" t="str">
        <f t="shared" si="21"/>
        <v>7200000</v>
      </c>
    </row>
    <row r="458" spans="1:16" ht="19.149999999999999" customHeight="1">
      <c r="A458" s="8">
        <v>66</v>
      </c>
      <c r="B458" s="9">
        <v>1</v>
      </c>
      <c r="C458" s="9">
        <v>731</v>
      </c>
      <c r="D458" s="9">
        <v>660010731</v>
      </c>
      <c r="E458" s="41" t="s">
        <v>820</v>
      </c>
      <c r="F458" s="41"/>
      <c r="G458" s="41"/>
      <c r="H458" s="9" t="s">
        <v>472</v>
      </c>
      <c r="I458" s="39" t="s">
        <v>773</v>
      </c>
      <c r="J458" s="9">
        <v>8.67</v>
      </c>
      <c r="K458" s="14">
        <v>4</v>
      </c>
      <c r="L458" s="14">
        <v>2</v>
      </c>
      <c r="M458" s="14" t="str">
        <f t="shared" si="20"/>
        <v>0402</v>
      </c>
      <c r="N458" s="19" t="s">
        <v>820</v>
      </c>
      <c r="O458" s="19"/>
      <c r="P458" s="14" t="str">
        <f t="shared" si="21"/>
        <v>7200000</v>
      </c>
    </row>
    <row r="459" spans="1:16" ht="19.149999999999999" customHeight="1">
      <c r="A459" s="8">
        <v>72</v>
      </c>
      <c r="B459" s="9">
        <v>1</v>
      </c>
      <c r="C459" s="9">
        <v>2</v>
      </c>
      <c r="D459" s="9">
        <v>720010002</v>
      </c>
      <c r="E459" s="41" t="s">
        <v>820</v>
      </c>
      <c r="F459" s="41"/>
      <c r="G459" s="41"/>
      <c r="H459" s="9" t="s">
        <v>595</v>
      </c>
      <c r="I459" s="39" t="s">
        <v>773</v>
      </c>
      <c r="J459" s="9">
        <v>14.7</v>
      </c>
      <c r="K459" s="14">
        <v>5</v>
      </c>
      <c r="L459" s="14">
        <v>1</v>
      </c>
      <c r="M459" s="14" t="str">
        <f t="shared" si="20"/>
        <v>0501</v>
      </c>
      <c r="N459" s="19" t="s">
        <v>820</v>
      </c>
      <c r="O459" s="19"/>
      <c r="P459" s="14" t="str">
        <f t="shared" si="21"/>
        <v>7200000</v>
      </c>
    </row>
    <row r="460" spans="1:16" ht="19.149999999999999" customHeight="1">
      <c r="A460" s="8">
        <v>72</v>
      </c>
      <c r="B460" s="9">
        <v>1</v>
      </c>
      <c r="C460" s="9">
        <v>1</v>
      </c>
      <c r="D460" s="9">
        <v>720010001</v>
      </c>
      <c r="E460" s="41" t="s">
        <v>820</v>
      </c>
      <c r="F460" s="41"/>
      <c r="G460" s="41"/>
      <c r="H460" s="9" t="s">
        <v>596</v>
      </c>
      <c r="I460" s="39" t="s">
        <v>773</v>
      </c>
      <c r="J460" s="9">
        <v>6.4</v>
      </c>
      <c r="K460" s="14">
        <v>5</v>
      </c>
      <c r="L460" s="14">
        <v>1</v>
      </c>
      <c r="M460" s="14" t="str">
        <f t="shared" si="20"/>
        <v>0501</v>
      </c>
      <c r="N460" s="19" t="s">
        <v>820</v>
      </c>
      <c r="O460" s="19"/>
      <c r="P460" s="14" t="str">
        <f t="shared" si="21"/>
        <v>7200000</v>
      </c>
    </row>
    <row r="461" spans="1:16" ht="19.149999999999999" customHeight="1">
      <c r="A461" s="8">
        <v>72</v>
      </c>
      <c r="B461" s="9">
        <v>1</v>
      </c>
      <c r="C461" s="9">
        <v>9</v>
      </c>
      <c r="D461" s="9">
        <v>720010009</v>
      </c>
      <c r="E461" s="41" t="s">
        <v>820</v>
      </c>
      <c r="F461" s="41"/>
      <c r="G461" s="41"/>
      <c r="H461" s="9" t="s">
        <v>488</v>
      </c>
      <c r="I461" s="39" t="s">
        <v>773</v>
      </c>
      <c r="J461" s="9">
        <v>17.5</v>
      </c>
      <c r="K461" s="14">
        <v>4</v>
      </c>
      <c r="L461" s="14">
        <v>2</v>
      </c>
      <c r="M461" s="14" t="str">
        <f t="shared" si="20"/>
        <v>0402</v>
      </c>
      <c r="N461" s="19" t="s">
        <v>820</v>
      </c>
      <c r="O461" s="19"/>
      <c r="P461" s="14" t="str">
        <f t="shared" si="21"/>
        <v>7200000</v>
      </c>
    </row>
    <row r="462" spans="1:16" ht="19.149999999999999" customHeight="1">
      <c r="A462" s="8">
        <v>12</v>
      </c>
      <c r="B462" s="9">
        <v>1</v>
      </c>
      <c r="C462" s="9">
        <v>302</v>
      </c>
      <c r="D462" s="9">
        <v>120010302</v>
      </c>
      <c r="E462" s="41" t="s">
        <v>820</v>
      </c>
      <c r="F462" s="41"/>
      <c r="G462" s="41"/>
      <c r="H462" s="9" t="s">
        <v>489</v>
      </c>
      <c r="I462" s="39" t="s">
        <v>773</v>
      </c>
      <c r="J462" s="9">
        <v>32.39</v>
      </c>
      <c r="K462" s="14">
        <v>4</v>
      </c>
      <c r="L462" s="14">
        <v>2</v>
      </c>
      <c r="M462" s="14" t="str">
        <f t="shared" si="20"/>
        <v>0402</v>
      </c>
      <c r="N462" s="19" t="s">
        <v>820</v>
      </c>
      <c r="O462" s="19"/>
      <c r="P462" s="14" t="str">
        <f t="shared" si="21"/>
        <v>7200000</v>
      </c>
    </row>
    <row r="463" spans="1:16" ht="19.149999999999999" customHeight="1">
      <c r="A463" s="8">
        <v>12</v>
      </c>
      <c r="B463" s="9">
        <v>1</v>
      </c>
      <c r="C463" s="9">
        <v>301</v>
      </c>
      <c r="D463" s="9">
        <v>120010301</v>
      </c>
      <c r="E463" s="41" t="s">
        <v>820</v>
      </c>
      <c r="F463" s="41"/>
      <c r="G463" s="41"/>
      <c r="H463" s="9" t="s">
        <v>597</v>
      </c>
      <c r="I463" s="39" t="s">
        <v>773</v>
      </c>
      <c r="J463" s="9">
        <v>4.16</v>
      </c>
      <c r="K463" s="14">
        <v>5</v>
      </c>
      <c r="L463" s="14">
        <v>1</v>
      </c>
      <c r="M463" s="14" t="str">
        <f t="shared" si="20"/>
        <v>0501</v>
      </c>
      <c r="N463" s="19" t="s">
        <v>820</v>
      </c>
      <c r="O463" s="19"/>
      <c r="P463" s="14" t="str">
        <f t="shared" si="21"/>
        <v>7200000</v>
      </c>
    </row>
    <row r="464" spans="1:16" ht="19.149999999999999" customHeight="1">
      <c r="A464" s="8">
        <v>12</v>
      </c>
      <c r="B464" s="9">
        <v>1</v>
      </c>
      <c r="C464" s="9">
        <v>300</v>
      </c>
      <c r="D464" s="9">
        <v>120010300</v>
      </c>
      <c r="E464" s="41" t="s">
        <v>820</v>
      </c>
      <c r="F464" s="41"/>
      <c r="G464" s="41"/>
      <c r="H464" s="9" t="s">
        <v>490</v>
      </c>
      <c r="I464" s="39" t="s">
        <v>773</v>
      </c>
      <c r="J464" s="9">
        <v>52.14</v>
      </c>
      <c r="K464" s="14">
        <v>4</v>
      </c>
      <c r="L464" s="14">
        <v>2</v>
      </c>
      <c r="M464" s="14" t="str">
        <f t="shared" si="20"/>
        <v>0402</v>
      </c>
      <c r="N464" s="19" t="s">
        <v>820</v>
      </c>
      <c r="O464" s="19"/>
      <c r="P464" s="14" t="str">
        <f t="shared" si="21"/>
        <v>7200000</v>
      </c>
    </row>
    <row r="465" spans="1:16" ht="19.149999999999999" customHeight="1">
      <c r="A465" s="8">
        <v>12</v>
      </c>
      <c r="B465" s="9">
        <v>1</v>
      </c>
      <c r="C465" s="9">
        <v>289</v>
      </c>
      <c r="D465" s="9">
        <v>120010289</v>
      </c>
      <c r="E465" s="41" t="s">
        <v>820</v>
      </c>
      <c r="F465" s="41"/>
      <c r="G465" s="41"/>
      <c r="H465" s="9" t="s">
        <v>598</v>
      </c>
      <c r="I465" s="39" t="s">
        <v>773</v>
      </c>
      <c r="J465" s="9">
        <v>23</v>
      </c>
      <c r="K465" s="14">
        <v>5</v>
      </c>
      <c r="L465" s="14">
        <v>1</v>
      </c>
      <c r="M465" s="14" t="str">
        <f t="shared" si="20"/>
        <v>0501</v>
      </c>
      <c r="N465" s="19" t="s">
        <v>820</v>
      </c>
      <c r="O465" s="19"/>
      <c r="P465" s="14" t="str">
        <f t="shared" si="21"/>
        <v>7200000</v>
      </c>
    </row>
    <row r="466" spans="1:16" ht="19.149999999999999" customHeight="1">
      <c r="A466" s="8">
        <v>12</v>
      </c>
      <c r="B466" s="9">
        <v>1</v>
      </c>
      <c r="C466" s="9">
        <v>296</v>
      </c>
      <c r="D466" s="9">
        <v>120010296</v>
      </c>
      <c r="E466" s="41" t="s">
        <v>820</v>
      </c>
      <c r="F466" s="41"/>
      <c r="G466" s="41"/>
      <c r="H466" s="9" t="s">
        <v>491</v>
      </c>
      <c r="I466" s="39" t="s">
        <v>773</v>
      </c>
      <c r="J466" s="9">
        <v>260</v>
      </c>
      <c r="K466" s="14">
        <v>4</v>
      </c>
      <c r="L466" s="14">
        <v>2</v>
      </c>
      <c r="M466" s="14" t="str">
        <f t="shared" si="20"/>
        <v>0402</v>
      </c>
      <c r="N466" s="19" t="s">
        <v>820</v>
      </c>
      <c r="O466" s="19"/>
      <c r="P466" s="14" t="str">
        <f t="shared" si="21"/>
        <v>7200000</v>
      </c>
    </row>
    <row r="467" spans="1:16" ht="19.149999999999999" customHeight="1">
      <c r="A467" s="8">
        <v>12</v>
      </c>
      <c r="B467" s="9">
        <v>1</v>
      </c>
      <c r="C467" s="9">
        <v>295</v>
      </c>
      <c r="D467" s="9">
        <v>120010295</v>
      </c>
      <c r="E467" s="41" t="s">
        <v>820</v>
      </c>
      <c r="F467" s="41"/>
      <c r="G467" s="41"/>
      <c r="H467" s="9" t="s">
        <v>599</v>
      </c>
      <c r="I467" s="39" t="s">
        <v>773</v>
      </c>
      <c r="J467" s="9">
        <v>6.8</v>
      </c>
      <c r="K467" s="14">
        <v>5</v>
      </c>
      <c r="L467" s="14">
        <v>1</v>
      </c>
      <c r="M467" s="14" t="str">
        <f t="shared" si="20"/>
        <v>0501</v>
      </c>
      <c r="N467" s="19" t="s">
        <v>820</v>
      </c>
      <c r="O467" s="19"/>
      <c r="P467" s="14" t="str">
        <f t="shared" si="21"/>
        <v>7200000</v>
      </c>
    </row>
    <row r="468" spans="1:16" ht="19.149999999999999" customHeight="1">
      <c r="A468" s="8">
        <v>12</v>
      </c>
      <c r="B468" s="9">
        <v>1</v>
      </c>
      <c r="C468" s="9">
        <v>294</v>
      </c>
      <c r="D468" s="9">
        <v>120010294</v>
      </c>
      <c r="E468" s="41" t="s">
        <v>820</v>
      </c>
      <c r="F468" s="41"/>
      <c r="G468" s="41"/>
      <c r="H468" s="9" t="s">
        <v>583</v>
      </c>
      <c r="I468" s="39" t="s">
        <v>773</v>
      </c>
      <c r="J468" s="9">
        <v>1.1000000000000001</v>
      </c>
      <c r="K468" s="14">
        <v>5</v>
      </c>
      <c r="L468" s="14">
        <v>1</v>
      </c>
      <c r="M468" s="14" t="str">
        <f t="shared" si="20"/>
        <v>0501</v>
      </c>
      <c r="N468" s="19" t="s">
        <v>820</v>
      </c>
      <c r="O468" s="19"/>
      <c r="P468" s="14" t="str">
        <f t="shared" si="21"/>
        <v>7200000</v>
      </c>
    </row>
    <row r="469" spans="1:16" ht="19.149999999999999" customHeight="1">
      <c r="A469" s="8">
        <v>12</v>
      </c>
      <c r="B469" s="9">
        <v>1</v>
      </c>
      <c r="C469" s="9">
        <v>290</v>
      </c>
      <c r="D469" s="9">
        <v>120010290</v>
      </c>
      <c r="E469" s="41" t="s">
        <v>820</v>
      </c>
      <c r="F469" s="41"/>
      <c r="G469" s="41"/>
      <c r="H469" s="9" t="s">
        <v>584</v>
      </c>
      <c r="I469" s="39" t="s">
        <v>773</v>
      </c>
      <c r="J469" s="9">
        <v>0.7</v>
      </c>
      <c r="K469" s="14">
        <v>5</v>
      </c>
      <c r="L469" s="14">
        <v>1</v>
      </c>
      <c r="M469" s="14" t="str">
        <f t="shared" si="20"/>
        <v>0501</v>
      </c>
      <c r="N469" s="19" t="s">
        <v>820</v>
      </c>
      <c r="O469" s="19"/>
      <c r="P469" s="14" t="str">
        <f t="shared" si="21"/>
        <v>7200000</v>
      </c>
    </row>
    <row r="470" spans="1:16" ht="19.149999999999999" customHeight="1">
      <c r="A470" s="8">
        <v>12</v>
      </c>
      <c r="B470" s="9">
        <v>1</v>
      </c>
      <c r="C470" s="9">
        <v>293</v>
      </c>
      <c r="D470" s="9">
        <v>120010293</v>
      </c>
      <c r="E470" s="41" t="s">
        <v>820</v>
      </c>
      <c r="F470" s="41"/>
      <c r="G470" s="41"/>
      <c r="H470" s="9" t="s">
        <v>473</v>
      </c>
      <c r="I470" s="39" t="s">
        <v>773</v>
      </c>
      <c r="J470" s="9">
        <v>1.32</v>
      </c>
      <c r="K470" s="14">
        <v>4</v>
      </c>
      <c r="L470" s="14">
        <v>2</v>
      </c>
      <c r="M470" s="14" t="str">
        <f t="shared" si="20"/>
        <v>0402</v>
      </c>
      <c r="N470" s="19" t="s">
        <v>820</v>
      </c>
      <c r="O470" s="19"/>
      <c r="P470" s="14" t="str">
        <f t="shared" si="21"/>
        <v>7200000</v>
      </c>
    </row>
    <row r="471" spans="1:16" ht="19.149999999999999" customHeight="1">
      <c r="A471" s="8">
        <v>12</v>
      </c>
      <c r="B471" s="9">
        <v>1</v>
      </c>
      <c r="C471" s="9">
        <v>292</v>
      </c>
      <c r="D471" s="9">
        <v>120010292</v>
      </c>
      <c r="E471" s="41" t="s">
        <v>820</v>
      </c>
      <c r="F471" s="41"/>
      <c r="G471" s="41"/>
      <c r="H471" s="9" t="s">
        <v>474</v>
      </c>
      <c r="I471" s="39" t="s">
        <v>773</v>
      </c>
      <c r="J471" s="9">
        <v>2.5</v>
      </c>
      <c r="K471" s="14">
        <v>4</v>
      </c>
      <c r="L471" s="14">
        <v>2</v>
      </c>
      <c r="M471" s="14" t="str">
        <f t="shared" si="20"/>
        <v>0402</v>
      </c>
      <c r="N471" s="19" t="s">
        <v>820</v>
      </c>
      <c r="O471" s="19"/>
      <c r="P471" s="14" t="str">
        <f t="shared" si="21"/>
        <v>7200000</v>
      </c>
    </row>
    <row r="472" spans="1:16" ht="19.149999999999999" customHeight="1">
      <c r="A472" s="8">
        <v>12</v>
      </c>
      <c r="B472" s="9">
        <v>1</v>
      </c>
      <c r="C472" s="9">
        <v>291</v>
      </c>
      <c r="D472" s="9">
        <v>120010291</v>
      </c>
      <c r="E472" s="41" t="s">
        <v>820</v>
      </c>
      <c r="F472" s="41"/>
      <c r="G472" s="41"/>
      <c r="H472" s="9" t="s">
        <v>585</v>
      </c>
      <c r="I472" s="39" t="s">
        <v>773</v>
      </c>
      <c r="J472" s="9">
        <v>0.4</v>
      </c>
      <c r="K472" s="14">
        <v>5</v>
      </c>
      <c r="L472" s="14">
        <v>1</v>
      </c>
      <c r="M472" s="14" t="str">
        <f t="shared" si="20"/>
        <v>0501</v>
      </c>
      <c r="N472" s="19" t="s">
        <v>820</v>
      </c>
      <c r="O472" s="19"/>
      <c r="P472" s="14" t="str">
        <f t="shared" si="21"/>
        <v>7200000</v>
      </c>
    </row>
    <row r="473" spans="1:16" ht="19.149999999999999" customHeight="1">
      <c r="A473" s="8">
        <v>12</v>
      </c>
      <c r="B473" s="9">
        <v>1</v>
      </c>
      <c r="C473" s="9">
        <v>287</v>
      </c>
      <c r="D473" s="9">
        <v>120010287</v>
      </c>
      <c r="E473" s="41" t="s">
        <v>820</v>
      </c>
      <c r="F473" s="41"/>
      <c r="G473" s="41"/>
      <c r="H473" s="9" t="s">
        <v>475</v>
      </c>
      <c r="I473" s="39" t="s">
        <v>773</v>
      </c>
      <c r="J473" s="9">
        <v>4.8600000000000003</v>
      </c>
      <c r="K473" s="14">
        <v>4</v>
      </c>
      <c r="L473" s="14">
        <v>2</v>
      </c>
      <c r="M473" s="14" t="str">
        <f t="shared" si="20"/>
        <v>0402</v>
      </c>
      <c r="N473" s="19" t="s">
        <v>820</v>
      </c>
      <c r="O473" s="19"/>
      <c r="P473" s="14" t="str">
        <f t="shared" si="21"/>
        <v>7200000</v>
      </c>
    </row>
    <row r="474" spans="1:16" ht="19.149999999999999" customHeight="1">
      <c r="A474" s="8">
        <v>43</v>
      </c>
      <c r="B474" s="9">
        <v>1</v>
      </c>
      <c r="C474" s="9">
        <v>560</v>
      </c>
      <c r="D474" s="9">
        <v>430010560</v>
      </c>
      <c r="E474" s="41" t="s">
        <v>820</v>
      </c>
      <c r="F474" s="41"/>
      <c r="G474" s="41"/>
      <c r="H474" s="9" t="s">
        <v>476</v>
      </c>
      <c r="I474" s="39" t="s">
        <v>773</v>
      </c>
      <c r="J474" s="9">
        <v>46</v>
      </c>
      <c r="K474" s="14">
        <v>4</v>
      </c>
      <c r="L474" s="14">
        <v>2</v>
      </c>
      <c r="M474" s="14" t="str">
        <f t="shared" si="20"/>
        <v>0402</v>
      </c>
      <c r="N474" s="19" t="s">
        <v>820</v>
      </c>
      <c r="O474" s="19"/>
      <c r="P474" s="14" t="str">
        <f t="shared" si="21"/>
        <v>7200000</v>
      </c>
    </row>
    <row r="475" spans="1:16" ht="19.149999999999999" customHeight="1">
      <c r="A475" s="8">
        <v>12</v>
      </c>
      <c r="B475" s="9">
        <v>1</v>
      </c>
      <c r="C475" s="9">
        <v>299</v>
      </c>
      <c r="D475" s="9">
        <v>120010299</v>
      </c>
      <c r="E475" s="41" t="s">
        <v>820</v>
      </c>
      <c r="F475" s="41"/>
      <c r="G475" s="41"/>
      <c r="H475" s="9" t="s">
        <v>764</v>
      </c>
      <c r="I475" s="39" t="s">
        <v>773</v>
      </c>
      <c r="J475" s="9">
        <v>5.6</v>
      </c>
      <c r="K475" s="14"/>
      <c r="L475" s="14"/>
      <c r="M475" s="14" t="str">
        <f t="shared" si="20"/>
        <v>0000</v>
      </c>
      <c r="N475" s="19" t="s">
        <v>820</v>
      </c>
      <c r="O475" s="19"/>
      <c r="P475" s="14" t="str">
        <f t="shared" si="21"/>
        <v>7200000</v>
      </c>
    </row>
    <row r="476" spans="1:16" ht="19.149999999999999" customHeight="1">
      <c r="A476" s="8">
        <v>12</v>
      </c>
      <c r="B476" s="9">
        <v>1</v>
      </c>
      <c r="C476" s="9">
        <v>298</v>
      </c>
      <c r="D476" s="9">
        <v>120010298</v>
      </c>
      <c r="E476" s="41" t="s">
        <v>820</v>
      </c>
      <c r="F476" s="41"/>
      <c r="G476" s="41"/>
      <c r="H476" s="9" t="s">
        <v>586</v>
      </c>
      <c r="I476" s="39" t="s">
        <v>773</v>
      </c>
      <c r="J476" s="9">
        <v>2.4</v>
      </c>
      <c r="K476" s="14">
        <v>5</v>
      </c>
      <c r="L476" s="14">
        <v>1</v>
      </c>
      <c r="M476" s="14" t="str">
        <f t="shared" si="20"/>
        <v>0501</v>
      </c>
      <c r="N476" s="19" t="s">
        <v>820</v>
      </c>
      <c r="O476" s="19"/>
      <c r="P476" s="14" t="str">
        <f t="shared" si="21"/>
        <v>7200000</v>
      </c>
    </row>
    <row r="477" spans="1:16" ht="19.149999999999999" customHeight="1">
      <c r="A477" s="8">
        <v>12</v>
      </c>
      <c r="B477" s="9">
        <v>1</v>
      </c>
      <c r="C477" s="9">
        <v>297</v>
      </c>
      <c r="D477" s="9">
        <v>120010297</v>
      </c>
      <c r="E477" s="41" t="s">
        <v>820</v>
      </c>
      <c r="F477" s="41"/>
      <c r="G477" s="41"/>
      <c r="H477" s="9" t="s">
        <v>477</v>
      </c>
      <c r="I477" s="39" t="s">
        <v>773</v>
      </c>
      <c r="J477" s="9">
        <v>150</v>
      </c>
      <c r="K477" s="14">
        <v>4</v>
      </c>
      <c r="L477" s="14">
        <v>2</v>
      </c>
      <c r="M477" s="14" t="str">
        <f t="shared" si="20"/>
        <v>0402</v>
      </c>
      <c r="N477" s="19" t="s">
        <v>820</v>
      </c>
      <c r="O477" s="19"/>
      <c r="P477" s="14" t="str">
        <f t="shared" si="21"/>
        <v>7200000</v>
      </c>
    </row>
    <row r="478" spans="1:16" ht="19.149999999999999" customHeight="1">
      <c r="A478" s="8">
        <v>12</v>
      </c>
      <c r="B478" s="9">
        <v>1</v>
      </c>
      <c r="C478" s="9">
        <v>288</v>
      </c>
      <c r="D478" s="9">
        <v>120010288</v>
      </c>
      <c r="E478" s="41" t="s">
        <v>820</v>
      </c>
      <c r="F478" s="41"/>
      <c r="G478" s="41"/>
      <c r="H478" s="9" t="s">
        <v>478</v>
      </c>
      <c r="I478" s="39" t="s">
        <v>773</v>
      </c>
      <c r="J478" s="9">
        <v>180</v>
      </c>
      <c r="K478" s="14">
        <v>4</v>
      </c>
      <c r="L478" s="14">
        <v>2</v>
      </c>
      <c r="M478" s="14" t="str">
        <f t="shared" si="20"/>
        <v>0402</v>
      </c>
      <c r="N478" s="19" t="s">
        <v>820</v>
      </c>
      <c r="O478" s="19"/>
      <c r="P478" s="14" t="str">
        <f t="shared" si="21"/>
        <v>7200000</v>
      </c>
    </row>
    <row r="479" spans="1:16" ht="19.149999999999999" customHeight="1">
      <c r="A479" s="8">
        <v>66</v>
      </c>
      <c r="B479" s="9">
        <v>1</v>
      </c>
      <c r="C479" s="9">
        <v>787</v>
      </c>
      <c r="D479" s="9">
        <v>660010787</v>
      </c>
      <c r="E479" s="41" t="s">
        <v>820</v>
      </c>
      <c r="F479" s="41"/>
      <c r="G479" s="41"/>
      <c r="H479" s="9" t="s">
        <v>479</v>
      </c>
      <c r="I479" s="39" t="s">
        <v>773</v>
      </c>
      <c r="J479" s="9">
        <v>4.2</v>
      </c>
      <c r="K479" s="14">
        <v>4</v>
      </c>
      <c r="L479" s="14">
        <v>2</v>
      </c>
      <c r="M479" s="14" t="str">
        <f t="shared" si="20"/>
        <v>0402</v>
      </c>
      <c r="N479" s="19" t="s">
        <v>820</v>
      </c>
      <c r="O479" s="19"/>
      <c r="P479" s="14" t="str">
        <f t="shared" si="21"/>
        <v>7200000</v>
      </c>
    </row>
    <row r="480" spans="1:16" ht="19.149999999999999" customHeight="1">
      <c r="A480" s="8">
        <v>66</v>
      </c>
      <c r="B480" s="9">
        <v>1</v>
      </c>
      <c r="C480" s="9">
        <v>751</v>
      </c>
      <c r="D480" s="9">
        <v>660010751</v>
      </c>
      <c r="E480" s="41" t="s">
        <v>820</v>
      </c>
      <c r="F480" s="41"/>
      <c r="G480" s="41"/>
      <c r="H480" s="9" t="s">
        <v>480</v>
      </c>
      <c r="I480" s="39" t="s">
        <v>773</v>
      </c>
      <c r="J480" s="9">
        <v>7</v>
      </c>
      <c r="K480" s="14">
        <v>4</v>
      </c>
      <c r="L480" s="14">
        <v>2</v>
      </c>
      <c r="M480" s="14" t="str">
        <f t="shared" si="20"/>
        <v>0402</v>
      </c>
      <c r="N480" s="19" t="s">
        <v>820</v>
      </c>
      <c r="O480" s="19"/>
      <c r="P480" s="14" t="str">
        <f t="shared" si="21"/>
        <v>7200000</v>
      </c>
    </row>
    <row r="481" spans="1:16" ht="19.149999999999999" customHeight="1">
      <c r="A481" s="8">
        <v>66</v>
      </c>
      <c r="B481" s="9">
        <v>1</v>
      </c>
      <c r="C481" s="9">
        <v>750</v>
      </c>
      <c r="D481" s="9">
        <v>660010750</v>
      </c>
      <c r="E481" s="41" t="s">
        <v>820</v>
      </c>
      <c r="F481" s="41"/>
      <c r="G481" s="41"/>
      <c r="H481" s="9" t="s">
        <v>481</v>
      </c>
      <c r="I481" s="39" t="s">
        <v>773</v>
      </c>
      <c r="J481" s="9">
        <v>9</v>
      </c>
      <c r="K481" s="14">
        <v>4</v>
      </c>
      <c r="L481" s="14">
        <v>2</v>
      </c>
      <c r="M481" s="14" t="str">
        <f t="shared" si="20"/>
        <v>0402</v>
      </c>
      <c r="N481" s="19" t="s">
        <v>820</v>
      </c>
      <c r="O481" s="19"/>
      <c r="P481" s="14" t="str">
        <f t="shared" si="21"/>
        <v>7200000</v>
      </c>
    </row>
    <row r="482" spans="1:16" ht="19.149999999999999" customHeight="1">
      <c r="A482" s="8">
        <v>66</v>
      </c>
      <c r="B482" s="9">
        <v>1</v>
      </c>
      <c r="C482" s="9">
        <v>749</v>
      </c>
      <c r="D482" s="9">
        <v>660010749</v>
      </c>
      <c r="E482" s="41" t="s">
        <v>820</v>
      </c>
      <c r="F482" s="41"/>
      <c r="G482" s="41"/>
      <c r="H482" s="9" t="s">
        <v>482</v>
      </c>
      <c r="I482" s="39" t="s">
        <v>773</v>
      </c>
      <c r="J482" s="9">
        <v>9.6999999999999993</v>
      </c>
      <c r="K482" s="14">
        <v>4</v>
      </c>
      <c r="L482" s="14">
        <v>2</v>
      </c>
      <c r="M482" s="14" t="str">
        <f t="shared" si="20"/>
        <v>0402</v>
      </c>
      <c r="N482" s="19" t="s">
        <v>820</v>
      </c>
      <c r="O482" s="19"/>
      <c r="P482" s="14" t="str">
        <f t="shared" si="21"/>
        <v>7200000</v>
      </c>
    </row>
    <row r="483" spans="1:16" ht="19.149999999999999" customHeight="1">
      <c r="A483" s="8">
        <v>72</v>
      </c>
      <c r="B483" s="9">
        <v>1</v>
      </c>
      <c r="C483" s="9">
        <v>13</v>
      </c>
      <c r="D483" s="9">
        <v>720010013</v>
      </c>
      <c r="E483" s="41" t="s">
        <v>820</v>
      </c>
      <c r="F483" s="41"/>
      <c r="G483" s="41"/>
      <c r="H483" s="9" t="s">
        <v>483</v>
      </c>
      <c r="I483" s="39" t="s">
        <v>773</v>
      </c>
      <c r="J483" s="9">
        <v>17</v>
      </c>
      <c r="K483" s="14">
        <v>4</v>
      </c>
      <c r="L483" s="14">
        <v>2</v>
      </c>
      <c r="M483" s="14" t="str">
        <f t="shared" si="20"/>
        <v>0402</v>
      </c>
      <c r="N483" s="19" t="s">
        <v>820</v>
      </c>
      <c r="O483" s="19"/>
      <c r="P483" s="14" t="str">
        <f t="shared" si="21"/>
        <v>7200000</v>
      </c>
    </row>
    <row r="484" spans="1:16" ht="19.149999999999999" customHeight="1">
      <c r="A484" s="8">
        <v>30</v>
      </c>
      <c r="B484" s="9">
        <v>1</v>
      </c>
      <c r="C484" s="9">
        <v>461</v>
      </c>
      <c r="D484" s="9">
        <v>300010461</v>
      </c>
      <c r="E484" s="41" t="s">
        <v>820</v>
      </c>
      <c r="F484" s="41"/>
      <c r="G484" s="41"/>
      <c r="H484" s="9" t="s">
        <v>484</v>
      </c>
      <c r="I484" s="39" t="s">
        <v>773</v>
      </c>
      <c r="J484" s="9">
        <v>17.899999999999999</v>
      </c>
      <c r="K484" s="14">
        <v>4</v>
      </c>
      <c r="L484" s="14">
        <v>2</v>
      </c>
      <c r="M484" s="14" t="str">
        <f t="shared" si="20"/>
        <v>0402</v>
      </c>
      <c r="N484" s="19" t="s">
        <v>820</v>
      </c>
      <c r="O484" s="19"/>
      <c r="P484" s="14" t="str">
        <f t="shared" si="21"/>
        <v>7200000</v>
      </c>
    </row>
    <row r="485" spans="1:16" ht="19.149999999999999" customHeight="1">
      <c r="A485" s="8">
        <v>65</v>
      </c>
      <c r="B485" s="9">
        <v>1</v>
      </c>
      <c r="C485" s="9">
        <v>720</v>
      </c>
      <c r="D485" s="9">
        <v>650010720</v>
      </c>
      <c r="E485" s="41" t="s">
        <v>820</v>
      </c>
      <c r="F485" s="41"/>
      <c r="G485" s="41"/>
      <c r="H485" s="9" t="s">
        <v>485</v>
      </c>
      <c r="I485" s="39" t="s">
        <v>773</v>
      </c>
      <c r="J485" s="9">
        <v>70</v>
      </c>
      <c r="K485" s="14">
        <v>4</v>
      </c>
      <c r="L485" s="14">
        <v>2</v>
      </c>
      <c r="M485" s="14" t="str">
        <f t="shared" si="20"/>
        <v>0402</v>
      </c>
      <c r="N485" s="19" t="s">
        <v>820</v>
      </c>
      <c r="O485" s="19"/>
      <c r="P485" s="14" t="str">
        <f t="shared" si="21"/>
        <v>7200000</v>
      </c>
    </row>
    <row r="486" spans="1:16" ht="19.149999999999999" customHeight="1">
      <c r="A486" s="15">
        <v>30</v>
      </c>
      <c r="B486" s="13">
        <v>1</v>
      </c>
      <c r="C486" s="13">
        <v>68</v>
      </c>
      <c r="D486" s="13">
        <v>300010068</v>
      </c>
      <c r="E486" s="37">
        <v>77</v>
      </c>
      <c r="F486" s="37">
        <v>0</v>
      </c>
      <c r="H486" s="9" t="s">
        <v>493</v>
      </c>
      <c r="I486" s="39" t="s">
        <v>773</v>
      </c>
      <c r="J486" s="9">
        <v>1</v>
      </c>
      <c r="K486" s="40">
        <v>4</v>
      </c>
      <c r="L486" s="40">
        <v>3</v>
      </c>
      <c r="M486" s="40" t="str">
        <f t="shared" si="20"/>
        <v>0403</v>
      </c>
      <c r="N486" s="17" t="s">
        <v>785</v>
      </c>
      <c r="P486" s="40" t="str">
        <f t="shared" si="21"/>
        <v>7700000</v>
      </c>
    </row>
    <row r="487" spans="1:16" ht="19.149999999999999" customHeight="1">
      <c r="A487" s="8">
        <v>65</v>
      </c>
      <c r="B487" s="9">
        <v>1</v>
      </c>
      <c r="C487" s="9">
        <v>707</v>
      </c>
      <c r="D487" s="9">
        <v>650010707</v>
      </c>
      <c r="E487" s="37" t="s">
        <v>817</v>
      </c>
      <c r="H487" s="9" t="s">
        <v>286</v>
      </c>
      <c r="I487" s="39" t="s">
        <v>773</v>
      </c>
      <c r="J487" s="9">
        <v>55</v>
      </c>
      <c r="K487" s="14">
        <v>3</v>
      </c>
      <c r="L487" s="14">
        <v>5</v>
      </c>
      <c r="M487" s="14" t="str">
        <f t="shared" si="20"/>
        <v>0305</v>
      </c>
      <c r="N487" s="17" t="s">
        <v>817</v>
      </c>
      <c r="P487" s="14" t="str">
        <f t="shared" si="21"/>
        <v>7900000</v>
      </c>
    </row>
    <row r="488" spans="1:16" ht="19.149999999999999" customHeight="1">
      <c r="A488" s="8">
        <v>66</v>
      </c>
      <c r="B488" s="9">
        <v>1</v>
      </c>
      <c r="C488" s="9">
        <v>759</v>
      </c>
      <c r="D488" s="9">
        <v>660010759</v>
      </c>
      <c r="E488" s="37" t="s">
        <v>817</v>
      </c>
      <c r="H488" s="9" t="s">
        <v>293</v>
      </c>
      <c r="I488" s="39" t="s">
        <v>773</v>
      </c>
      <c r="J488" s="9">
        <v>17</v>
      </c>
      <c r="K488" s="14">
        <v>3</v>
      </c>
      <c r="L488" s="14">
        <v>7</v>
      </c>
      <c r="M488" s="14" t="str">
        <f t="shared" si="20"/>
        <v>0307</v>
      </c>
      <c r="N488" s="17" t="s">
        <v>817</v>
      </c>
      <c r="P488" s="14" t="str">
        <f t="shared" si="21"/>
        <v>7900000</v>
      </c>
    </row>
    <row r="489" spans="1:16" ht="19.149999999999999" customHeight="1">
      <c r="A489" s="8">
        <v>52</v>
      </c>
      <c r="B489" s="9">
        <v>1</v>
      </c>
      <c r="C489" s="9">
        <v>583</v>
      </c>
      <c r="D489" s="9">
        <v>520010583</v>
      </c>
      <c r="E489" s="41" t="s">
        <v>817</v>
      </c>
      <c r="F489" s="41"/>
      <c r="G489" s="41"/>
      <c r="H489" s="9" t="s">
        <v>717</v>
      </c>
      <c r="I489" s="39" t="s">
        <v>773</v>
      </c>
      <c r="J489" s="9">
        <v>70</v>
      </c>
      <c r="K489" s="14"/>
      <c r="L489" s="14"/>
      <c r="M489" s="14" t="str">
        <f t="shared" si="20"/>
        <v>0000</v>
      </c>
      <c r="N489" s="19" t="s">
        <v>817</v>
      </c>
      <c r="O489" s="19"/>
      <c r="P489" s="14" t="str">
        <f t="shared" si="21"/>
        <v>7900000</v>
      </c>
    </row>
    <row r="490" spans="1:16" ht="19.149999999999999" customHeight="1">
      <c r="A490" s="8">
        <v>52</v>
      </c>
      <c r="B490" s="9">
        <v>1</v>
      </c>
      <c r="C490" s="9">
        <v>584</v>
      </c>
      <c r="D490" s="9">
        <v>520010584</v>
      </c>
      <c r="E490" s="37" t="s">
        <v>817</v>
      </c>
      <c r="H490" s="9" t="s">
        <v>300</v>
      </c>
      <c r="I490" s="39" t="s">
        <v>773</v>
      </c>
      <c r="J490" s="9">
        <v>230</v>
      </c>
      <c r="K490" s="14">
        <v>3</v>
      </c>
      <c r="L490" s="14">
        <v>7</v>
      </c>
      <c r="M490" s="14" t="str">
        <f t="shared" ref="M490:M553" si="22">TEXT(K490,"00")&amp;TEXT(L490,"00")</f>
        <v>0307</v>
      </c>
      <c r="N490" s="17" t="s">
        <v>817</v>
      </c>
      <c r="P490" s="14" t="str">
        <f t="shared" ref="P490:P553" si="23">TEXT(E490,"00")&amp;TEXT(F490,"00")&amp;TEXT(G490,"000")</f>
        <v>7900000</v>
      </c>
    </row>
    <row r="491" spans="1:16" ht="19.149999999999999" customHeight="1">
      <c r="A491" s="8">
        <v>52</v>
      </c>
      <c r="B491" s="9">
        <v>1</v>
      </c>
      <c r="C491" s="9">
        <v>589</v>
      </c>
      <c r="D491" s="9">
        <v>520010589</v>
      </c>
      <c r="E491" s="37" t="s">
        <v>817</v>
      </c>
      <c r="H491" s="9" t="s">
        <v>301</v>
      </c>
      <c r="I491" s="39" t="s">
        <v>773</v>
      </c>
      <c r="J491" s="9">
        <v>40</v>
      </c>
      <c r="K491" s="14">
        <v>3</v>
      </c>
      <c r="L491" s="14">
        <v>7</v>
      </c>
      <c r="M491" s="14" t="str">
        <f t="shared" si="22"/>
        <v>0307</v>
      </c>
      <c r="N491" s="17" t="s">
        <v>817</v>
      </c>
      <c r="P491" s="14" t="str">
        <f t="shared" si="23"/>
        <v>7900000</v>
      </c>
    </row>
    <row r="492" spans="1:16" ht="19.149999999999999" customHeight="1">
      <c r="A492" s="8">
        <v>30</v>
      </c>
      <c r="B492" s="9">
        <v>1</v>
      </c>
      <c r="C492" s="9">
        <v>520</v>
      </c>
      <c r="D492" s="9">
        <v>300010520</v>
      </c>
      <c r="E492" s="37" t="s">
        <v>817</v>
      </c>
      <c r="H492" s="9" t="s">
        <v>306</v>
      </c>
      <c r="I492" s="39" t="s">
        <v>773</v>
      </c>
      <c r="J492" s="9">
        <v>8</v>
      </c>
      <c r="K492" s="14">
        <v>3</v>
      </c>
      <c r="L492" s="14">
        <v>7</v>
      </c>
      <c r="M492" s="14" t="str">
        <f t="shared" si="22"/>
        <v>0307</v>
      </c>
      <c r="N492" s="17" t="s">
        <v>817</v>
      </c>
      <c r="P492" s="14" t="str">
        <f t="shared" si="23"/>
        <v>7900000</v>
      </c>
    </row>
    <row r="493" spans="1:16" ht="19.149999999999999" customHeight="1">
      <c r="A493" s="8">
        <v>52</v>
      </c>
      <c r="B493" s="9">
        <v>1</v>
      </c>
      <c r="C493" s="9">
        <v>586</v>
      </c>
      <c r="D493" s="9">
        <v>520010586</v>
      </c>
      <c r="E493" s="37" t="s">
        <v>817</v>
      </c>
      <c r="H493" s="9" t="s">
        <v>307</v>
      </c>
      <c r="I493" s="39" t="s">
        <v>773</v>
      </c>
      <c r="J493" s="9">
        <v>8</v>
      </c>
      <c r="K493" s="14">
        <v>3</v>
      </c>
      <c r="L493" s="14">
        <v>7</v>
      </c>
      <c r="M493" s="14" t="str">
        <f t="shared" si="22"/>
        <v>0307</v>
      </c>
      <c r="N493" s="17" t="s">
        <v>817</v>
      </c>
      <c r="P493" s="14" t="str">
        <f t="shared" si="23"/>
        <v>7900000</v>
      </c>
    </row>
    <row r="494" spans="1:16" ht="19.149999999999999" customHeight="1">
      <c r="A494" s="8">
        <v>52</v>
      </c>
      <c r="B494" s="9">
        <v>1</v>
      </c>
      <c r="C494" s="9">
        <v>587</v>
      </c>
      <c r="D494" s="9">
        <v>520010587</v>
      </c>
      <c r="E494" s="37" t="s">
        <v>817</v>
      </c>
      <c r="H494" s="9" t="s">
        <v>308</v>
      </c>
      <c r="I494" s="39" t="s">
        <v>773</v>
      </c>
      <c r="J494" s="9">
        <v>8</v>
      </c>
      <c r="K494" s="14">
        <v>3</v>
      </c>
      <c r="L494" s="14">
        <v>7</v>
      </c>
      <c r="M494" s="14" t="str">
        <f t="shared" si="22"/>
        <v>0307</v>
      </c>
      <c r="N494" s="17" t="s">
        <v>817</v>
      </c>
      <c r="P494" s="14" t="str">
        <f t="shared" si="23"/>
        <v>7900000</v>
      </c>
    </row>
    <row r="495" spans="1:16" ht="19.149999999999999" customHeight="1">
      <c r="A495" s="8">
        <v>52</v>
      </c>
      <c r="B495" s="9">
        <v>1</v>
      </c>
      <c r="C495" s="9">
        <v>588</v>
      </c>
      <c r="D495" s="9">
        <v>520010588</v>
      </c>
      <c r="E495" s="37" t="s">
        <v>817</v>
      </c>
      <c r="H495" s="9" t="s">
        <v>316</v>
      </c>
      <c r="I495" s="39" t="s">
        <v>773</v>
      </c>
      <c r="J495" s="9">
        <v>15</v>
      </c>
      <c r="K495" s="14">
        <v>3</v>
      </c>
      <c r="L495" s="14">
        <v>7</v>
      </c>
      <c r="M495" s="14" t="str">
        <f t="shared" si="22"/>
        <v>0307</v>
      </c>
      <c r="N495" s="17" t="s">
        <v>817</v>
      </c>
      <c r="P495" s="14" t="str">
        <f t="shared" si="23"/>
        <v>7900000</v>
      </c>
    </row>
    <row r="496" spans="1:16" ht="19.149999999999999" customHeight="1">
      <c r="A496" s="8">
        <v>65</v>
      </c>
      <c r="B496" s="9">
        <v>1</v>
      </c>
      <c r="C496" s="9">
        <v>4</v>
      </c>
      <c r="D496" s="9">
        <v>650010004</v>
      </c>
      <c r="E496" s="37" t="s">
        <v>817</v>
      </c>
      <c r="H496" s="9" t="s">
        <v>287</v>
      </c>
      <c r="I496" s="39" t="s">
        <v>773</v>
      </c>
      <c r="J496" s="9">
        <v>0.02</v>
      </c>
      <c r="K496" s="14">
        <v>3</v>
      </c>
      <c r="L496" s="14">
        <v>7</v>
      </c>
      <c r="M496" s="14" t="str">
        <f t="shared" si="22"/>
        <v>0307</v>
      </c>
      <c r="N496" s="17" t="s">
        <v>817</v>
      </c>
      <c r="P496" s="14" t="str">
        <f t="shared" si="23"/>
        <v>7900000</v>
      </c>
    </row>
    <row r="497" spans="1:16" ht="19.149999999999999" customHeight="1">
      <c r="A497" s="8">
        <v>12</v>
      </c>
      <c r="B497" s="9">
        <v>1</v>
      </c>
      <c r="C497" s="9">
        <v>269</v>
      </c>
      <c r="D497" s="9">
        <v>120010269</v>
      </c>
      <c r="E497" s="37" t="s">
        <v>817</v>
      </c>
      <c r="H497" s="9" t="s">
        <v>319</v>
      </c>
      <c r="I497" s="39" t="s">
        <v>773</v>
      </c>
      <c r="J497" s="9">
        <v>17</v>
      </c>
      <c r="K497" s="14">
        <v>3</v>
      </c>
      <c r="L497" s="14">
        <v>7</v>
      </c>
      <c r="M497" s="14" t="str">
        <f t="shared" si="22"/>
        <v>0307</v>
      </c>
      <c r="N497" s="17" t="s">
        <v>817</v>
      </c>
      <c r="P497" s="14" t="str">
        <f t="shared" si="23"/>
        <v>7900000</v>
      </c>
    </row>
    <row r="498" spans="1:16" ht="19.149999999999999" customHeight="1">
      <c r="A498" s="8">
        <v>30</v>
      </c>
      <c r="B498" s="9">
        <v>1</v>
      </c>
      <c r="C498" s="9">
        <v>362</v>
      </c>
      <c r="D498" s="9">
        <v>300010362</v>
      </c>
      <c r="E498" s="37" t="s">
        <v>817</v>
      </c>
      <c r="H498" s="9" t="s">
        <v>320</v>
      </c>
      <c r="I498" s="39" t="s">
        <v>776</v>
      </c>
      <c r="J498" s="9">
        <v>30</v>
      </c>
      <c r="K498" s="14">
        <v>3</v>
      </c>
      <c r="L498" s="14">
        <v>7</v>
      </c>
      <c r="M498" s="14" t="str">
        <f t="shared" si="22"/>
        <v>0307</v>
      </c>
      <c r="N498" s="17" t="s">
        <v>817</v>
      </c>
      <c r="P498" s="14" t="str">
        <f t="shared" si="23"/>
        <v>7900000</v>
      </c>
    </row>
    <row r="499" spans="1:16" ht="19.149999999999999" customHeight="1">
      <c r="A499" s="8">
        <v>30</v>
      </c>
      <c r="B499" s="9">
        <v>1</v>
      </c>
      <c r="C499" s="9">
        <v>359</v>
      </c>
      <c r="D499" s="9">
        <v>300010359</v>
      </c>
      <c r="E499" s="37" t="s">
        <v>817</v>
      </c>
      <c r="H499" s="9" t="s">
        <v>321</v>
      </c>
      <c r="I499" s="39" t="s">
        <v>776</v>
      </c>
      <c r="J499" s="9">
        <v>130</v>
      </c>
      <c r="K499" s="14">
        <v>3</v>
      </c>
      <c r="L499" s="14">
        <v>7</v>
      </c>
      <c r="M499" s="14" t="str">
        <f t="shared" si="22"/>
        <v>0307</v>
      </c>
      <c r="N499" s="17" t="s">
        <v>817</v>
      </c>
      <c r="P499" s="14" t="str">
        <f t="shared" si="23"/>
        <v>7900000</v>
      </c>
    </row>
    <row r="500" spans="1:16" ht="19.149999999999999" customHeight="1">
      <c r="A500" s="8">
        <v>30</v>
      </c>
      <c r="B500" s="9">
        <v>1</v>
      </c>
      <c r="C500" s="9">
        <v>358</v>
      </c>
      <c r="D500" s="9">
        <v>300010358</v>
      </c>
      <c r="E500" s="37" t="s">
        <v>817</v>
      </c>
      <c r="H500" s="9" t="s">
        <v>322</v>
      </c>
      <c r="I500" s="39" t="s">
        <v>775</v>
      </c>
      <c r="J500" s="9">
        <v>80</v>
      </c>
      <c r="K500" s="14">
        <v>3</v>
      </c>
      <c r="L500" s="14">
        <v>7</v>
      </c>
      <c r="M500" s="14" t="str">
        <f t="shared" si="22"/>
        <v>0307</v>
      </c>
      <c r="N500" s="17" t="s">
        <v>817</v>
      </c>
      <c r="P500" s="14" t="str">
        <f t="shared" si="23"/>
        <v>7900000</v>
      </c>
    </row>
    <row r="501" spans="1:16" ht="19.149999999999999" customHeight="1">
      <c r="A501" s="8">
        <v>30</v>
      </c>
      <c r="B501" s="9">
        <v>1</v>
      </c>
      <c r="C501" s="9">
        <v>5</v>
      </c>
      <c r="D501" s="9">
        <v>300010005</v>
      </c>
      <c r="E501" s="37" t="s">
        <v>817</v>
      </c>
      <c r="H501" s="9" t="s">
        <v>404</v>
      </c>
      <c r="I501" s="39" t="s">
        <v>775</v>
      </c>
      <c r="J501" s="9">
        <v>106</v>
      </c>
      <c r="K501" s="14">
        <v>3</v>
      </c>
      <c r="L501" s="14">
        <v>7</v>
      </c>
      <c r="M501" s="14" t="str">
        <f t="shared" si="22"/>
        <v>0307</v>
      </c>
      <c r="N501" s="17" t="s">
        <v>817</v>
      </c>
      <c r="P501" s="14" t="str">
        <f t="shared" si="23"/>
        <v>7900000</v>
      </c>
    </row>
    <row r="502" spans="1:16" ht="19.149999999999999" customHeight="1">
      <c r="A502" s="8">
        <v>30</v>
      </c>
      <c r="B502" s="9">
        <v>1</v>
      </c>
      <c r="C502" s="9">
        <v>396</v>
      </c>
      <c r="D502" s="9">
        <v>300010396</v>
      </c>
      <c r="E502" s="37" t="s">
        <v>801</v>
      </c>
      <c r="H502" s="9" t="s">
        <v>366</v>
      </c>
      <c r="I502" s="39" t="s">
        <v>773</v>
      </c>
      <c r="J502" s="9">
        <v>42</v>
      </c>
      <c r="K502" s="14">
        <v>3</v>
      </c>
      <c r="L502" s="14">
        <v>10</v>
      </c>
      <c r="M502" s="14" t="str">
        <f t="shared" si="22"/>
        <v>0310</v>
      </c>
      <c r="N502" s="17" t="s">
        <v>801</v>
      </c>
      <c r="P502" s="14" t="str">
        <f t="shared" si="23"/>
        <v>8100000</v>
      </c>
    </row>
    <row r="503" spans="1:16" ht="19.149999999999999" customHeight="1">
      <c r="A503" s="8">
        <v>30</v>
      </c>
      <c r="B503" s="9">
        <v>1</v>
      </c>
      <c r="C503" s="9">
        <v>496</v>
      </c>
      <c r="D503" s="9">
        <v>300010496</v>
      </c>
      <c r="E503" s="37" t="s">
        <v>801</v>
      </c>
      <c r="H503" s="9" t="s">
        <v>343</v>
      </c>
      <c r="I503" s="39" t="s">
        <v>773</v>
      </c>
      <c r="J503" s="9">
        <v>680</v>
      </c>
      <c r="K503" s="14">
        <v>3</v>
      </c>
      <c r="L503" s="14">
        <v>10</v>
      </c>
      <c r="M503" s="14" t="str">
        <f t="shared" si="22"/>
        <v>0310</v>
      </c>
      <c r="N503" s="17" t="s">
        <v>801</v>
      </c>
      <c r="P503" s="14" t="str">
        <f t="shared" si="23"/>
        <v>8100000</v>
      </c>
    </row>
    <row r="504" spans="1:16" ht="19.149999999999999" customHeight="1">
      <c r="A504" s="8">
        <v>24</v>
      </c>
      <c r="B504" s="9">
        <v>1</v>
      </c>
      <c r="C504" s="9">
        <v>335</v>
      </c>
      <c r="D504" s="9">
        <v>240010335</v>
      </c>
      <c r="E504" s="41">
        <v>81</v>
      </c>
      <c r="F504" s="41"/>
      <c r="G504" s="41"/>
      <c r="H504" s="9" t="s">
        <v>530</v>
      </c>
      <c r="I504" s="39" t="s">
        <v>773</v>
      </c>
      <c r="J504" s="9">
        <v>107</v>
      </c>
      <c r="K504" s="14">
        <v>5</v>
      </c>
      <c r="L504" s="14">
        <v>1</v>
      </c>
      <c r="M504" s="14" t="str">
        <f t="shared" si="22"/>
        <v>0501</v>
      </c>
      <c r="N504" s="19">
        <v>81</v>
      </c>
      <c r="O504" s="19"/>
      <c r="P504" s="14" t="str">
        <f t="shared" si="23"/>
        <v>8100000</v>
      </c>
    </row>
    <row r="505" spans="1:16" ht="19.149999999999999" customHeight="1">
      <c r="A505" s="8">
        <v>39</v>
      </c>
      <c r="B505" s="9">
        <v>1</v>
      </c>
      <c r="C505" s="9">
        <v>535</v>
      </c>
      <c r="D505" s="9">
        <v>390010535</v>
      </c>
      <c r="E505" s="41" t="s">
        <v>801</v>
      </c>
      <c r="F505" s="41"/>
      <c r="G505" s="41"/>
      <c r="H505" s="9" t="s">
        <v>707</v>
      </c>
      <c r="I505" s="39" t="s">
        <v>773</v>
      </c>
      <c r="J505" s="9">
        <v>14</v>
      </c>
      <c r="K505" s="14"/>
      <c r="L505" s="14"/>
      <c r="M505" s="14" t="str">
        <f t="shared" si="22"/>
        <v>0000</v>
      </c>
      <c r="N505" s="19" t="s">
        <v>801</v>
      </c>
      <c r="O505" s="19"/>
      <c r="P505" s="14" t="str">
        <f t="shared" si="23"/>
        <v>8100000</v>
      </c>
    </row>
    <row r="506" spans="1:16" ht="19.149999999999999" customHeight="1">
      <c r="A506" s="8">
        <v>54</v>
      </c>
      <c r="B506" s="9">
        <v>1</v>
      </c>
      <c r="C506" s="9">
        <v>628</v>
      </c>
      <c r="D506" s="9">
        <v>540010628</v>
      </c>
      <c r="E506" s="37" t="s">
        <v>801</v>
      </c>
      <c r="H506" s="9" t="s">
        <v>344</v>
      </c>
      <c r="I506" s="39" t="s">
        <v>773</v>
      </c>
      <c r="J506" s="9">
        <v>24.5</v>
      </c>
      <c r="K506" s="14">
        <v>3</v>
      </c>
      <c r="L506" s="14">
        <v>10</v>
      </c>
      <c r="M506" s="14" t="str">
        <f t="shared" si="22"/>
        <v>0310</v>
      </c>
      <c r="N506" s="17" t="s">
        <v>801</v>
      </c>
      <c r="P506" s="14" t="str">
        <f t="shared" si="23"/>
        <v>8100000</v>
      </c>
    </row>
    <row r="507" spans="1:16" ht="19.149999999999999" customHeight="1">
      <c r="A507" s="8">
        <v>30</v>
      </c>
      <c r="B507" s="9">
        <v>1</v>
      </c>
      <c r="C507" s="9">
        <v>391</v>
      </c>
      <c r="D507" s="9">
        <v>300010391</v>
      </c>
      <c r="E507" s="37" t="s">
        <v>801</v>
      </c>
      <c r="H507" s="9" t="s">
        <v>344</v>
      </c>
      <c r="I507" s="39" t="s">
        <v>773</v>
      </c>
      <c r="J507" s="9">
        <v>24</v>
      </c>
      <c r="K507" s="14">
        <v>3</v>
      </c>
      <c r="L507" s="14">
        <v>10</v>
      </c>
      <c r="M507" s="14" t="str">
        <f t="shared" si="22"/>
        <v>0310</v>
      </c>
      <c r="N507" s="17" t="s">
        <v>801</v>
      </c>
      <c r="P507" s="14" t="str">
        <f t="shared" si="23"/>
        <v>8100000</v>
      </c>
    </row>
    <row r="508" spans="1:16" ht="19.149999999999999" customHeight="1">
      <c r="A508" s="8">
        <v>54</v>
      </c>
      <c r="B508" s="9">
        <v>1</v>
      </c>
      <c r="C508" s="9">
        <v>4</v>
      </c>
      <c r="D508" s="9">
        <v>540010004</v>
      </c>
      <c r="E508" s="37" t="s">
        <v>801</v>
      </c>
      <c r="H508" s="9" t="s">
        <v>345</v>
      </c>
      <c r="I508" s="39" t="s">
        <v>773</v>
      </c>
      <c r="J508" s="9">
        <v>160</v>
      </c>
      <c r="K508" s="14">
        <v>3</v>
      </c>
      <c r="L508" s="14">
        <v>10</v>
      </c>
      <c r="M508" s="14" t="str">
        <f t="shared" si="22"/>
        <v>0310</v>
      </c>
      <c r="N508" s="17" t="s">
        <v>801</v>
      </c>
      <c r="P508" s="14" t="str">
        <f t="shared" si="23"/>
        <v>8100000</v>
      </c>
    </row>
    <row r="509" spans="1:16" ht="19.149999999999999" customHeight="1">
      <c r="A509" s="8">
        <v>59</v>
      </c>
      <c r="B509" s="9">
        <v>1</v>
      </c>
      <c r="C509" s="9">
        <v>646</v>
      </c>
      <c r="D509" s="9">
        <v>590010646</v>
      </c>
      <c r="E509" s="37" t="s">
        <v>801</v>
      </c>
      <c r="H509" s="9" t="s">
        <v>346</v>
      </c>
      <c r="I509" s="39" t="s">
        <v>778</v>
      </c>
      <c r="J509" s="9">
        <v>54</v>
      </c>
      <c r="K509" s="14">
        <v>3</v>
      </c>
      <c r="L509" s="14">
        <v>10</v>
      </c>
      <c r="M509" s="14" t="str">
        <f t="shared" si="22"/>
        <v>0310</v>
      </c>
      <c r="N509" s="17" t="s">
        <v>801</v>
      </c>
      <c r="P509" s="14" t="str">
        <f t="shared" si="23"/>
        <v>8100000</v>
      </c>
    </row>
    <row r="510" spans="1:16" ht="19.149999999999999" customHeight="1">
      <c r="A510" s="8">
        <v>39</v>
      </c>
      <c r="B510" s="9">
        <v>1</v>
      </c>
      <c r="C510" s="9">
        <v>536</v>
      </c>
      <c r="D510" s="9">
        <v>390010536</v>
      </c>
      <c r="E510" s="37" t="s">
        <v>801</v>
      </c>
      <c r="H510" s="9" t="s">
        <v>347</v>
      </c>
      <c r="I510" s="39" t="s">
        <v>773</v>
      </c>
      <c r="J510" s="9">
        <v>8</v>
      </c>
      <c r="K510" s="14">
        <v>3</v>
      </c>
      <c r="L510" s="14">
        <v>10</v>
      </c>
      <c r="M510" s="14" t="str">
        <f t="shared" si="22"/>
        <v>0310</v>
      </c>
      <c r="N510" s="17" t="s">
        <v>801</v>
      </c>
      <c r="P510" s="14" t="str">
        <f t="shared" si="23"/>
        <v>8100000</v>
      </c>
    </row>
    <row r="511" spans="1:16" ht="19.149999999999999" customHeight="1">
      <c r="A511" s="8">
        <v>30</v>
      </c>
      <c r="B511" s="9">
        <v>1</v>
      </c>
      <c r="C511" s="9">
        <v>517</v>
      </c>
      <c r="D511" s="9">
        <v>300010517</v>
      </c>
      <c r="E511" s="37" t="s">
        <v>801</v>
      </c>
      <c r="H511" s="9" t="s">
        <v>347</v>
      </c>
      <c r="I511" s="39" t="s">
        <v>773</v>
      </c>
      <c r="J511" s="9">
        <v>8</v>
      </c>
      <c r="K511" s="14">
        <v>3</v>
      </c>
      <c r="L511" s="14">
        <v>10</v>
      </c>
      <c r="M511" s="14" t="str">
        <f t="shared" si="22"/>
        <v>0310</v>
      </c>
      <c r="N511" s="17" t="s">
        <v>801</v>
      </c>
      <c r="P511" s="14" t="str">
        <f t="shared" si="23"/>
        <v>8100000</v>
      </c>
    </row>
    <row r="512" spans="1:16" ht="19.149999999999999" customHeight="1">
      <c r="A512" s="8">
        <v>39</v>
      </c>
      <c r="B512" s="9">
        <v>1</v>
      </c>
      <c r="C512" s="9">
        <v>1</v>
      </c>
      <c r="D512" s="9">
        <v>390010001</v>
      </c>
      <c r="E512" s="37" t="s">
        <v>801</v>
      </c>
      <c r="H512" s="9" t="s">
        <v>348</v>
      </c>
      <c r="I512" s="39" t="s">
        <v>773</v>
      </c>
      <c r="J512" s="9">
        <v>420</v>
      </c>
      <c r="K512" s="14">
        <v>3</v>
      </c>
      <c r="L512" s="14">
        <v>10</v>
      </c>
      <c r="M512" s="14" t="str">
        <f t="shared" si="22"/>
        <v>0310</v>
      </c>
      <c r="N512" s="17" t="s">
        <v>801</v>
      </c>
      <c r="P512" s="14" t="str">
        <f t="shared" si="23"/>
        <v>8100000</v>
      </c>
    </row>
    <row r="513" spans="1:16" ht="19.149999999999999" customHeight="1">
      <c r="A513" s="8">
        <v>39</v>
      </c>
      <c r="B513" s="9">
        <v>1</v>
      </c>
      <c r="C513" s="9">
        <v>537</v>
      </c>
      <c r="D513" s="9">
        <v>390010537</v>
      </c>
      <c r="E513" s="37" t="s">
        <v>801</v>
      </c>
      <c r="H513" s="9" t="s">
        <v>349</v>
      </c>
      <c r="I513" s="39" t="s">
        <v>773</v>
      </c>
      <c r="J513" s="9">
        <v>28</v>
      </c>
      <c r="K513" s="14">
        <v>3</v>
      </c>
      <c r="L513" s="14">
        <v>10</v>
      </c>
      <c r="M513" s="14" t="str">
        <f t="shared" si="22"/>
        <v>0310</v>
      </c>
      <c r="N513" s="17" t="s">
        <v>801</v>
      </c>
      <c r="P513" s="14" t="str">
        <f t="shared" si="23"/>
        <v>8100000</v>
      </c>
    </row>
    <row r="514" spans="1:16" ht="19.149999999999999" customHeight="1">
      <c r="A514" s="8">
        <v>39</v>
      </c>
      <c r="B514" s="9">
        <v>1</v>
      </c>
      <c r="C514" s="9">
        <v>530</v>
      </c>
      <c r="D514" s="9">
        <v>390010530</v>
      </c>
      <c r="E514" s="37" t="s">
        <v>801</v>
      </c>
      <c r="H514" s="9" t="s">
        <v>102</v>
      </c>
      <c r="I514" s="39" t="s">
        <v>773</v>
      </c>
      <c r="J514" s="9">
        <v>95</v>
      </c>
      <c r="K514" s="14">
        <v>3</v>
      </c>
      <c r="L514" s="14">
        <v>3</v>
      </c>
      <c r="M514" s="14" t="str">
        <f t="shared" si="22"/>
        <v>0303</v>
      </c>
      <c r="N514" s="17" t="s">
        <v>801</v>
      </c>
      <c r="P514" s="14" t="str">
        <f t="shared" si="23"/>
        <v>8100000</v>
      </c>
    </row>
    <row r="515" spans="1:16" ht="19.149999999999999" customHeight="1">
      <c r="A515" s="8">
        <v>30</v>
      </c>
      <c r="B515" s="9">
        <v>1</v>
      </c>
      <c r="C515" s="9">
        <v>3</v>
      </c>
      <c r="D515" s="9">
        <v>300010003</v>
      </c>
      <c r="E515" s="37" t="s">
        <v>801</v>
      </c>
      <c r="H515" s="9" t="s">
        <v>52</v>
      </c>
      <c r="I515" s="39" t="s">
        <v>773</v>
      </c>
      <c r="J515" s="9">
        <v>40.9</v>
      </c>
      <c r="K515" s="14">
        <v>3</v>
      </c>
      <c r="L515" s="14">
        <v>2</v>
      </c>
      <c r="M515" s="14" t="str">
        <f t="shared" si="22"/>
        <v>0302</v>
      </c>
      <c r="N515" s="17" t="s">
        <v>801</v>
      </c>
      <c r="P515" s="14" t="str">
        <f t="shared" si="23"/>
        <v>8100000</v>
      </c>
    </row>
    <row r="516" spans="1:16" ht="19.149999999999999" customHeight="1">
      <c r="A516" s="8">
        <v>30</v>
      </c>
      <c r="B516" s="9">
        <v>1</v>
      </c>
      <c r="C516" s="9">
        <v>4</v>
      </c>
      <c r="D516" s="9">
        <v>300010004</v>
      </c>
      <c r="E516" s="37" t="s">
        <v>801</v>
      </c>
      <c r="H516" s="9" t="s">
        <v>408</v>
      </c>
      <c r="I516" s="39" t="s">
        <v>773</v>
      </c>
      <c r="J516" s="9">
        <v>38.4</v>
      </c>
      <c r="K516" s="14">
        <v>4</v>
      </c>
      <c r="L516" s="14">
        <v>1</v>
      </c>
      <c r="M516" s="14" t="str">
        <f t="shared" si="22"/>
        <v>0401</v>
      </c>
      <c r="N516" s="17" t="s">
        <v>801</v>
      </c>
      <c r="P516" s="14" t="str">
        <f t="shared" si="23"/>
        <v>8100000</v>
      </c>
    </row>
    <row r="517" spans="1:16" ht="19.149999999999999" customHeight="1">
      <c r="A517" s="8">
        <v>39</v>
      </c>
      <c r="B517" s="9">
        <v>1</v>
      </c>
      <c r="C517" s="9">
        <v>542</v>
      </c>
      <c r="D517" s="9">
        <v>390010542</v>
      </c>
      <c r="E517" s="37" t="s">
        <v>801</v>
      </c>
      <c r="H517" s="9" t="s">
        <v>409</v>
      </c>
      <c r="I517" s="39" t="s">
        <v>773</v>
      </c>
      <c r="J517" s="9">
        <v>56.9</v>
      </c>
      <c r="K517" s="14">
        <v>4</v>
      </c>
      <c r="L517" s="14">
        <v>1</v>
      </c>
      <c r="M517" s="14" t="str">
        <f t="shared" si="22"/>
        <v>0401</v>
      </c>
      <c r="N517" s="17" t="s">
        <v>801</v>
      </c>
      <c r="P517" s="14" t="str">
        <f t="shared" si="23"/>
        <v>8100000</v>
      </c>
    </row>
    <row r="518" spans="1:16" ht="19.149999999999999" customHeight="1">
      <c r="A518" s="8">
        <v>39</v>
      </c>
      <c r="B518" s="9">
        <v>1</v>
      </c>
      <c r="C518" s="9">
        <v>528</v>
      </c>
      <c r="D518" s="9">
        <v>390010528</v>
      </c>
      <c r="E518" s="37" t="s">
        <v>801</v>
      </c>
      <c r="H518" s="9" t="s">
        <v>271</v>
      </c>
      <c r="I518" s="39" t="s">
        <v>778</v>
      </c>
      <c r="J518" s="9">
        <v>75</v>
      </c>
      <c r="K518" s="14">
        <v>3</v>
      </c>
      <c r="L518" s="14">
        <v>5</v>
      </c>
      <c r="M518" s="14" t="str">
        <f t="shared" si="22"/>
        <v>0305</v>
      </c>
      <c r="N518" s="17" t="s">
        <v>801</v>
      </c>
      <c r="P518" s="14" t="str">
        <f t="shared" si="23"/>
        <v>8100000</v>
      </c>
    </row>
    <row r="519" spans="1:16" ht="19.149999999999999" customHeight="1">
      <c r="A519" s="8">
        <v>30</v>
      </c>
      <c r="B519" s="9">
        <v>1</v>
      </c>
      <c r="C519" s="9">
        <v>11</v>
      </c>
      <c r="D519" s="9">
        <v>300010011</v>
      </c>
      <c r="E519" s="37" t="s">
        <v>801</v>
      </c>
      <c r="H519" s="9" t="s">
        <v>350</v>
      </c>
      <c r="I519" s="39" t="s">
        <v>773</v>
      </c>
      <c r="J519" s="9">
        <v>50</v>
      </c>
      <c r="K519" s="14">
        <v>3</v>
      </c>
      <c r="L519" s="14">
        <v>10</v>
      </c>
      <c r="M519" s="14" t="str">
        <f t="shared" si="22"/>
        <v>0310</v>
      </c>
      <c r="N519" s="17" t="s">
        <v>801</v>
      </c>
      <c r="P519" s="14" t="str">
        <f t="shared" si="23"/>
        <v>8100000</v>
      </c>
    </row>
    <row r="520" spans="1:16" ht="19.149999999999999" customHeight="1">
      <c r="A520" s="8">
        <v>39</v>
      </c>
      <c r="B520" s="9">
        <v>1</v>
      </c>
      <c r="C520" s="9">
        <v>533</v>
      </c>
      <c r="D520" s="9">
        <v>390010533</v>
      </c>
      <c r="E520" s="37" t="s">
        <v>801</v>
      </c>
      <c r="H520" s="9" t="s">
        <v>351</v>
      </c>
      <c r="I520" s="39" t="s">
        <v>773</v>
      </c>
      <c r="J520" s="9">
        <v>90</v>
      </c>
      <c r="K520" s="14">
        <v>3</v>
      </c>
      <c r="L520" s="14">
        <v>10</v>
      </c>
      <c r="M520" s="14" t="str">
        <f t="shared" si="22"/>
        <v>0310</v>
      </c>
      <c r="N520" s="17" t="s">
        <v>801</v>
      </c>
      <c r="P520" s="14" t="str">
        <f t="shared" si="23"/>
        <v>8100000</v>
      </c>
    </row>
    <row r="521" spans="1:16" ht="19.149999999999999" customHeight="1">
      <c r="A521" s="8">
        <v>54</v>
      </c>
      <c r="B521" s="9">
        <v>1</v>
      </c>
      <c r="C521" s="9">
        <v>630</v>
      </c>
      <c r="D521" s="9">
        <v>540010630</v>
      </c>
      <c r="E521" s="37" t="s">
        <v>801</v>
      </c>
      <c r="H521" s="9" t="s">
        <v>352</v>
      </c>
      <c r="I521" s="39" t="s">
        <v>773</v>
      </c>
      <c r="J521" s="9">
        <v>30</v>
      </c>
      <c r="K521" s="14">
        <v>3</v>
      </c>
      <c r="L521" s="14">
        <v>10</v>
      </c>
      <c r="M521" s="14" t="str">
        <f t="shared" si="22"/>
        <v>0310</v>
      </c>
      <c r="N521" s="17" t="s">
        <v>801</v>
      </c>
      <c r="P521" s="14" t="str">
        <f t="shared" si="23"/>
        <v>8100000</v>
      </c>
    </row>
    <row r="522" spans="1:16" ht="19.149999999999999" customHeight="1">
      <c r="A522" s="8">
        <v>39</v>
      </c>
      <c r="B522" s="9">
        <v>1</v>
      </c>
      <c r="C522" s="9">
        <v>527</v>
      </c>
      <c r="D522" s="9">
        <v>390010527</v>
      </c>
      <c r="E522" s="37" t="s">
        <v>801</v>
      </c>
      <c r="H522" s="9" t="s">
        <v>353</v>
      </c>
      <c r="I522" s="39" t="s">
        <v>773</v>
      </c>
      <c r="J522" s="9">
        <v>360</v>
      </c>
      <c r="K522" s="14">
        <v>3</v>
      </c>
      <c r="L522" s="14">
        <v>10</v>
      </c>
      <c r="M522" s="14" t="str">
        <f t="shared" si="22"/>
        <v>0310</v>
      </c>
      <c r="N522" s="17" t="s">
        <v>801</v>
      </c>
      <c r="P522" s="14" t="str">
        <f t="shared" si="23"/>
        <v>8100000</v>
      </c>
    </row>
    <row r="523" spans="1:16" ht="19.149999999999999" customHeight="1">
      <c r="A523" s="8">
        <v>39</v>
      </c>
      <c r="B523" s="9">
        <v>1</v>
      </c>
      <c r="C523" s="9">
        <v>532</v>
      </c>
      <c r="D523" s="9">
        <v>390010532</v>
      </c>
      <c r="E523" s="37" t="s">
        <v>801</v>
      </c>
      <c r="H523" s="9" t="s">
        <v>354</v>
      </c>
      <c r="I523" s="39" t="s">
        <v>773</v>
      </c>
      <c r="J523" s="9">
        <v>50.9</v>
      </c>
      <c r="K523" s="14">
        <v>3</v>
      </c>
      <c r="L523" s="14">
        <v>10</v>
      </c>
      <c r="M523" s="14" t="str">
        <f t="shared" si="22"/>
        <v>0310</v>
      </c>
      <c r="N523" s="17" t="s">
        <v>801</v>
      </c>
      <c r="P523" s="14" t="str">
        <f t="shared" si="23"/>
        <v>8100000</v>
      </c>
    </row>
    <row r="524" spans="1:16" ht="19.149999999999999" customHeight="1">
      <c r="A524" s="8">
        <v>30</v>
      </c>
      <c r="B524" s="9">
        <v>1</v>
      </c>
      <c r="C524" s="9">
        <v>12</v>
      </c>
      <c r="D524" s="9">
        <v>300010012</v>
      </c>
      <c r="E524" s="37" t="s">
        <v>801</v>
      </c>
      <c r="H524" s="9" t="s">
        <v>410</v>
      </c>
      <c r="I524" s="39" t="s">
        <v>773</v>
      </c>
      <c r="J524" s="9">
        <v>35</v>
      </c>
      <c r="K524" s="14">
        <v>3</v>
      </c>
      <c r="L524" s="14">
        <v>2</v>
      </c>
      <c r="M524" s="14" t="str">
        <f t="shared" si="22"/>
        <v>0302</v>
      </c>
      <c r="N524" s="17" t="s">
        <v>801</v>
      </c>
      <c r="P524" s="14" t="str">
        <f t="shared" si="23"/>
        <v>8100000</v>
      </c>
    </row>
    <row r="525" spans="1:16" ht="19.149999999999999" customHeight="1">
      <c r="A525" s="8">
        <v>10</v>
      </c>
      <c r="B525" s="9">
        <v>1</v>
      </c>
      <c r="C525" s="9">
        <v>229</v>
      </c>
      <c r="D525" s="9">
        <v>100010229</v>
      </c>
      <c r="E525" s="37" t="s">
        <v>801</v>
      </c>
      <c r="H525" s="9" t="s">
        <v>355</v>
      </c>
      <c r="I525" s="39" t="s">
        <v>773</v>
      </c>
      <c r="J525" s="9">
        <v>390</v>
      </c>
      <c r="K525" s="14">
        <v>3</v>
      </c>
      <c r="L525" s="14">
        <v>10</v>
      </c>
      <c r="M525" s="14" t="str">
        <f t="shared" si="22"/>
        <v>0310</v>
      </c>
      <c r="N525" s="17" t="s">
        <v>801</v>
      </c>
      <c r="P525" s="14" t="str">
        <f t="shared" si="23"/>
        <v>8100000</v>
      </c>
    </row>
    <row r="526" spans="1:16" ht="19.149999999999999" customHeight="1">
      <c r="A526" s="8">
        <v>39</v>
      </c>
      <c r="B526" s="9">
        <v>1</v>
      </c>
      <c r="C526" s="9">
        <v>531</v>
      </c>
      <c r="D526" s="9">
        <v>390010531</v>
      </c>
      <c r="E526" s="37" t="s">
        <v>801</v>
      </c>
      <c r="H526" s="9" t="s">
        <v>356</v>
      </c>
      <c r="I526" s="39" t="s">
        <v>773</v>
      </c>
      <c r="J526" s="9">
        <v>49.5</v>
      </c>
      <c r="K526" s="14">
        <v>3</v>
      </c>
      <c r="L526" s="14">
        <v>10</v>
      </c>
      <c r="M526" s="14" t="str">
        <f t="shared" si="22"/>
        <v>0310</v>
      </c>
      <c r="N526" s="17" t="s">
        <v>801</v>
      </c>
      <c r="P526" s="14" t="str">
        <f t="shared" si="23"/>
        <v>8100000</v>
      </c>
    </row>
    <row r="527" spans="1:16" ht="19.149999999999999" customHeight="1">
      <c r="A527" s="8">
        <v>39</v>
      </c>
      <c r="B527" s="9">
        <v>1</v>
      </c>
      <c r="C527" s="9">
        <v>534</v>
      </c>
      <c r="D527" s="9">
        <v>390010534</v>
      </c>
      <c r="E527" s="37" t="s">
        <v>801</v>
      </c>
      <c r="H527" s="9" t="s">
        <v>357</v>
      </c>
      <c r="I527" s="39" t="s">
        <v>773</v>
      </c>
      <c r="J527" s="9">
        <v>120</v>
      </c>
      <c r="K527" s="14">
        <v>3</v>
      </c>
      <c r="L527" s="14">
        <v>10</v>
      </c>
      <c r="M527" s="14" t="str">
        <f t="shared" si="22"/>
        <v>0310</v>
      </c>
      <c r="N527" s="17" t="s">
        <v>801</v>
      </c>
      <c r="P527" s="14" t="str">
        <f t="shared" si="23"/>
        <v>8100000</v>
      </c>
    </row>
    <row r="528" spans="1:16" ht="19.149999999999999" customHeight="1">
      <c r="A528" s="8">
        <v>30</v>
      </c>
      <c r="B528" s="9">
        <v>1</v>
      </c>
      <c r="C528" s="9">
        <v>71</v>
      </c>
      <c r="D528" s="9">
        <v>300010071</v>
      </c>
      <c r="E528" s="37" t="s">
        <v>801</v>
      </c>
      <c r="H528" s="9" t="s">
        <v>358</v>
      </c>
      <c r="I528" s="39" t="s">
        <v>773</v>
      </c>
      <c r="J528" s="9">
        <v>85</v>
      </c>
      <c r="K528" s="14">
        <v>3</v>
      </c>
      <c r="L528" s="14">
        <v>10</v>
      </c>
      <c r="M528" s="14" t="str">
        <f t="shared" si="22"/>
        <v>0310</v>
      </c>
      <c r="N528" s="17" t="s">
        <v>801</v>
      </c>
      <c r="P528" s="14" t="str">
        <f t="shared" si="23"/>
        <v>8100000</v>
      </c>
    </row>
    <row r="529" spans="1:16" ht="19.149999999999999" customHeight="1">
      <c r="A529" s="8">
        <v>39</v>
      </c>
      <c r="B529" s="9">
        <v>1</v>
      </c>
      <c r="C529" s="9">
        <v>529</v>
      </c>
      <c r="D529" s="9">
        <v>390010529</v>
      </c>
      <c r="E529" s="37" t="s">
        <v>801</v>
      </c>
      <c r="H529" s="9" t="s">
        <v>359</v>
      </c>
      <c r="I529" s="39" t="s">
        <v>773</v>
      </c>
      <c r="J529" s="9">
        <v>10</v>
      </c>
      <c r="K529" s="14">
        <v>3</v>
      </c>
      <c r="L529" s="14">
        <v>10</v>
      </c>
      <c r="M529" s="14" t="str">
        <f t="shared" si="22"/>
        <v>0310</v>
      </c>
      <c r="N529" s="17" t="s">
        <v>801</v>
      </c>
      <c r="P529" s="14" t="str">
        <f t="shared" si="23"/>
        <v>8100000</v>
      </c>
    </row>
    <row r="530" spans="1:16" ht="19.149999999999999" customHeight="1">
      <c r="A530" s="8">
        <v>12</v>
      </c>
      <c r="B530" s="9">
        <v>1</v>
      </c>
      <c r="C530" s="9">
        <v>304</v>
      </c>
      <c r="D530" s="9">
        <v>120010304</v>
      </c>
      <c r="E530" s="37" t="s">
        <v>801</v>
      </c>
      <c r="H530" s="9" t="s">
        <v>98</v>
      </c>
      <c r="I530" s="39" t="s">
        <v>773</v>
      </c>
      <c r="J530" s="9">
        <v>517.65</v>
      </c>
      <c r="K530" s="14">
        <v>3</v>
      </c>
      <c r="L530" s="14">
        <v>3</v>
      </c>
      <c r="M530" s="14" t="str">
        <f t="shared" si="22"/>
        <v>0303</v>
      </c>
      <c r="N530" s="17" t="s">
        <v>801</v>
      </c>
      <c r="P530" s="14" t="str">
        <f t="shared" si="23"/>
        <v>8100000</v>
      </c>
    </row>
    <row r="531" spans="1:16" ht="19.149999999999999" customHeight="1">
      <c r="A531" s="8">
        <v>66</v>
      </c>
      <c r="B531" s="9">
        <v>1</v>
      </c>
      <c r="C531" s="9">
        <v>760</v>
      </c>
      <c r="D531" s="9">
        <v>660010760</v>
      </c>
      <c r="E531" s="37" t="s">
        <v>801</v>
      </c>
      <c r="H531" s="9" t="s">
        <v>365</v>
      </c>
      <c r="I531" s="39" t="s">
        <v>773</v>
      </c>
      <c r="J531" s="9">
        <v>599</v>
      </c>
      <c r="K531" s="14">
        <v>3</v>
      </c>
      <c r="L531" s="14">
        <v>10</v>
      </c>
      <c r="M531" s="14" t="str">
        <f t="shared" si="22"/>
        <v>0310</v>
      </c>
      <c r="N531" s="17" t="s">
        <v>801</v>
      </c>
      <c r="P531" s="14" t="str">
        <f t="shared" si="23"/>
        <v>8100000</v>
      </c>
    </row>
    <row r="532" spans="1:16" ht="19.149999999999999" customHeight="1">
      <c r="A532" s="8">
        <v>12</v>
      </c>
      <c r="B532" s="9">
        <v>1</v>
      </c>
      <c r="C532" s="9">
        <v>314</v>
      </c>
      <c r="D532" s="9">
        <v>120010314</v>
      </c>
      <c r="E532" s="41">
        <v>81</v>
      </c>
      <c r="F532" s="41"/>
      <c r="G532" s="41"/>
      <c r="H532" s="9" t="s">
        <v>574</v>
      </c>
      <c r="I532" s="39" t="s">
        <v>773</v>
      </c>
      <c r="J532" s="9">
        <v>112</v>
      </c>
      <c r="K532" s="14">
        <v>5</v>
      </c>
      <c r="L532" s="14">
        <v>1</v>
      </c>
      <c r="M532" s="14" t="str">
        <f t="shared" si="22"/>
        <v>0501</v>
      </c>
      <c r="N532" s="19">
        <v>81</v>
      </c>
      <c r="O532" s="19"/>
      <c r="P532" s="14" t="str">
        <f t="shared" si="23"/>
        <v>8100000</v>
      </c>
    </row>
    <row r="533" spans="1:16" ht="19.149999999999999" customHeight="1">
      <c r="A533" s="8">
        <v>12</v>
      </c>
      <c r="B533" s="9">
        <v>1</v>
      </c>
      <c r="C533" s="9">
        <v>317</v>
      </c>
      <c r="D533" s="9">
        <v>120010317</v>
      </c>
      <c r="E533" s="41" t="s">
        <v>825</v>
      </c>
      <c r="F533" s="41"/>
      <c r="G533" s="41"/>
      <c r="H533" s="9" t="s">
        <v>619</v>
      </c>
      <c r="I533" s="39" t="s">
        <v>773</v>
      </c>
      <c r="J533" s="9">
        <v>155</v>
      </c>
      <c r="K533" s="14">
        <v>7</v>
      </c>
      <c r="L533" s="14">
        <v>3</v>
      </c>
      <c r="M533" s="14" t="str">
        <f t="shared" si="22"/>
        <v>0703</v>
      </c>
      <c r="N533" s="19" t="s">
        <v>825</v>
      </c>
      <c r="O533" s="19"/>
      <c r="P533" s="14" t="str">
        <f t="shared" si="23"/>
        <v>8300000</v>
      </c>
    </row>
    <row r="534" spans="1:16" ht="19.149999999999999" customHeight="1">
      <c r="A534" s="8">
        <v>39</v>
      </c>
      <c r="B534" s="9">
        <v>1</v>
      </c>
      <c r="C534" s="9">
        <v>526</v>
      </c>
      <c r="D534" s="9">
        <v>390010526</v>
      </c>
      <c r="E534" s="41">
        <v>83</v>
      </c>
      <c r="F534" s="41"/>
      <c r="G534" s="41"/>
      <c r="H534" s="9" t="s">
        <v>699</v>
      </c>
      <c r="I534" s="39" t="s">
        <v>773</v>
      </c>
      <c r="J534" s="9">
        <v>25</v>
      </c>
      <c r="K534" s="14"/>
      <c r="L534" s="14"/>
      <c r="M534" s="14" t="str">
        <f t="shared" si="22"/>
        <v>0000</v>
      </c>
      <c r="N534" s="19">
        <v>83</v>
      </c>
      <c r="O534" s="19"/>
      <c r="P534" s="14" t="str">
        <f t="shared" si="23"/>
        <v>8300000</v>
      </c>
    </row>
    <row r="535" spans="1:16" ht="19.149999999999999" customHeight="1">
      <c r="A535" s="8">
        <v>30</v>
      </c>
      <c r="B535" s="9">
        <v>1</v>
      </c>
      <c r="C535" s="9">
        <v>24</v>
      </c>
      <c r="D535" s="9">
        <v>300010024</v>
      </c>
      <c r="E535" s="41" t="s">
        <v>825</v>
      </c>
      <c r="F535" s="41"/>
      <c r="G535" s="41"/>
      <c r="H535" s="9" t="s">
        <v>622</v>
      </c>
      <c r="I535" s="39" t="s">
        <v>773</v>
      </c>
      <c r="J535" s="9">
        <v>209</v>
      </c>
      <c r="K535" s="14">
        <v>7</v>
      </c>
      <c r="L535" s="14">
        <v>3</v>
      </c>
      <c r="M535" s="14" t="str">
        <f t="shared" si="22"/>
        <v>0703</v>
      </c>
      <c r="N535" s="19" t="s">
        <v>825</v>
      </c>
      <c r="O535" s="19"/>
      <c r="P535" s="14" t="str">
        <f t="shared" si="23"/>
        <v>8300000</v>
      </c>
    </row>
    <row r="536" spans="1:16" ht="19.149999999999999" customHeight="1">
      <c r="A536" s="8">
        <v>30</v>
      </c>
      <c r="B536" s="9">
        <v>1</v>
      </c>
      <c r="C536" s="9">
        <v>63</v>
      </c>
      <c r="D536" s="9">
        <v>300010063</v>
      </c>
      <c r="E536" s="41" t="s">
        <v>825</v>
      </c>
      <c r="F536" s="41"/>
      <c r="G536" s="41"/>
      <c r="H536" s="9" t="s">
        <v>623</v>
      </c>
      <c r="I536" s="39" t="s">
        <v>773</v>
      </c>
      <c r="J536" s="9">
        <v>54.3</v>
      </c>
      <c r="K536" s="14">
        <v>7</v>
      </c>
      <c r="L536" s="14">
        <v>3</v>
      </c>
      <c r="M536" s="14" t="str">
        <f t="shared" si="22"/>
        <v>0703</v>
      </c>
      <c r="N536" s="19" t="s">
        <v>825</v>
      </c>
      <c r="O536" s="19"/>
      <c r="P536" s="14" t="str">
        <f t="shared" si="23"/>
        <v>8300000</v>
      </c>
    </row>
    <row r="537" spans="1:16" ht="19.149999999999999" customHeight="1">
      <c r="A537" s="8">
        <v>30</v>
      </c>
      <c r="B537" s="9">
        <v>1</v>
      </c>
      <c r="C537" s="9">
        <v>15</v>
      </c>
      <c r="D537" s="9">
        <v>300010015</v>
      </c>
      <c r="E537" s="41" t="s">
        <v>825</v>
      </c>
      <c r="F537" s="41"/>
      <c r="G537" s="41"/>
      <c r="H537" s="9" t="s">
        <v>624</v>
      </c>
      <c r="I537" s="39" t="s">
        <v>773</v>
      </c>
      <c r="J537" s="9">
        <v>0.22</v>
      </c>
      <c r="K537" s="14">
        <v>7</v>
      </c>
      <c r="L537" s="14">
        <v>3</v>
      </c>
      <c r="M537" s="14" t="str">
        <f t="shared" si="22"/>
        <v>0703</v>
      </c>
      <c r="N537" s="19" t="s">
        <v>825</v>
      </c>
      <c r="O537" s="19"/>
      <c r="P537" s="14" t="str">
        <f t="shared" si="23"/>
        <v>8300000</v>
      </c>
    </row>
    <row r="538" spans="1:16" ht="19.149999999999999" customHeight="1">
      <c r="A538" s="8">
        <v>30</v>
      </c>
      <c r="B538" s="9">
        <v>1</v>
      </c>
      <c r="C538" s="9">
        <v>35</v>
      </c>
      <c r="D538" s="9">
        <v>300010035</v>
      </c>
      <c r="E538" s="41" t="s">
        <v>825</v>
      </c>
      <c r="F538" s="41"/>
      <c r="G538" s="41"/>
      <c r="H538" s="9" t="s">
        <v>625</v>
      </c>
      <c r="I538" s="39" t="s">
        <v>773</v>
      </c>
      <c r="J538" s="9">
        <v>0.26</v>
      </c>
      <c r="K538" s="14">
        <v>7</v>
      </c>
      <c r="L538" s="14">
        <v>3</v>
      </c>
      <c r="M538" s="14" t="str">
        <f t="shared" si="22"/>
        <v>0703</v>
      </c>
      <c r="N538" s="19" t="s">
        <v>825</v>
      </c>
      <c r="O538" s="19"/>
      <c r="P538" s="14" t="str">
        <f t="shared" si="23"/>
        <v>8300000</v>
      </c>
    </row>
    <row r="539" spans="1:16" ht="19.149999999999999" customHeight="1">
      <c r="A539" s="8">
        <v>30</v>
      </c>
      <c r="B539" s="9">
        <v>1</v>
      </c>
      <c r="C539" s="9">
        <v>36</v>
      </c>
      <c r="D539" s="9">
        <v>300010036</v>
      </c>
      <c r="E539" s="41" t="s">
        <v>825</v>
      </c>
      <c r="F539" s="41"/>
      <c r="G539" s="41"/>
      <c r="H539" s="9" t="s">
        <v>626</v>
      </c>
      <c r="I539" s="39" t="s">
        <v>773</v>
      </c>
      <c r="J539" s="9">
        <v>105</v>
      </c>
      <c r="K539" s="14">
        <v>7</v>
      </c>
      <c r="L539" s="14">
        <v>3</v>
      </c>
      <c r="M539" s="14" t="str">
        <f t="shared" si="22"/>
        <v>0703</v>
      </c>
      <c r="N539" s="19" t="s">
        <v>825</v>
      </c>
      <c r="O539" s="19"/>
      <c r="P539" s="14" t="str">
        <f t="shared" si="23"/>
        <v>8300000</v>
      </c>
    </row>
    <row r="540" spans="1:16" ht="19.149999999999999" customHeight="1">
      <c r="A540" s="8">
        <v>30</v>
      </c>
      <c r="B540" s="9">
        <v>1</v>
      </c>
      <c r="C540" s="9">
        <v>17</v>
      </c>
      <c r="D540" s="9">
        <v>300010017</v>
      </c>
      <c r="E540" s="41" t="s">
        <v>825</v>
      </c>
      <c r="F540" s="41"/>
      <c r="G540" s="41"/>
      <c r="H540" s="9" t="s">
        <v>627</v>
      </c>
      <c r="I540" s="39" t="s">
        <v>773</v>
      </c>
      <c r="J540" s="9">
        <v>69.7</v>
      </c>
      <c r="K540" s="14">
        <v>7</v>
      </c>
      <c r="L540" s="14">
        <v>3</v>
      </c>
      <c r="M540" s="14" t="str">
        <f t="shared" si="22"/>
        <v>0703</v>
      </c>
      <c r="N540" s="19" t="s">
        <v>825</v>
      </c>
      <c r="O540" s="19"/>
      <c r="P540" s="14" t="str">
        <f t="shared" si="23"/>
        <v>8300000</v>
      </c>
    </row>
    <row r="541" spans="1:16" ht="19.149999999999999" customHeight="1">
      <c r="A541" s="8">
        <v>30</v>
      </c>
      <c r="B541" s="9">
        <v>1</v>
      </c>
      <c r="C541" s="9">
        <v>23</v>
      </c>
      <c r="D541" s="9">
        <v>300010023</v>
      </c>
      <c r="E541" s="41" t="s">
        <v>825</v>
      </c>
      <c r="F541" s="41"/>
      <c r="G541" s="41"/>
      <c r="H541" s="9" t="s">
        <v>628</v>
      </c>
      <c r="I541" s="39" t="s">
        <v>773</v>
      </c>
      <c r="J541" s="9">
        <v>69.900000000000006</v>
      </c>
      <c r="K541" s="14">
        <v>7</v>
      </c>
      <c r="L541" s="14">
        <v>3</v>
      </c>
      <c r="M541" s="14" t="str">
        <f t="shared" si="22"/>
        <v>0703</v>
      </c>
      <c r="N541" s="19" t="s">
        <v>825</v>
      </c>
      <c r="O541" s="19"/>
      <c r="P541" s="14" t="str">
        <f t="shared" si="23"/>
        <v>8300000</v>
      </c>
    </row>
    <row r="542" spans="1:16" ht="19.149999999999999" customHeight="1">
      <c r="A542" s="8">
        <v>30</v>
      </c>
      <c r="B542" s="9">
        <v>1</v>
      </c>
      <c r="C542" s="9">
        <v>18</v>
      </c>
      <c r="D542" s="9">
        <v>300010018</v>
      </c>
      <c r="E542" s="41">
        <v>83</v>
      </c>
      <c r="F542" s="41"/>
      <c r="G542" s="41"/>
      <c r="H542" s="9" t="s">
        <v>631</v>
      </c>
      <c r="I542" s="39" t="s">
        <v>779</v>
      </c>
      <c r="J542" s="9">
        <v>25</v>
      </c>
      <c r="K542" s="14">
        <v>7</v>
      </c>
      <c r="L542" s="14">
        <v>3</v>
      </c>
      <c r="M542" s="14" t="str">
        <f t="shared" si="22"/>
        <v>0703</v>
      </c>
      <c r="N542" s="19">
        <v>83</v>
      </c>
      <c r="O542" s="19"/>
      <c r="P542" s="14" t="str">
        <f t="shared" si="23"/>
        <v>8300000</v>
      </c>
    </row>
    <row r="543" spans="1:16" ht="19.149999999999999" customHeight="1">
      <c r="A543" s="8">
        <v>30</v>
      </c>
      <c r="B543" s="9">
        <v>1</v>
      </c>
      <c r="C543" s="9">
        <v>37</v>
      </c>
      <c r="D543" s="9">
        <v>300010037</v>
      </c>
      <c r="E543" s="41">
        <v>83</v>
      </c>
      <c r="F543" s="41"/>
      <c r="G543" s="41"/>
      <c r="H543" s="9" t="s">
        <v>631</v>
      </c>
      <c r="I543" s="39" t="s">
        <v>773</v>
      </c>
      <c r="J543" s="9">
        <v>25</v>
      </c>
      <c r="K543" s="14">
        <v>7</v>
      </c>
      <c r="L543" s="14">
        <v>3</v>
      </c>
      <c r="M543" s="14" t="str">
        <f t="shared" si="22"/>
        <v>0703</v>
      </c>
      <c r="N543" s="19">
        <v>83</v>
      </c>
      <c r="O543" s="19"/>
      <c r="P543" s="14" t="str">
        <f t="shared" si="23"/>
        <v>8300000</v>
      </c>
    </row>
    <row r="544" spans="1:16" ht="19.149999999999999" customHeight="1">
      <c r="A544" s="8">
        <v>39</v>
      </c>
      <c r="B544" s="9">
        <v>1</v>
      </c>
      <c r="C544" s="9">
        <v>17</v>
      </c>
      <c r="D544" s="9">
        <v>390010017</v>
      </c>
      <c r="E544" s="41">
        <v>83</v>
      </c>
      <c r="F544" s="41"/>
      <c r="G544" s="41"/>
      <c r="H544" s="9" t="s">
        <v>635</v>
      </c>
      <c r="I544" s="39" t="s">
        <v>779</v>
      </c>
      <c r="J544" s="9">
        <v>25</v>
      </c>
      <c r="K544" s="14">
        <v>7</v>
      </c>
      <c r="L544" s="14">
        <v>3</v>
      </c>
      <c r="M544" s="14" t="str">
        <f t="shared" si="22"/>
        <v>0703</v>
      </c>
      <c r="N544" s="19">
        <v>83</v>
      </c>
      <c r="O544" s="19"/>
      <c r="P544" s="14" t="str">
        <f t="shared" si="23"/>
        <v>8300000</v>
      </c>
    </row>
    <row r="545" spans="1:16" ht="19.149999999999999" customHeight="1">
      <c r="A545" s="8">
        <v>30</v>
      </c>
      <c r="B545" s="9">
        <v>1</v>
      </c>
      <c r="C545" s="9">
        <v>34</v>
      </c>
      <c r="D545" s="9">
        <v>300010034</v>
      </c>
      <c r="E545" s="41" t="s">
        <v>825</v>
      </c>
      <c r="F545" s="41"/>
      <c r="G545" s="41"/>
      <c r="H545" s="9" t="s">
        <v>639</v>
      </c>
      <c r="I545" s="39" t="s">
        <v>773</v>
      </c>
      <c r="J545" s="9">
        <v>42.9</v>
      </c>
      <c r="K545" s="14">
        <v>7</v>
      </c>
      <c r="L545" s="14">
        <v>3</v>
      </c>
      <c r="M545" s="14" t="str">
        <f t="shared" si="22"/>
        <v>0703</v>
      </c>
      <c r="N545" s="19" t="s">
        <v>825</v>
      </c>
      <c r="O545" s="19"/>
      <c r="P545" s="14" t="str">
        <f t="shared" si="23"/>
        <v>8300000</v>
      </c>
    </row>
    <row r="546" spans="1:16" ht="19.149999999999999" customHeight="1">
      <c r="A546" s="8">
        <v>30</v>
      </c>
      <c r="B546" s="9">
        <v>1</v>
      </c>
      <c r="C546" s="9">
        <v>31</v>
      </c>
      <c r="D546" s="9">
        <v>300010031</v>
      </c>
      <c r="E546" s="41" t="s">
        <v>825</v>
      </c>
      <c r="F546" s="41"/>
      <c r="G546" s="41"/>
      <c r="H546" s="9" t="s">
        <v>640</v>
      </c>
      <c r="I546" s="39" t="s">
        <v>773</v>
      </c>
      <c r="J546" s="9">
        <v>14.9</v>
      </c>
      <c r="K546" s="14">
        <v>7</v>
      </c>
      <c r="L546" s="14">
        <v>3</v>
      </c>
      <c r="M546" s="14" t="str">
        <f t="shared" si="22"/>
        <v>0703</v>
      </c>
      <c r="N546" s="19" t="s">
        <v>825</v>
      </c>
      <c r="O546" s="19"/>
      <c r="P546" s="14" t="str">
        <f t="shared" si="23"/>
        <v>8300000</v>
      </c>
    </row>
    <row r="547" spans="1:16" ht="19.149999999999999" customHeight="1">
      <c r="A547" s="8">
        <v>30</v>
      </c>
      <c r="B547" s="9">
        <v>1</v>
      </c>
      <c r="C547" s="9">
        <v>22</v>
      </c>
      <c r="D547" s="9">
        <v>300010022</v>
      </c>
      <c r="E547" s="41">
        <v>83</v>
      </c>
      <c r="F547" s="41"/>
      <c r="G547" s="41"/>
      <c r="H547" s="9" t="s">
        <v>711</v>
      </c>
      <c r="I547" s="39" t="s">
        <v>773</v>
      </c>
      <c r="J547" s="9">
        <v>50</v>
      </c>
      <c r="K547" s="14"/>
      <c r="L547" s="14"/>
      <c r="M547" s="14" t="str">
        <f t="shared" si="22"/>
        <v>0000</v>
      </c>
      <c r="N547" s="19">
        <v>83</v>
      </c>
      <c r="O547" s="19"/>
      <c r="P547" s="14" t="str">
        <f t="shared" si="23"/>
        <v>8300000</v>
      </c>
    </row>
    <row r="548" spans="1:16" ht="19.149999999999999" customHeight="1">
      <c r="A548" s="8">
        <v>30</v>
      </c>
      <c r="B548" s="9">
        <v>1</v>
      </c>
      <c r="C548" s="9">
        <v>65</v>
      </c>
      <c r="D548" s="9">
        <v>300010065</v>
      </c>
      <c r="E548" s="41" t="s">
        <v>825</v>
      </c>
      <c r="F548" s="41"/>
      <c r="G548" s="41"/>
      <c r="H548" s="9" t="s">
        <v>644</v>
      </c>
      <c r="I548" s="39" t="s">
        <v>773</v>
      </c>
      <c r="J548" s="9">
        <v>59.9</v>
      </c>
      <c r="K548" s="14">
        <v>7</v>
      </c>
      <c r="L548" s="14">
        <v>3</v>
      </c>
      <c r="M548" s="14" t="str">
        <f t="shared" si="22"/>
        <v>0703</v>
      </c>
      <c r="N548" s="19" t="s">
        <v>825</v>
      </c>
      <c r="O548" s="19"/>
      <c r="P548" s="14" t="str">
        <f t="shared" si="23"/>
        <v>8300000</v>
      </c>
    </row>
    <row r="549" spans="1:16" ht="19.149999999999999" customHeight="1">
      <c r="A549" s="8">
        <v>30</v>
      </c>
      <c r="B549" s="9">
        <v>1</v>
      </c>
      <c r="C549" s="9">
        <v>512</v>
      </c>
      <c r="D549" s="9">
        <v>300010512</v>
      </c>
      <c r="E549" s="41">
        <v>83</v>
      </c>
      <c r="F549" s="41"/>
      <c r="G549" s="41"/>
      <c r="H549" s="9" t="s">
        <v>721</v>
      </c>
      <c r="I549" s="39" t="s">
        <v>773</v>
      </c>
      <c r="J549" s="9">
        <v>1.5</v>
      </c>
      <c r="K549" s="14"/>
      <c r="L549" s="14"/>
      <c r="M549" s="14" t="str">
        <f t="shared" si="22"/>
        <v>0000</v>
      </c>
      <c r="N549" s="19">
        <v>83</v>
      </c>
      <c r="O549" s="19"/>
      <c r="P549" s="14" t="str">
        <f t="shared" si="23"/>
        <v>8300000</v>
      </c>
    </row>
    <row r="550" spans="1:16" ht="19.149999999999999" customHeight="1">
      <c r="A550" s="8">
        <v>30</v>
      </c>
      <c r="B550" s="9">
        <v>1</v>
      </c>
      <c r="C550" s="9">
        <v>513</v>
      </c>
      <c r="D550" s="9">
        <v>300010513</v>
      </c>
      <c r="E550" s="41">
        <v>83</v>
      </c>
      <c r="F550" s="41"/>
      <c r="G550" s="41"/>
      <c r="H550" s="9" t="s">
        <v>722</v>
      </c>
      <c r="I550" s="39" t="s">
        <v>773</v>
      </c>
      <c r="J550" s="9">
        <v>4.8</v>
      </c>
      <c r="K550" s="14"/>
      <c r="L550" s="14"/>
      <c r="M550" s="14" t="str">
        <f t="shared" si="22"/>
        <v>0000</v>
      </c>
      <c r="N550" s="19">
        <v>83</v>
      </c>
      <c r="O550" s="19"/>
      <c r="P550" s="14" t="str">
        <f t="shared" si="23"/>
        <v>8300000</v>
      </c>
    </row>
    <row r="551" spans="1:16" ht="19.149999999999999" customHeight="1">
      <c r="A551" s="8">
        <v>30</v>
      </c>
      <c r="B551" s="9">
        <v>1</v>
      </c>
      <c r="C551" s="9">
        <v>514</v>
      </c>
      <c r="D551" s="9">
        <v>300010514</v>
      </c>
      <c r="E551" s="41">
        <v>83</v>
      </c>
      <c r="F551" s="41"/>
      <c r="G551" s="41"/>
      <c r="H551" s="9" t="s">
        <v>723</v>
      </c>
      <c r="I551" s="39" t="s">
        <v>773</v>
      </c>
      <c r="J551" s="9">
        <v>6.5</v>
      </c>
      <c r="K551" s="14"/>
      <c r="L551" s="14"/>
      <c r="M551" s="14" t="str">
        <f t="shared" si="22"/>
        <v>0000</v>
      </c>
      <c r="N551" s="19">
        <v>83</v>
      </c>
      <c r="O551" s="19"/>
      <c r="P551" s="14" t="str">
        <f t="shared" si="23"/>
        <v>8300000</v>
      </c>
    </row>
    <row r="552" spans="1:16" ht="19.149999999999999" customHeight="1">
      <c r="A552" s="8">
        <v>30</v>
      </c>
      <c r="B552" s="9">
        <v>1</v>
      </c>
      <c r="C552" s="9">
        <v>19</v>
      </c>
      <c r="D552" s="9">
        <v>300010019</v>
      </c>
      <c r="E552" s="41">
        <v>83</v>
      </c>
      <c r="F552" s="41"/>
      <c r="G552" s="41"/>
      <c r="H552" s="9" t="s">
        <v>724</v>
      </c>
      <c r="I552" s="39" t="s">
        <v>773</v>
      </c>
      <c r="J552" s="9">
        <v>10.4</v>
      </c>
      <c r="K552" s="14"/>
      <c r="L552" s="14"/>
      <c r="M552" s="14" t="str">
        <f t="shared" si="22"/>
        <v>0000</v>
      </c>
      <c r="N552" s="19">
        <v>83</v>
      </c>
      <c r="O552" s="19"/>
      <c r="P552" s="14" t="str">
        <f t="shared" si="23"/>
        <v>8300000</v>
      </c>
    </row>
    <row r="553" spans="1:16" ht="19.149999999999999" customHeight="1">
      <c r="A553" s="8">
        <v>30</v>
      </c>
      <c r="B553" s="9">
        <v>1</v>
      </c>
      <c r="C553" s="9">
        <v>45</v>
      </c>
      <c r="D553" s="9">
        <v>300010045</v>
      </c>
      <c r="E553" s="41">
        <v>83</v>
      </c>
      <c r="F553" s="41"/>
      <c r="G553" s="41"/>
      <c r="H553" s="9" t="s">
        <v>725</v>
      </c>
      <c r="I553" s="39" t="s">
        <v>773</v>
      </c>
      <c r="J553" s="9">
        <v>56</v>
      </c>
      <c r="K553" s="14"/>
      <c r="L553" s="14"/>
      <c r="M553" s="14" t="str">
        <f t="shared" si="22"/>
        <v>0000</v>
      </c>
      <c r="N553" s="19">
        <v>83</v>
      </c>
      <c r="O553" s="19"/>
      <c r="P553" s="14" t="str">
        <f t="shared" si="23"/>
        <v>8300000</v>
      </c>
    </row>
    <row r="554" spans="1:16" ht="19.149999999999999" customHeight="1">
      <c r="A554" s="8">
        <v>30</v>
      </c>
      <c r="B554" s="9">
        <v>1</v>
      </c>
      <c r="C554" s="9">
        <v>21</v>
      </c>
      <c r="D554" s="9">
        <v>300010021</v>
      </c>
      <c r="E554" s="41" t="s">
        <v>825</v>
      </c>
      <c r="F554" s="41"/>
      <c r="G554" s="41"/>
      <c r="H554" s="9" t="s">
        <v>646</v>
      </c>
      <c r="I554" s="39" t="s">
        <v>773</v>
      </c>
      <c r="J554" s="9">
        <v>14.5</v>
      </c>
      <c r="K554" s="14">
        <v>7</v>
      </c>
      <c r="L554" s="14">
        <v>3</v>
      </c>
      <c r="M554" s="14" t="str">
        <f t="shared" ref="M554:M617" si="24">TEXT(K554,"00")&amp;TEXT(L554,"00")</f>
        <v>0703</v>
      </c>
      <c r="N554" s="19" t="s">
        <v>825</v>
      </c>
      <c r="O554" s="19"/>
      <c r="P554" s="14" t="str">
        <f t="shared" ref="P554:P617" si="25">TEXT(E554,"00")&amp;TEXT(F554,"00")&amp;TEXT(G554,"000")</f>
        <v>8300000</v>
      </c>
    </row>
    <row r="555" spans="1:16" ht="19.149999999999999" customHeight="1">
      <c r="A555" s="8">
        <v>30</v>
      </c>
      <c r="B555" s="9">
        <v>1</v>
      </c>
      <c r="C555" s="9">
        <v>33</v>
      </c>
      <c r="D555" s="9">
        <v>300010033</v>
      </c>
      <c r="E555" s="41" t="s">
        <v>825</v>
      </c>
      <c r="F555" s="41"/>
      <c r="G555" s="41"/>
      <c r="H555" s="9" t="s">
        <v>647</v>
      </c>
      <c r="I555" s="39" t="s">
        <v>773</v>
      </c>
      <c r="J555" s="9">
        <v>14.5</v>
      </c>
      <c r="K555" s="14">
        <v>7</v>
      </c>
      <c r="L555" s="14">
        <v>3</v>
      </c>
      <c r="M555" s="14" t="str">
        <f t="shared" si="24"/>
        <v>0703</v>
      </c>
      <c r="N555" s="19" t="s">
        <v>825</v>
      </c>
      <c r="O555" s="19"/>
      <c r="P555" s="14" t="str">
        <f t="shared" si="25"/>
        <v>8300000</v>
      </c>
    </row>
    <row r="556" spans="1:16" ht="19.149999999999999" customHeight="1">
      <c r="A556" s="8">
        <v>30</v>
      </c>
      <c r="B556" s="9">
        <v>1</v>
      </c>
      <c r="C556" s="9">
        <v>67</v>
      </c>
      <c r="D556" s="9">
        <v>300010067</v>
      </c>
      <c r="E556" s="41" t="s">
        <v>825</v>
      </c>
      <c r="F556" s="41"/>
      <c r="G556" s="41"/>
      <c r="H556" s="9" t="s">
        <v>648</v>
      </c>
      <c r="I556" s="39" t="s">
        <v>773</v>
      </c>
      <c r="J556" s="9">
        <v>14.5</v>
      </c>
      <c r="K556" s="14">
        <v>7</v>
      </c>
      <c r="L556" s="14">
        <v>3</v>
      </c>
      <c r="M556" s="14" t="str">
        <f t="shared" si="24"/>
        <v>0703</v>
      </c>
      <c r="N556" s="19" t="s">
        <v>825</v>
      </c>
      <c r="O556" s="19"/>
      <c r="P556" s="14" t="str">
        <f t="shared" si="25"/>
        <v>8300000</v>
      </c>
    </row>
    <row r="557" spans="1:16" ht="19.149999999999999" customHeight="1">
      <c r="A557" s="8">
        <v>39</v>
      </c>
      <c r="B557" s="9">
        <v>1</v>
      </c>
      <c r="C557" s="9">
        <v>18</v>
      </c>
      <c r="D557" s="9">
        <v>390010018</v>
      </c>
      <c r="E557" s="41" t="s">
        <v>825</v>
      </c>
      <c r="F557" s="41"/>
      <c r="G557" s="41"/>
      <c r="H557" s="9" t="s">
        <v>649</v>
      </c>
      <c r="I557" s="39" t="s">
        <v>773</v>
      </c>
      <c r="J557" s="9">
        <v>3.9</v>
      </c>
      <c r="K557" s="14">
        <v>7</v>
      </c>
      <c r="L557" s="14">
        <v>3</v>
      </c>
      <c r="M557" s="14" t="str">
        <f t="shared" si="24"/>
        <v>0703</v>
      </c>
      <c r="N557" s="19" t="s">
        <v>825</v>
      </c>
      <c r="O557" s="19"/>
      <c r="P557" s="14" t="str">
        <f t="shared" si="25"/>
        <v>8300000</v>
      </c>
    </row>
    <row r="558" spans="1:16" ht="19.149999999999999" customHeight="1">
      <c r="A558" s="8">
        <v>30</v>
      </c>
      <c r="B558" s="9">
        <v>1</v>
      </c>
      <c r="C558" s="9">
        <v>14</v>
      </c>
      <c r="D558" s="9">
        <v>300010014</v>
      </c>
      <c r="E558" s="41" t="s">
        <v>825</v>
      </c>
      <c r="F558" s="41"/>
      <c r="G558" s="41"/>
      <c r="H558" s="9" t="s">
        <v>651</v>
      </c>
      <c r="I558" s="39" t="s">
        <v>773</v>
      </c>
      <c r="J558" s="9">
        <v>860</v>
      </c>
      <c r="K558" s="14">
        <v>7</v>
      </c>
      <c r="L558" s="14">
        <v>3</v>
      </c>
      <c r="M558" s="14" t="str">
        <f t="shared" si="24"/>
        <v>0703</v>
      </c>
      <c r="N558" s="19" t="s">
        <v>825</v>
      </c>
      <c r="O558" s="19"/>
      <c r="P558" s="14" t="str">
        <f t="shared" si="25"/>
        <v>8300000</v>
      </c>
    </row>
    <row r="559" spans="1:16" ht="19.149999999999999" customHeight="1">
      <c r="A559" s="8">
        <v>30</v>
      </c>
      <c r="B559" s="9">
        <v>1</v>
      </c>
      <c r="C559" s="9">
        <v>50</v>
      </c>
      <c r="D559" s="9">
        <v>300010050</v>
      </c>
      <c r="E559" s="41" t="s">
        <v>825</v>
      </c>
      <c r="F559" s="41"/>
      <c r="G559" s="41"/>
      <c r="H559" s="9" t="s">
        <v>652</v>
      </c>
      <c r="I559" s="39" t="s">
        <v>773</v>
      </c>
      <c r="J559" s="9">
        <v>35</v>
      </c>
      <c r="K559" s="14">
        <v>7</v>
      </c>
      <c r="L559" s="14">
        <v>3</v>
      </c>
      <c r="M559" s="14" t="str">
        <f t="shared" si="24"/>
        <v>0703</v>
      </c>
      <c r="N559" s="19" t="s">
        <v>825</v>
      </c>
      <c r="O559" s="19"/>
      <c r="P559" s="14" t="str">
        <f t="shared" si="25"/>
        <v>8300000</v>
      </c>
    </row>
    <row r="560" spans="1:16" ht="19.149999999999999" customHeight="1">
      <c r="A560" s="8">
        <v>30</v>
      </c>
      <c r="B560" s="9">
        <v>1</v>
      </c>
      <c r="C560" s="9">
        <v>46</v>
      </c>
      <c r="D560" s="9">
        <v>300010046</v>
      </c>
      <c r="E560" s="41" t="s">
        <v>825</v>
      </c>
      <c r="F560" s="41"/>
      <c r="G560" s="41"/>
      <c r="H560" s="9" t="s">
        <v>653</v>
      </c>
      <c r="I560" s="39" t="s">
        <v>779</v>
      </c>
      <c r="J560" s="9">
        <v>69.900000000000006</v>
      </c>
      <c r="K560" s="14">
        <v>7</v>
      </c>
      <c r="L560" s="14">
        <v>3</v>
      </c>
      <c r="M560" s="14" t="str">
        <f t="shared" si="24"/>
        <v>0703</v>
      </c>
      <c r="N560" s="19" t="s">
        <v>825</v>
      </c>
      <c r="O560" s="19"/>
      <c r="P560" s="14" t="str">
        <f t="shared" si="25"/>
        <v>8300000</v>
      </c>
    </row>
    <row r="561" spans="1:16" ht="19.149999999999999" customHeight="1">
      <c r="A561" s="8">
        <v>30</v>
      </c>
      <c r="B561" s="9">
        <v>1</v>
      </c>
      <c r="C561" s="9">
        <v>59</v>
      </c>
      <c r="D561" s="9">
        <v>300010059</v>
      </c>
      <c r="E561" s="41">
        <v>83</v>
      </c>
      <c r="F561" s="41"/>
      <c r="G561" s="41"/>
      <c r="H561" s="9" t="s">
        <v>686</v>
      </c>
      <c r="I561" s="39" t="s">
        <v>773</v>
      </c>
      <c r="J561" s="9">
        <v>520</v>
      </c>
      <c r="K561" s="14">
        <v>7</v>
      </c>
      <c r="L561" s="14">
        <v>3</v>
      </c>
      <c r="M561" s="14" t="str">
        <f t="shared" si="24"/>
        <v>0703</v>
      </c>
      <c r="N561" s="19">
        <v>83</v>
      </c>
      <c r="O561" s="19"/>
      <c r="P561" s="14" t="str">
        <f t="shared" si="25"/>
        <v>8300000</v>
      </c>
    </row>
    <row r="562" spans="1:16" ht="19.149999999999999" customHeight="1">
      <c r="A562" s="8">
        <v>30</v>
      </c>
      <c r="B562" s="9">
        <v>1</v>
      </c>
      <c r="C562" s="9">
        <v>16</v>
      </c>
      <c r="D562" s="9">
        <v>300010016</v>
      </c>
      <c r="E562" s="41" t="s">
        <v>825</v>
      </c>
      <c r="F562" s="41"/>
      <c r="G562" s="41"/>
      <c r="H562" s="9" t="s">
        <v>654</v>
      </c>
      <c r="I562" s="39" t="s">
        <v>773</v>
      </c>
      <c r="J562" s="9">
        <v>270</v>
      </c>
      <c r="K562" s="14">
        <v>7</v>
      </c>
      <c r="L562" s="14">
        <v>3</v>
      </c>
      <c r="M562" s="14" t="str">
        <f t="shared" si="24"/>
        <v>0703</v>
      </c>
      <c r="N562" s="19" t="s">
        <v>825</v>
      </c>
      <c r="O562" s="19"/>
      <c r="P562" s="14" t="str">
        <f t="shared" si="25"/>
        <v>8300000</v>
      </c>
    </row>
    <row r="563" spans="1:16" ht="19.149999999999999" customHeight="1">
      <c r="A563" s="8">
        <v>30</v>
      </c>
      <c r="B563" s="9">
        <v>1</v>
      </c>
      <c r="C563" s="9">
        <v>25</v>
      </c>
      <c r="D563" s="9">
        <v>300010025</v>
      </c>
      <c r="E563" s="41">
        <v>83</v>
      </c>
      <c r="F563" s="41"/>
      <c r="G563" s="41"/>
      <c r="H563" s="9" t="s">
        <v>738</v>
      </c>
      <c r="I563" s="39" t="s">
        <v>773</v>
      </c>
      <c r="J563" s="9">
        <v>0.24</v>
      </c>
      <c r="K563" s="14"/>
      <c r="L563" s="14"/>
      <c r="M563" s="14" t="str">
        <f t="shared" si="24"/>
        <v>0000</v>
      </c>
      <c r="N563" s="19">
        <v>83</v>
      </c>
      <c r="O563" s="19"/>
      <c r="P563" s="14" t="str">
        <f t="shared" si="25"/>
        <v>8300000</v>
      </c>
    </row>
    <row r="564" spans="1:16" ht="19.149999999999999" customHeight="1">
      <c r="A564" s="8">
        <v>30</v>
      </c>
      <c r="B564" s="9">
        <v>1</v>
      </c>
      <c r="C564" s="9">
        <v>27</v>
      </c>
      <c r="D564" s="9">
        <v>300010027</v>
      </c>
      <c r="E564" s="41" t="s">
        <v>825</v>
      </c>
      <c r="F564" s="41"/>
      <c r="G564" s="41"/>
      <c r="H564" s="9" t="s">
        <v>655</v>
      </c>
      <c r="I564" s="39" t="s">
        <v>773</v>
      </c>
      <c r="J564" s="9">
        <v>49.9</v>
      </c>
      <c r="K564" s="14">
        <v>7</v>
      </c>
      <c r="L564" s="14">
        <v>3</v>
      </c>
      <c r="M564" s="14" t="str">
        <f t="shared" si="24"/>
        <v>0703</v>
      </c>
      <c r="N564" s="19" t="s">
        <v>825</v>
      </c>
      <c r="O564" s="19"/>
      <c r="P564" s="14" t="str">
        <f t="shared" si="25"/>
        <v>8300000</v>
      </c>
    </row>
    <row r="565" spans="1:16" ht="19.149999999999999" customHeight="1">
      <c r="A565" s="8">
        <v>30</v>
      </c>
      <c r="B565" s="9">
        <v>1</v>
      </c>
      <c r="C565" s="9">
        <v>26</v>
      </c>
      <c r="D565" s="9">
        <v>300010026</v>
      </c>
      <c r="E565" s="41">
        <v>83</v>
      </c>
      <c r="F565" s="41"/>
      <c r="G565" s="41"/>
      <c r="H565" s="9" t="s">
        <v>741</v>
      </c>
      <c r="I565" s="39" t="s">
        <v>773</v>
      </c>
      <c r="J565" s="9">
        <v>3.5</v>
      </c>
      <c r="K565" s="14"/>
      <c r="L565" s="14"/>
      <c r="M565" s="14" t="str">
        <f t="shared" si="24"/>
        <v>0000</v>
      </c>
      <c r="N565" s="19">
        <v>83</v>
      </c>
      <c r="O565" s="19"/>
      <c r="P565" s="14" t="str">
        <f t="shared" si="25"/>
        <v>8300000</v>
      </c>
    </row>
    <row r="566" spans="1:16" ht="19.149999999999999" customHeight="1">
      <c r="A566" s="8">
        <v>30</v>
      </c>
      <c r="B566" s="9">
        <v>1</v>
      </c>
      <c r="C566" s="9">
        <v>28</v>
      </c>
      <c r="D566" s="9">
        <v>300010028</v>
      </c>
      <c r="E566" s="41">
        <v>83</v>
      </c>
      <c r="F566" s="41"/>
      <c r="G566" s="41"/>
      <c r="H566" s="9" t="s">
        <v>657</v>
      </c>
      <c r="I566" s="39" t="s">
        <v>773</v>
      </c>
      <c r="J566" s="9">
        <v>1.9</v>
      </c>
      <c r="K566" s="14">
        <v>7</v>
      </c>
      <c r="L566" s="14">
        <v>3</v>
      </c>
      <c r="M566" s="14" t="str">
        <f t="shared" si="24"/>
        <v>0703</v>
      </c>
      <c r="N566" s="19">
        <v>83</v>
      </c>
      <c r="O566" s="19"/>
      <c r="P566" s="14" t="str">
        <f t="shared" si="25"/>
        <v>8300000</v>
      </c>
    </row>
    <row r="567" spans="1:16" ht="19.149999999999999" customHeight="1">
      <c r="A567" s="8">
        <v>30</v>
      </c>
      <c r="B567" s="9">
        <v>1</v>
      </c>
      <c r="C567" s="9">
        <v>29</v>
      </c>
      <c r="D567" s="9">
        <v>300010029</v>
      </c>
      <c r="E567" s="41" t="s">
        <v>825</v>
      </c>
      <c r="F567" s="41"/>
      <c r="G567" s="41"/>
      <c r="H567" s="9" t="s">
        <v>658</v>
      </c>
      <c r="I567" s="39" t="s">
        <v>773</v>
      </c>
      <c r="J567" s="9">
        <v>19.899999999999999</v>
      </c>
      <c r="K567" s="14">
        <v>7</v>
      </c>
      <c r="L567" s="14">
        <v>3</v>
      </c>
      <c r="M567" s="14" t="str">
        <f t="shared" si="24"/>
        <v>0703</v>
      </c>
      <c r="N567" s="19" t="s">
        <v>825</v>
      </c>
      <c r="O567" s="19"/>
      <c r="P567" s="14" t="str">
        <f t="shared" si="25"/>
        <v>8300000</v>
      </c>
    </row>
    <row r="568" spans="1:16" ht="19.149999999999999" customHeight="1">
      <c r="A568" s="8">
        <v>30</v>
      </c>
      <c r="B568" s="9">
        <v>1</v>
      </c>
      <c r="C568" s="9">
        <v>20</v>
      </c>
      <c r="D568" s="9">
        <v>300010020</v>
      </c>
      <c r="E568" s="41">
        <v>83</v>
      </c>
      <c r="F568" s="41"/>
      <c r="G568" s="41"/>
      <c r="H568" s="9" t="s">
        <v>742</v>
      </c>
      <c r="I568" s="39" t="s">
        <v>773</v>
      </c>
      <c r="J568" s="9">
        <v>1.84</v>
      </c>
      <c r="K568" s="14"/>
      <c r="L568" s="14"/>
      <c r="M568" s="14" t="str">
        <f t="shared" si="24"/>
        <v>0000</v>
      </c>
      <c r="N568" s="19">
        <v>83</v>
      </c>
      <c r="O568" s="19"/>
      <c r="P568" s="14" t="str">
        <f t="shared" si="25"/>
        <v>8300000</v>
      </c>
    </row>
    <row r="569" spans="1:16" ht="19.149999999999999" customHeight="1">
      <c r="A569" s="8">
        <v>30</v>
      </c>
      <c r="B569" s="9">
        <v>1</v>
      </c>
      <c r="C569" s="9">
        <v>13</v>
      </c>
      <c r="D569" s="9">
        <v>300010013</v>
      </c>
      <c r="E569" s="41">
        <v>83</v>
      </c>
      <c r="F569" s="41"/>
      <c r="G569" s="41"/>
      <c r="H569" s="9" t="s">
        <v>659</v>
      </c>
      <c r="I569" s="39" t="s">
        <v>773</v>
      </c>
      <c r="J569" s="9">
        <v>5</v>
      </c>
      <c r="K569" s="14">
        <v>7</v>
      </c>
      <c r="L569" s="14">
        <v>3</v>
      </c>
      <c r="M569" s="14" t="str">
        <f t="shared" si="24"/>
        <v>0703</v>
      </c>
      <c r="N569" s="19">
        <v>83</v>
      </c>
      <c r="O569" s="19"/>
      <c r="P569" s="14" t="str">
        <f t="shared" si="25"/>
        <v>8300000</v>
      </c>
    </row>
    <row r="570" spans="1:16" ht="19.149999999999999" customHeight="1">
      <c r="A570" s="8">
        <v>30</v>
      </c>
      <c r="B570" s="9">
        <v>1</v>
      </c>
      <c r="C570" s="9">
        <v>32</v>
      </c>
      <c r="D570" s="9">
        <v>300010032</v>
      </c>
      <c r="E570" s="41">
        <v>83</v>
      </c>
      <c r="F570" s="41"/>
      <c r="G570" s="41"/>
      <c r="H570" s="9" t="s">
        <v>744</v>
      </c>
      <c r="I570" s="39" t="s">
        <v>773</v>
      </c>
      <c r="J570" s="9">
        <v>20.9</v>
      </c>
      <c r="K570" s="14"/>
      <c r="L570" s="14"/>
      <c r="M570" s="14" t="str">
        <f t="shared" si="24"/>
        <v>0000</v>
      </c>
      <c r="N570" s="19">
        <v>83</v>
      </c>
      <c r="O570" s="19"/>
      <c r="P570" s="14" t="str">
        <f t="shared" si="25"/>
        <v>8300000</v>
      </c>
    </row>
    <row r="571" spans="1:16" ht="19.149999999999999" customHeight="1">
      <c r="A571" s="8">
        <v>30</v>
      </c>
      <c r="B571" s="9">
        <v>1</v>
      </c>
      <c r="C571" s="9">
        <v>43</v>
      </c>
      <c r="D571" s="9">
        <v>300010043</v>
      </c>
      <c r="E571" s="41" t="s">
        <v>825</v>
      </c>
      <c r="F571" s="41"/>
      <c r="G571" s="41"/>
      <c r="H571" s="9" t="s">
        <v>660</v>
      </c>
      <c r="I571" s="39" t="s">
        <v>773</v>
      </c>
      <c r="J571" s="9">
        <v>35</v>
      </c>
      <c r="K571" s="14">
        <v>7</v>
      </c>
      <c r="L571" s="14">
        <v>3</v>
      </c>
      <c r="M571" s="14" t="str">
        <f t="shared" si="24"/>
        <v>0703</v>
      </c>
      <c r="N571" s="19" t="s">
        <v>825</v>
      </c>
      <c r="O571" s="19"/>
      <c r="P571" s="14" t="str">
        <f t="shared" si="25"/>
        <v>8300000</v>
      </c>
    </row>
    <row r="572" spans="1:16" ht="19.149999999999999" customHeight="1">
      <c r="A572" s="8">
        <v>30</v>
      </c>
      <c r="B572" s="9">
        <v>1</v>
      </c>
      <c r="C572" s="9">
        <v>48</v>
      </c>
      <c r="D572" s="9">
        <v>300010048</v>
      </c>
      <c r="E572" s="41">
        <v>83</v>
      </c>
      <c r="F572" s="41"/>
      <c r="G572" s="41"/>
      <c r="H572" s="9" t="s">
        <v>754</v>
      </c>
      <c r="I572" s="39" t="s">
        <v>773</v>
      </c>
      <c r="J572" s="9">
        <v>9.1999999999999993</v>
      </c>
      <c r="K572" s="14"/>
      <c r="L572" s="14"/>
      <c r="M572" s="14" t="str">
        <f t="shared" si="24"/>
        <v>0000</v>
      </c>
      <c r="N572" s="19">
        <v>83</v>
      </c>
      <c r="O572" s="19"/>
      <c r="P572" s="14" t="str">
        <f t="shared" si="25"/>
        <v>8300000</v>
      </c>
    </row>
    <row r="573" spans="1:16" ht="19.149999999999999" customHeight="1">
      <c r="A573" s="8">
        <v>30</v>
      </c>
      <c r="B573" s="9">
        <v>1</v>
      </c>
      <c r="C573" s="9">
        <v>58</v>
      </c>
      <c r="D573" s="9">
        <v>300010058</v>
      </c>
      <c r="E573" s="41">
        <v>83</v>
      </c>
      <c r="F573" s="41"/>
      <c r="G573" s="41"/>
      <c r="H573" s="9" t="s">
        <v>755</v>
      </c>
      <c r="I573" s="39" t="s">
        <v>779</v>
      </c>
      <c r="J573" s="9">
        <v>1.5</v>
      </c>
      <c r="K573" s="14"/>
      <c r="L573" s="14"/>
      <c r="M573" s="14" t="str">
        <f t="shared" si="24"/>
        <v>0000</v>
      </c>
      <c r="N573" s="19">
        <v>83</v>
      </c>
      <c r="O573" s="19"/>
      <c r="P573" s="14" t="str">
        <f t="shared" si="25"/>
        <v>8300000</v>
      </c>
    </row>
    <row r="574" spans="1:16" ht="19.149999999999999" customHeight="1">
      <c r="A574" s="8">
        <v>30</v>
      </c>
      <c r="B574" s="9">
        <v>1</v>
      </c>
      <c r="C574" s="9">
        <v>47</v>
      </c>
      <c r="D574" s="9">
        <v>300010047</v>
      </c>
      <c r="E574" s="41">
        <v>83</v>
      </c>
      <c r="F574" s="41"/>
      <c r="G574" s="41"/>
      <c r="H574" s="9" t="s">
        <v>756</v>
      </c>
      <c r="I574" s="39" t="s">
        <v>779</v>
      </c>
      <c r="J574" s="9">
        <v>2</v>
      </c>
      <c r="K574" s="14"/>
      <c r="L574" s="14"/>
      <c r="M574" s="14" t="str">
        <f t="shared" si="24"/>
        <v>0000</v>
      </c>
      <c r="N574" s="19">
        <v>83</v>
      </c>
      <c r="O574" s="19"/>
      <c r="P574" s="14" t="str">
        <f t="shared" si="25"/>
        <v>8300000</v>
      </c>
    </row>
    <row r="575" spans="1:16" ht="19.149999999999999" customHeight="1">
      <c r="A575" s="8">
        <v>30</v>
      </c>
      <c r="B575" s="9">
        <v>1</v>
      </c>
      <c r="C575" s="9">
        <v>60</v>
      </c>
      <c r="D575" s="9">
        <v>300010060</v>
      </c>
      <c r="E575" s="41" t="s">
        <v>825</v>
      </c>
      <c r="F575" s="41"/>
      <c r="G575" s="41"/>
      <c r="H575" s="9" t="s">
        <v>662</v>
      </c>
      <c r="I575" s="39" t="s">
        <v>773</v>
      </c>
      <c r="J575" s="9">
        <v>8.9</v>
      </c>
      <c r="K575" s="14">
        <v>7</v>
      </c>
      <c r="L575" s="14">
        <v>3</v>
      </c>
      <c r="M575" s="14" t="str">
        <f t="shared" si="24"/>
        <v>0703</v>
      </c>
      <c r="N575" s="19" t="s">
        <v>825</v>
      </c>
      <c r="O575" s="19"/>
      <c r="P575" s="14" t="str">
        <f t="shared" si="25"/>
        <v>8300000</v>
      </c>
    </row>
    <row r="576" spans="1:16" ht="19.149999999999999" customHeight="1">
      <c r="A576" s="8">
        <v>30</v>
      </c>
      <c r="B576" s="9">
        <v>1</v>
      </c>
      <c r="C576" s="9">
        <v>64</v>
      </c>
      <c r="D576" s="9">
        <v>300010064</v>
      </c>
      <c r="E576" s="41" t="s">
        <v>825</v>
      </c>
      <c r="F576" s="41"/>
      <c r="G576" s="41"/>
      <c r="H576" s="9" t="s">
        <v>663</v>
      </c>
      <c r="I576" s="39" t="s">
        <v>773</v>
      </c>
      <c r="J576" s="9">
        <v>8.9</v>
      </c>
      <c r="K576" s="14">
        <v>7</v>
      </c>
      <c r="L576" s="14">
        <v>3</v>
      </c>
      <c r="M576" s="14" t="str">
        <f t="shared" si="24"/>
        <v>0703</v>
      </c>
      <c r="N576" s="19" t="s">
        <v>825</v>
      </c>
      <c r="O576" s="19"/>
      <c r="P576" s="14" t="str">
        <f t="shared" si="25"/>
        <v>8300000</v>
      </c>
    </row>
    <row r="577" spans="1:16" ht="19.149999999999999" customHeight="1">
      <c r="A577" s="8">
        <v>30</v>
      </c>
      <c r="B577" s="9">
        <v>1</v>
      </c>
      <c r="C577" s="9">
        <v>57</v>
      </c>
      <c r="D577" s="9">
        <v>300010057</v>
      </c>
      <c r="E577" s="41" t="s">
        <v>825</v>
      </c>
      <c r="F577" s="41"/>
      <c r="G577" s="41"/>
      <c r="H577" s="9" t="s">
        <v>664</v>
      </c>
      <c r="I577" s="39" t="s">
        <v>773</v>
      </c>
      <c r="J577" s="9">
        <v>8.9</v>
      </c>
      <c r="K577" s="14">
        <v>7</v>
      </c>
      <c r="L577" s="14">
        <v>3</v>
      </c>
      <c r="M577" s="14" t="str">
        <f t="shared" si="24"/>
        <v>0703</v>
      </c>
      <c r="N577" s="19" t="s">
        <v>825</v>
      </c>
      <c r="O577" s="19"/>
      <c r="P577" s="14" t="str">
        <f t="shared" si="25"/>
        <v>8300000</v>
      </c>
    </row>
    <row r="578" spans="1:16" ht="19.149999999999999" customHeight="1">
      <c r="A578" s="8">
        <v>30</v>
      </c>
      <c r="B578" s="9">
        <v>1</v>
      </c>
      <c r="C578" s="9">
        <v>55</v>
      </c>
      <c r="D578" s="9">
        <v>300010055</v>
      </c>
      <c r="E578" s="41" t="s">
        <v>825</v>
      </c>
      <c r="F578" s="41"/>
      <c r="G578" s="41"/>
      <c r="H578" s="9" t="s">
        <v>665</v>
      </c>
      <c r="I578" s="39" t="s">
        <v>773</v>
      </c>
      <c r="J578" s="9">
        <v>8.9</v>
      </c>
      <c r="K578" s="14">
        <v>7</v>
      </c>
      <c r="L578" s="14">
        <v>3</v>
      </c>
      <c r="M578" s="14" t="str">
        <f t="shared" si="24"/>
        <v>0703</v>
      </c>
      <c r="N578" s="19" t="s">
        <v>825</v>
      </c>
      <c r="O578" s="19"/>
      <c r="P578" s="14" t="str">
        <f t="shared" si="25"/>
        <v>8300000</v>
      </c>
    </row>
    <row r="579" spans="1:16" ht="19.149999999999999" customHeight="1">
      <c r="A579" s="8">
        <v>30</v>
      </c>
      <c r="B579" s="9">
        <v>1</v>
      </c>
      <c r="C579" s="9">
        <v>51</v>
      </c>
      <c r="D579" s="9">
        <v>300010051</v>
      </c>
      <c r="E579" s="41">
        <v>83</v>
      </c>
      <c r="F579" s="41"/>
      <c r="G579" s="41"/>
      <c r="H579" s="9" t="s">
        <v>666</v>
      </c>
      <c r="I579" s="39" t="s">
        <v>773</v>
      </c>
      <c r="J579" s="9">
        <v>20</v>
      </c>
      <c r="K579" s="14">
        <v>7</v>
      </c>
      <c r="L579" s="14">
        <v>3</v>
      </c>
      <c r="M579" s="14" t="str">
        <f t="shared" si="24"/>
        <v>0703</v>
      </c>
      <c r="N579" s="19">
        <v>83</v>
      </c>
      <c r="O579" s="19"/>
      <c r="P579" s="14" t="str">
        <f t="shared" si="25"/>
        <v>8300000</v>
      </c>
    </row>
    <row r="580" spans="1:16" ht="19.149999999999999" customHeight="1">
      <c r="A580" s="8">
        <v>30</v>
      </c>
      <c r="B580" s="9">
        <v>1</v>
      </c>
      <c r="C580" s="9">
        <v>62</v>
      </c>
      <c r="D580" s="9">
        <v>300010062</v>
      </c>
      <c r="E580" s="41" t="s">
        <v>825</v>
      </c>
      <c r="F580" s="41"/>
      <c r="G580" s="41"/>
      <c r="H580" s="9" t="s">
        <v>677</v>
      </c>
      <c r="I580" s="39" t="s">
        <v>773</v>
      </c>
      <c r="J580" s="9">
        <v>19.899999999999999</v>
      </c>
      <c r="K580" s="14">
        <v>7</v>
      </c>
      <c r="L580" s="14">
        <v>3</v>
      </c>
      <c r="M580" s="14" t="str">
        <f t="shared" si="24"/>
        <v>0703</v>
      </c>
      <c r="N580" s="19" t="s">
        <v>825</v>
      </c>
      <c r="O580" s="19"/>
      <c r="P580" s="14" t="str">
        <f t="shared" si="25"/>
        <v>8300000</v>
      </c>
    </row>
    <row r="581" spans="1:16" ht="19.149999999999999" customHeight="1">
      <c r="A581" s="8">
        <v>30</v>
      </c>
      <c r="B581" s="9">
        <v>1</v>
      </c>
      <c r="C581" s="9">
        <v>52</v>
      </c>
      <c r="D581" s="9">
        <v>300010052</v>
      </c>
      <c r="E581" s="41" t="s">
        <v>825</v>
      </c>
      <c r="F581" s="41"/>
      <c r="G581" s="41"/>
      <c r="H581" s="9" t="s">
        <v>682</v>
      </c>
      <c r="I581" s="39" t="s">
        <v>773</v>
      </c>
      <c r="J581" s="9">
        <v>550</v>
      </c>
      <c r="K581" s="14">
        <v>7</v>
      </c>
      <c r="L581" s="14">
        <v>3</v>
      </c>
      <c r="M581" s="14" t="str">
        <f t="shared" si="24"/>
        <v>0703</v>
      </c>
      <c r="N581" s="19" t="s">
        <v>825</v>
      </c>
      <c r="O581" s="19"/>
      <c r="P581" s="14" t="str">
        <f t="shared" si="25"/>
        <v>8300000</v>
      </c>
    </row>
    <row r="582" spans="1:16" ht="19.149999999999999" customHeight="1">
      <c r="A582" s="8">
        <v>30</v>
      </c>
      <c r="B582" s="9">
        <v>1</v>
      </c>
      <c r="C582" s="9">
        <v>53</v>
      </c>
      <c r="D582" s="9">
        <v>300010053</v>
      </c>
      <c r="E582" s="37" t="s">
        <v>814</v>
      </c>
      <c r="H582" s="9" t="s">
        <v>263</v>
      </c>
      <c r="I582" s="39" t="s">
        <v>773</v>
      </c>
      <c r="J582" s="9">
        <v>95</v>
      </c>
      <c r="K582" s="14">
        <v>3</v>
      </c>
      <c r="L582" s="14">
        <v>5</v>
      </c>
      <c r="M582" s="14" t="str">
        <f t="shared" si="24"/>
        <v>0305</v>
      </c>
      <c r="N582" s="17" t="s">
        <v>814</v>
      </c>
      <c r="P582" s="14" t="str">
        <f t="shared" si="25"/>
        <v>8400000</v>
      </c>
    </row>
    <row r="583" spans="1:16" ht="19.149999999999999" customHeight="1">
      <c r="A583" s="8">
        <v>30</v>
      </c>
      <c r="B583" s="9">
        <v>1</v>
      </c>
      <c r="C583" s="9">
        <v>54</v>
      </c>
      <c r="D583" s="9">
        <v>300010054</v>
      </c>
      <c r="E583" s="41">
        <v>85</v>
      </c>
      <c r="F583" s="41"/>
      <c r="G583" s="41"/>
      <c r="H583" s="9" t="s">
        <v>696</v>
      </c>
      <c r="I583" s="39" t="s">
        <v>773</v>
      </c>
      <c r="J583" s="9">
        <v>6</v>
      </c>
      <c r="K583" s="14"/>
      <c r="L583" s="14"/>
      <c r="M583" s="14" t="str">
        <f t="shared" si="24"/>
        <v>0000</v>
      </c>
      <c r="N583" s="19">
        <v>85</v>
      </c>
      <c r="O583" s="19"/>
      <c r="P583" s="14" t="str">
        <f t="shared" si="25"/>
        <v>8500000</v>
      </c>
    </row>
    <row r="584" spans="1:16" ht="19.149999999999999" customHeight="1">
      <c r="A584" s="8">
        <v>43</v>
      </c>
      <c r="B584" s="9">
        <v>1</v>
      </c>
      <c r="C584" s="9">
        <v>559</v>
      </c>
      <c r="D584" s="9">
        <v>430010559</v>
      </c>
      <c r="E584" s="41">
        <v>85</v>
      </c>
      <c r="F584" s="41"/>
      <c r="G584" s="41"/>
      <c r="H584" s="9" t="s">
        <v>331</v>
      </c>
      <c r="I584" s="39" t="s">
        <v>773</v>
      </c>
      <c r="J584" s="9">
        <v>8</v>
      </c>
      <c r="K584" s="14">
        <v>3</v>
      </c>
      <c r="L584" s="14">
        <v>7</v>
      </c>
      <c r="M584" s="14" t="str">
        <f t="shared" si="24"/>
        <v>0307</v>
      </c>
      <c r="N584" s="19">
        <v>85</v>
      </c>
      <c r="O584" s="19"/>
      <c r="P584" s="14" t="str">
        <f t="shared" si="25"/>
        <v>8500000</v>
      </c>
    </row>
    <row r="585" spans="1:16" ht="19.149999999999999" customHeight="1">
      <c r="A585" s="8">
        <v>59</v>
      </c>
      <c r="B585" s="9">
        <v>1</v>
      </c>
      <c r="C585" s="9">
        <v>642</v>
      </c>
      <c r="D585" s="9">
        <v>590010642</v>
      </c>
      <c r="E585" s="41">
        <v>85</v>
      </c>
      <c r="F585" s="41"/>
      <c r="G585" s="41"/>
      <c r="H585" s="9" t="s">
        <v>315</v>
      </c>
      <c r="I585" s="39" t="s">
        <v>773</v>
      </c>
      <c r="J585" s="9">
        <v>69.900000000000006</v>
      </c>
      <c r="K585" s="14">
        <v>3</v>
      </c>
      <c r="L585" s="14">
        <v>7</v>
      </c>
      <c r="M585" s="14" t="str">
        <f t="shared" si="24"/>
        <v>0307</v>
      </c>
      <c r="N585" s="19">
        <v>85</v>
      </c>
      <c r="O585" s="19"/>
      <c r="P585" s="14" t="str">
        <f t="shared" si="25"/>
        <v>8500000</v>
      </c>
    </row>
    <row r="586" spans="1:16" ht="19.149999999999999" customHeight="1">
      <c r="A586" s="8">
        <v>65</v>
      </c>
      <c r="B586" s="9">
        <v>1</v>
      </c>
      <c r="C586" s="9">
        <v>719</v>
      </c>
      <c r="D586" s="9">
        <v>650010719</v>
      </c>
      <c r="E586" s="37" t="s">
        <v>799</v>
      </c>
      <c r="H586" s="9" t="s">
        <v>332</v>
      </c>
      <c r="I586" s="39" t="s">
        <v>781</v>
      </c>
      <c r="J586" s="9">
        <v>18</v>
      </c>
      <c r="K586" s="14">
        <v>3</v>
      </c>
      <c r="L586" s="14">
        <v>7</v>
      </c>
      <c r="M586" s="14" t="str">
        <f t="shared" si="24"/>
        <v>0307</v>
      </c>
      <c r="N586" s="17" t="s">
        <v>799</v>
      </c>
      <c r="P586" s="14" t="str">
        <f t="shared" si="25"/>
        <v>8600000</v>
      </c>
    </row>
    <row r="587" spans="1:16" ht="19.149999999999999" customHeight="1">
      <c r="A587" s="8">
        <v>30</v>
      </c>
      <c r="B587" s="9">
        <v>1</v>
      </c>
      <c r="C587" s="9">
        <v>80</v>
      </c>
      <c r="D587" s="9">
        <v>300010080</v>
      </c>
      <c r="E587" s="37" t="s">
        <v>799</v>
      </c>
      <c r="H587" s="9" t="s">
        <v>333</v>
      </c>
      <c r="I587" s="39" t="s">
        <v>773</v>
      </c>
      <c r="J587" s="9">
        <v>0</v>
      </c>
      <c r="K587" s="14">
        <v>3</v>
      </c>
      <c r="L587" s="14">
        <v>7</v>
      </c>
      <c r="M587" s="14" t="str">
        <f t="shared" si="24"/>
        <v>0307</v>
      </c>
      <c r="N587" s="17" t="s">
        <v>799</v>
      </c>
      <c r="P587" s="14" t="str">
        <f t="shared" si="25"/>
        <v>8600000</v>
      </c>
    </row>
    <row r="588" spans="1:16" ht="19.149999999999999" customHeight="1">
      <c r="A588" s="8">
        <v>12</v>
      </c>
      <c r="B588" s="9">
        <v>1</v>
      </c>
      <c r="C588" s="9">
        <v>312</v>
      </c>
      <c r="D588" s="9">
        <v>120010312</v>
      </c>
      <c r="E588" s="37" t="s">
        <v>799</v>
      </c>
      <c r="H588" s="9" t="s">
        <v>334</v>
      </c>
      <c r="I588" s="39" t="s">
        <v>781</v>
      </c>
      <c r="J588" s="9">
        <v>20</v>
      </c>
      <c r="K588" s="14">
        <v>3</v>
      </c>
      <c r="L588" s="14">
        <v>7</v>
      </c>
      <c r="M588" s="14" t="str">
        <f t="shared" si="24"/>
        <v>0307</v>
      </c>
      <c r="N588" s="17" t="s">
        <v>799</v>
      </c>
      <c r="P588" s="14" t="str">
        <f t="shared" si="25"/>
        <v>8600000</v>
      </c>
    </row>
    <row r="589" spans="1:16" ht="19.149999999999999" customHeight="1">
      <c r="A589" s="8">
        <v>30</v>
      </c>
      <c r="B589" s="9">
        <v>1</v>
      </c>
      <c r="C589" s="9">
        <v>388</v>
      </c>
      <c r="D589" s="9">
        <v>300010388</v>
      </c>
      <c r="E589" s="37" t="s">
        <v>799</v>
      </c>
      <c r="H589" s="9" t="s">
        <v>265</v>
      </c>
      <c r="I589" s="39" t="s">
        <v>773</v>
      </c>
      <c r="J589" s="9">
        <v>115</v>
      </c>
      <c r="K589" s="14">
        <v>3</v>
      </c>
      <c r="L589" s="14">
        <v>5</v>
      </c>
      <c r="M589" s="14" t="str">
        <f t="shared" si="24"/>
        <v>0305</v>
      </c>
      <c r="N589" s="17" t="s">
        <v>799</v>
      </c>
      <c r="P589" s="14" t="str">
        <f t="shared" si="25"/>
        <v>8600000</v>
      </c>
    </row>
    <row r="590" spans="1:16" ht="19.149999999999999" customHeight="1">
      <c r="A590" s="8">
        <v>30</v>
      </c>
      <c r="B590" s="9">
        <v>1</v>
      </c>
      <c r="C590" s="9">
        <v>389</v>
      </c>
      <c r="D590" s="9">
        <v>300010389</v>
      </c>
      <c r="E590" s="37" t="s">
        <v>799</v>
      </c>
      <c r="H590" s="9" t="s">
        <v>266</v>
      </c>
      <c r="I590" s="39" t="s">
        <v>773</v>
      </c>
      <c r="J590" s="9">
        <v>380</v>
      </c>
      <c r="K590" s="14">
        <v>3</v>
      </c>
      <c r="L590" s="14">
        <v>5</v>
      </c>
      <c r="M590" s="14" t="str">
        <f t="shared" si="24"/>
        <v>0305</v>
      </c>
      <c r="N590" s="17" t="s">
        <v>799</v>
      </c>
      <c r="P590" s="14" t="str">
        <f t="shared" si="25"/>
        <v>8600000</v>
      </c>
    </row>
    <row r="591" spans="1:16" ht="19.149999999999999" customHeight="1">
      <c r="A591" s="8">
        <v>54</v>
      </c>
      <c r="B591" s="9">
        <v>1</v>
      </c>
      <c r="C591" s="9">
        <v>631</v>
      </c>
      <c r="D591" s="9">
        <v>540010631</v>
      </c>
      <c r="E591" s="37" t="s">
        <v>799</v>
      </c>
      <c r="H591" s="9" t="s">
        <v>267</v>
      </c>
      <c r="I591" s="39" t="s">
        <v>773</v>
      </c>
      <c r="J591" s="9">
        <v>114</v>
      </c>
      <c r="K591" s="14">
        <v>3</v>
      </c>
      <c r="L591" s="14">
        <v>5</v>
      </c>
      <c r="M591" s="14" t="str">
        <f t="shared" si="24"/>
        <v>0305</v>
      </c>
      <c r="N591" s="17" t="s">
        <v>799</v>
      </c>
      <c r="P591" s="14" t="str">
        <f t="shared" si="25"/>
        <v>8600000</v>
      </c>
    </row>
    <row r="592" spans="1:16" ht="19.149999999999999" customHeight="1">
      <c r="A592" s="8">
        <v>53</v>
      </c>
      <c r="B592" s="9">
        <v>1</v>
      </c>
      <c r="C592" s="9">
        <v>1</v>
      </c>
      <c r="D592" s="9">
        <v>530010001</v>
      </c>
      <c r="E592" s="37" t="s">
        <v>799</v>
      </c>
      <c r="H592" s="9" t="s">
        <v>165</v>
      </c>
      <c r="I592" s="39" t="s">
        <v>778</v>
      </c>
      <c r="J592" s="9">
        <v>60</v>
      </c>
      <c r="K592" s="14">
        <v>3</v>
      </c>
      <c r="L592" s="14">
        <v>4</v>
      </c>
      <c r="M592" s="14" t="str">
        <f t="shared" si="24"/>
        <v>0304</v>
      </c>
      <c r="N592" s="17" t="s">
        <v>799</v>
      </c>
      <c r="P592" s="14" t="str">
        <f t="shared" si="25"/>
        <v>8600000</v>
      </c>
    </row>
    <row r="593" spans="1:16" ht="19.149999999999999" customHeight="1">
      <c r="A593" s="8">
        <v>54</v>
      </c>
      <c r="B593" s="9">
        <v>1</v>
      </c>
      <c r="C593" s="9">
        <v>613</v>
      </c>
      <c r="D593" s="9">
        <v>540010613</v>
      </c>
      <c r="E593" s="37" t="s">
        <v>799</v>
      </c>
      <c r="H593" s="9" t="s">
        <v>284</v>
      </c>
      <c r="I593" s="39" t="s">
        <v>773</v>
      </c>
      <c r="J593" s="9">
        <v>14</v>
      </c>
      <c r="K593" s="14">
        <v>3</v>
      </c>
      <c r="L593" s="14">
        <v>5</v>
      </c>
      <c r="M593" s="14" t="str">
        <f t="shared" si="24"/>
        <v>0305</v>
      </c>
      <c r="N593" s="17" t="s">
        <v>799</v>
      </c>
      <c r="P593" s="14" t="str">
        <f t="shared" si="25"/>
        <v>8600000</v>
      </c>
    </row>
    <row r="594" spans="1:16" ht="19.149999999999999" customHeight="1">
      <c r="A594" s="8">
        <v>54</v>
      </c>
      <c r="B594" s="9">
        <v>1</v>
      </c>
      <c r="C594" s="9">
        <v>612</v>
      </c>
      <c r="D594" s="9">
        <v>540010612</v>
      </c>
      <c r="E594" s="37" t="s">
        <v>799</v>
      </c>
      <c r="H594" s="9" t="s">
        <v>284</v>
      </c>
      <c r="I594" s="39" t="s">
        <v>773</v>
      </c>
      <c r="J594" s="9">
        <v>6</v>
      </c>
      <c r="K594" s="14">
        <v>3</v>
      </c>
      <c r="L594" s="14">
        <v>5</v>
      </c>
      <c r="M594" s="14" t="str">
        <f t="shared" si="24"/>
        <v>0305</v>
      </c>
      <c r="N594" s="17" t="s">
        <v>799</v>
      </c>
      <c r="P594" s="14" t="str">
        <f t="shared" si="25"/>
        <v>8600000</v>
      </c>
    </row>
    <row r="595" spans="1:16" ht="19.149999999999999" customHeight="1">
      <c r="A595" s="8">
        <v>54</v>
      </c>
      <c r="B595" s="9">
        <v>1</v>
      </c>
      <c r="C595" s="9">
        <v>610</v>
      </c>
      <c r="D595" s="9">
        <v>540010610</v>
      </c>
      <c r="E595" s="37" t="s">
        <v>799</v>
      </c>
      <c r="H595" s="9" t="s">
        <v>283</v>
      </c>
      <c r="I595" s="39" t="s">
        <v>773</v>
      </c>
      <c r="J595" s="9">
        <v>136</v>
      </c>
      <c r="K595" s="14">
        <v>3</v>
      </c>
      <c r="L595" s="14">
        <v>5</v>
      </c>
      <c r="M595" s="14" t="str">
        <f t="shared" si="24"/>
        <v>0305</v>
      </c>
      <c r="N595" s="17" t="s">
        <v>799</v>
      </c>
      <c r="P595" s="14" t="str">
        <f t="shared" si="25"/>
        <v>8600000</v>
      </c>
    </row>
    <row r="596" spans="1:16" ht="19.149999999999999" customHeight="1">
      <c r="A596" s="8">
        <v>54</v>
      </c>
      <c r="B596" s="9">
        <v>1</v>
      </c>
      <c r="C596" s="9">
        <v>6</v>
      </c>
      <c r="D596" s="9">
        <v>540010006</v>
      </c>
      <c r="E596" s="37" t="s">
        <v>799</v>
      </c>
      <c r="H596" s="9" t="s">
        <v>171</v>
      </c>
      <c r="I596" s="39" t="s">
        <v>773</v>
      </c>
      <c r="J596" s="9">
        <v>52</v>
      </c>
      <c r="K596" s="14">
        <v>3</v>
      </c>
      <c r="L596" s="14">
        <v>4</v>
      </c>
      <c r="M596" s="14" t="str">
        <f t="shared" si="24"/>
        <v>0304</v>
      </c>
      <c r="N596" s="17" t="s">
        <v>799</v>
      </c>
      <c r="P596" s="14" t="str">
        <f t="shared" si="25"/>
        <v>8600000</v>
      </c>
    </row>
    <row r="597" spans="1:16" ht="19.149999999999999" customHeight="1">
      <c r="A597" s="8">
        <v>54</v>
      </c>
      <c r="B597" s="9">
        <v>1</v>
      </c>
      <c r="C597" s="9">
        <v>7</v>
      </c>
      <c r="D597" s="9">
        <v>540010007</v>
      </c>
      <c r="E597" s="37" t="s">
        <v>799</v>
      </c>
      <c r="H597" s="9" t="s">
        <v>172</v>
      </c>
      <c r="I597" s="39" t="s">
        <v>773</v>
      </c>
      <c r="J597" s="9">
        <v>76</v>
      </c>
      <c r="K597" s="14">
        <v>3</v>
      </c>
      <c r="L597" s="14">
        <v>4</v>
      </c>
      <c r="M597" s="14" t="str">
        <f t="shared" si="24"/>
        <v>0304</v>
      </c>
      <c r="N597" s="17" t="s">
        <v>799</v>
      </c>
      <c r="P597" s="14" t="str">
        <f t="shared" si="25"/>
        <v>8600000</v>
      </c>
    </row>
    <row r="598" spans="1:16" ht="19.149999999999999" customHeight="1">
      <c r="A598" s="8">
        <v>65</v>
      </c>
      <c r="B598" s="9">
        <v>1</v>
      </c>
      <c r="C598" s="9">
        <v>672</v>
      </c>
      <c r="D598" s="9">
        <v>650010672</v>
      </c>
      <c r="E598" s="37" t="s">
        <v>799</v>
      </c>
      <c r="H598" s="9" t="s">
        <v>299</v>
      </c>
      <c r="I598" s="39" t="s">
        <v>781</v>
      </c>
      <c r="J598" s="9">
        <v>51</v>
      </c>
      <c r="K598" s="14">
        <v>3</v>
      </c>
      <c r="L598" s="14">
        <v>7</v>
      </c>
      <c r="M598" s="14" t="str">
        <f t="shared" si="24"/>
        <v>0307</v>
      </c>
      <c r="N598" s="17" t="s">
        <v>799</v>
      </c>
      <c r="P598" s="14" t="str">
        <f t="shared" si="25"/>
        <v>8600000</v>
      </c>
    </row>
    <row r="599" spans="1:16" ht="19.149999999999999" customHeight="1">
      <c r="A599" s="8">
        <v>54</v>
      </c>
      <c r="B599" s="9">
        <v>1</v>
      </c>
      <c r="C599" s="9">
        <v>640</v>
      </c>
      <c r="D599" s="9">
        <v>540010640</v>
      </c>
      <c r="E599" s="37" t="s">
        <v>799</v>
      </c>
      <c r="H599" s="9" t="s">
        <v>176</v>
      </c>
      <c r="I599" s="39" t="s">
        <v>773</v>
      </c>
      <c r="J599" s="9">
        <v>18</v>
      </c>
      <c r="K599" s="14">
        <v>3</v>
      </c>
      <c r="L599" s="14">
        <v>4</v>
      </c>
      <c r="M599" s="14" t="str">
        <f t="shared" si="24"/>
        <v>0304</v>
      </c>
      <c r="N599" s="17" t="s">
        <v>799</v>
      </c>
      <c r="P599" s="14" t="str">
        <f t="shared" si="25"/>
        <v>8600000</v>
      </c>
    </row>
    <row r="600" spans="1:16" ht="19.149999999999999" customHeight="1">
      <c r="A600" s="8">
        <v>65</v>
      </c>
      <c r="B600" s="9">
        <v>1</v>
      </c>
      <c r="C600" s="9">
        <v>702</v>
      </c>
      <c r="D600" s="9">
        <v>650010702</v>
      </c>
      <c r="E600" s="37" t="s">
        <v>799</v>
      </c>
      <c r="H600" s="9" t="s">
        <v>91</v>
      </c>
      <c r="I600" s="39" t="s">
        <v>773</v>
      </c>
      <c r="J600" s="9">
        <v>100</v>
      </c>
      <c r="K600" s="14">
        <v>3</v>
      </c>
      <c r="L600" s="14">
        <v>3</v>
      </c>
      <c r="M600" s="14" t="str">
        <f t="shared" si="24"/>
        <v>0303</v>
      </c>
      <c r="N600" s="17" t="s">
        <v>799</v>
      </c>
      <c r="P600" s="14" t="str">
        <f t="shared" si="25"/>
        <v>8600000</v>
      </c>
    </row>
    <row r="601" spans="1:16" ht="19.149999999999999" customHeight="1">
      <c r="A601" s="8">
        <v>65</v>
      </c>
      <c r="B601" s="9">
        <v>1</v>
      </c>
      <c r="C601" s="9">
        <v>673</v>
      </c>
      <c r="D601" s="9">
        <v>650010673</v>
      </c>
      <c r="E601" s="37" t="s">
        <v>799</v>
      </c>
      <c r="H601" s="9" t="s">
        <v>92</v>
      </c>
      <c r="I601" s="39" t="s">
        <v>773</v>
      </c>
      <c r="J601" s="9">
        <v>99.5</v>
      </c>
      <c r="K601" s="14">
        <v>3</v>
      </c>
      <c r="L601" s="14">
        <v>3</v>
      </c>
      <c r="M601" s="14" t="str">
        <f t="shared" si="24"/>
        <v>0303</v>
      </c>
      <c r="N601" s="17" t="s">
        <v>799</v>
      </c>
      <c r="P601" s="14" t="str">
        <f t="shared" si="25"/>
        <v>8600000</v>
      </c>
    </row>
    <row r="602" spans="1:16" ht="19.149999999999999" customHeight="1">
      <c r="A602" s="8">
        <v>30</v>
      </c>
      <c r="B602" s="9">
        <v>1</v>
      </c>
      <c r="C602" s="9">
        <v>441</v>
      </c>
      <c r="D602" s="9">
        <v>300010441</v>
      </c>
      <c r="E602" s="37" t="s">
        <v>799</v>
      </c>
      <c r="H602" s="9" t="s">
        <v>94</v>
      </c>
      <c r="I602" s="39" t="s">
        <v>773</v>
      </c>
      <c r="J602" s="9">
        <v>52</v>
      </c>
      <c r="K602" s="14">
        <v>3</v>
      </c>
      <c r="L602" s="14">
        <v>3</v>
      </c>
      <c r="M602" s="14" t="str">
        <f t="shared" si="24"/>
        <v>0303</v>
      </c>
      <c r="N602" s="17" t="s">
        <v>799</v>
      </c>
      <c r="P602" s="14" t="str">
        <f t="shared" si="25"/>
        <v>8600000</v>
      </c>
    </row>
    <row r="603" spans="1:16" ht="19.149999999999999" customHeight="1">
      <c r="A603" s="8">
        <v>54</v>
      </c>
      <c r="B603" s="9">
        <v>1</v>
      </c>
      <c r="C603" s="9">
        <v>603</v>
      </c>
      <c r="D603" s="9">
        <v>540010603</v>
      </c>
      <c r="E603" s="37" t="s">
        <v>799</v>
      </c>
      <c r="H603" s="9" t="s">
        <v>302</v>
      </c>
      <c r="I603" s="39" t="s">
        <v>773</v>
      </c>
      <c r="J603" s="9">
        <v>10</v>
      </c>
      <c r="K603" s="14">
        <v>3</v>
      </c>
      <c r="L603" s="14">
        <v>7</v>
      </c>
      <c r="M603" s="14" t="str">
        <f t="shared" si="24"/>
        <v>0307</v>
      </c>
      <c r="N603" s="17" t="s">
        <v>799</v>
      </c>
      <c r="P603" s="14" t="str">
        <f t="shared" si="25"/>
        <v>8600000</v>
      </c>
    </row>
    <row r="604" spans="1:16" ht="19.149999999999999" customHeight="1">
      <c r="A604" s="8">
        <v>54</v>
      </c>
      <c r="B604" s="9">
        <v>1</v>
      </c>
      <c r="C604" s="9">
        <v>5</v>
      </c>
      <c r="D604" s="9">
        <v>540010005</v>
      </c>
      <c r="E604" s="37" t="s">
        <v>799</v>
      </c>
      <c r="H604" s="9" t="s">
        <v>303</v>
      </c>
      <c r="I604" s="39" t="s">
        <v>781</v>
      </c>
      <c r="J604" s="9">
        <v>25</v>
      </c>
      <c r="K604" s="14">
        <v>3</v>
      </c>
      <c r="L604" s="14">
        <v>7</v>
      </c>
      <c r="M604" s="14" t="str">
        <f t="shared" si="24"/>
        <v>0307</v>
      </c>
      <c r="N604" s="17" t="s">
        <v>799</v>
      </c>
      <c r="P604" s="14" t="str">
        <f t="shared" si="25"/>
        <v>8600000</v>
      </c>
    </row>
    <row r="605" spans="1:16" ht="19.149999999999999" customHeight="1">
      <c r="A605" s="8">
        <v>30</v>
      </c>
      <c r="B605" s="9">
        <v>1</v>
      </c>
      <c r="C605" s="9">
        <v>399</v>
      </c>
      <c r="D605" s="9">
        <v>300010399</v>
      </c>
      <c r="E605" s="37" t="s">
        <v>799</v>
      </c>
      <c r="H605" s="9" t="s">
        <v>305</v>
      </c>
      <c r="I605" s="39" t="s">
        <v>773</v>
      </c>
      <c r="J605" s="9">
        <v>70</v>
      </c>
      <c r="K605" s="14">
        <v>3</v>
      </c>
      <c r="L605" s="14">
        <v>7</v>
      </c>
      <c r="M605" s="14" t="str">
        <f t="shared" si="24"/>
        <v>0307</v>
      </c>
      <c r="N605" s="17" t="s">
        <v>799</v>
      </c>
      <c r="P605" s="14" t="str">
        <f t="shared" si="25"/>
        <v>8600000</v>
      </c>
    </row>
    <row r="606" spans="1:16" ht="19.149999999999999" customHeight="1">
      <c r="A606" s="8">
        <v>65</v>
      </c>
      <c r="B606" s="9">
        <v>1</v>
      </c>
      <c r="C606" s="9">
        <v>701</v>
      </c>
      <c r="D606" s="9">
        <v>650010701</v>
      </c>
      <c r="E606" s="37" t="s">
        <v>799</v>
      </c>
      <c r="H606" s="9" t="s">
        <v>337</v>
      </c>
      <c r="I606" s="39" t="s">
        <v>773</v>
      </c>
      <c r="J606" s="9">
        <v>15</v>
      </c>
      <c r="K606" s="14">
        <v>3</v>
      </c>
      <c r="L606" s="14">
        <v>7</v>
      </c>
      <c r="M606" s="14" t="str">
        <f t="shared" si="24"/>
        <v>0307</v>
      </c>
      <c r="N606" s="17" t="s">
        <v>799</v>
      </c>
      <c r="P606" s="14" t="str">
        <f t="shared" si="25"/>
        <v>8600000</v>
      </c>
    </row>
    <row r="607" spans="1:16" ht="19.149999999999999" customHeight="1">
      <c r="A607" s="8">
        <v>52</v>
      </c>
      <c r="B607" s="9">
        <v>1</v>
      </c>
      <c r="C607" s="9">
        <v>593</v>
      </c>
      <c r="D607" s="9">
        <v>520010593</v>
      </c>
      <c r="E607" s="37" t="s">
        <v>799</v>
      </c>
      <c r="H607" s="9" t="s">
        <v>338</v>
      </c>
      <c r="I607" s="39" t="s">
        <v>773</v>
      </c>
      <c r="J607" s="9">
        <v>17.5</v>
      </c>
      <c r="K607" s="14">
        <v>3</v>
      </c>
      <c r="L607" s="14">
        <v>7</v>
      </c>
      <c r="M607" s="14" t="str">
        <f t="shared" si="24"/>
        <v>0307</v>
      </c>
      <c r="N607" s="17" t="s">
        <v>799</v>
      </c>
      <c r="P607" s="14" t="str">
        <f t="shared" si="25"/>
        <v>8600000</v>
      </c>
    </row>
    <row r="608" spans="1:16" ht="19.149999999999999" customHeight="1">
      <c r="A608" s="8">
        <v>26</v>
      </c>
      <c r="B608" s="9">
        <v>1</v>
      </c>
      <c r="C608" s="9">
        <v>6</v>
      </c>
      <c r="D608" s="9">
        <v>260010006</v>
      </c>
      <c r="E608" s="37" t="s">
        <v>799</v>
      </c>
      <c r="H608" s="9" t="s">
        <v>100</v>
      </c>
      <c r="I608" s="39" t="s">
        <v>778</v>
      </c>
      <c r="J608" s="9">
        <v>14.5</v>
      </c>
      <c r="K608" s="14">
        <v>3</v>
      </c>
      <c r="L608" s="14">
        <v>3</v>
      </c>
      <c r="M608" s="14" t="str">
        <f t="shared" si="24"/>
        <v>0303</v>
      </c>
      <c r="N608" s="17" t="s">
        <v>799</v>
      </c>
      <c r="P608" s="14" t="str">
        <f t="shared" si="25"/>
        <v>8600000</v>
      </c>
    </row>
    <row r="609" spans="1:16" ht="19.149999999999999" customHeight="1">
      <c r="A609" s="8">
        <v>26</v>
      </c>
      <c r="B609" s="9">
        <v>1</v>
      </c>
      <c r="C609" s="9">
        <v>5</v>
      </c>
      <c r="D609" s="9">
        <v>260010005</v>
      </c>
      <c r="E609" s="37" t="s">
        <v>799</v>
      </c>
      <c r="H609" s="9" t="s">
        <v>103</v>
      </c>
      <c r="I609" s="39" t="s">
        <v>773</v>
      </c>
      <c r="J609" s="9">
        <v>415</v>
      </c>
      <c r="K609" s="14">
        <v>3</v>
      </c>
      <c r="L609" s="14">
        <v>3</v>
      </c>
      <c r="M609" s="14" t="str">
        <f t="shared" si="24"/>
        <v>0303</v>
      </c>
      <c r="N609" s="17" t="s">
        <v>799</v>
      </c>
      <c r="P609" s="14" t="str">
        <f t="shared" si="25"/>
        <v>8600000</v>
      </c>
    </row>
    <row r="610" spans="1:16" ht="19.149999999999999" customHeight="1">
      <c r="A610" s="8">
        <v>30</v>
      </c>
      <c r="B610" s="9">
        <v>1</v>
      </c>
      <c r="C610" s="9">
        <v>401</v>
      </c>
      <c r="D610" s="9">
        <v>300010401</v>
      </c>
      <c r="E610" s="37" t="s">
        <v>799</v>
      </c>
      <c r="H610" s="9" t="s">
        <v>104</v>
      </c>
      <c r="I610" s="39" t="s">
        <v>773</v>
      </c>
      <c r="J610" s="9">
        <v>380</v>
      </c>
      <c r="K610" s="14">
        <v>3</v>
      </c>
      <c r="L610" s="14">
        <v>3</v>
      </c>
      <c r="M610" s="14" t="str">
        <f t="shared" si="24"/>
        <v>0303</v>
      </c>
      <c r="N610" s="17" t="s">
        <v>799</v>
      </c>
      <c r="P610" s="14" t="str">
        <f t="shared" si="25"/>
        <v>8600000</v>
      </c>
    </row>
    <row r="611" spans="1:16" ht="19.149999999999999" customHeight="1">
      <c r="A611" s="8">
        <v>30</v>
      </c>
      <c r="B611" s="9">
        <v>1</v>
      </c>
      <c r="C611" s="9">
        <v>400</v>
      </c>
      <c r="D611" s="9">
        <v>300010400</v>
      </c>
      <c r="E611" s="37" t="s">
        <v>799</v>
      </c>
      <c r="H611" s="9" t="s">
        <v>105</v>
      </c>
      <c r="I611" s="39" t="s">
        <v>773</v>
      </c>
      <c r="J611" s="9">
        <v>380</v>
      </c>
      <c r="K611" s="14">
        <v>3</v>
      </c>
      <c r="L611" s="14">
        <v>3</v>
      </c>
      <c r="M611" s="14" t="str">
        <f t="shared" si="24"/>
        <v>0303</v>
      </c>
      <c r="N611" s="17" t="s">
        <v>799</v>
      </c>
      <c r="P611" s="14" t="str">
        <f t="shared" si="25"/>
        <v>8600000</v>
      </c>
    </row>
    <row r="612" spans="1:16" ht="19.149999999999999" customHeight="1">
      <c r="A612" s="8">
        <v>30</v>
      </c>
      <c r="B612" s="9">
        <v>1</v>
      </c>
      <c r="C612" s="9">
        <v>433</v>
      </c>
      <c r="D612" s="9">
        <v>300010433</v>
      </c>
      <c r="E612" s="37" t="s">
        <v>799</v>
      </c>
      <c r="H612" s="9" t="s">
        <v>177</v>
      </c>
      <c r="I612" s="39" t="s">
        <v>778</v>
      </c>
      <c r="J612" s="9">
        <v>85</v>
      </c>
      <c r="K612" s="14">
        <v>3</v>
      </c>
      <c r="L612" s="14">
        <v>4</v>
      </c>
      <c r="M612" s="14" t="str">
        <f t="shared" si="24"/>
        <v>0304</v>
      </c>
      <c r="N612" s="17" t="s">
        <v>799</v>
      </c>
      <c r="P612" s="14" t="str">
        <f t="shared" si="25"/>
        <v>8600000</v>
      </c>
    </row>
    <row r="613" spans="1:16" ht="19.149999999999999" customHeight="1">
      <c r="A613" s="8">
        <v>26</v>
      </c>
      <c r="B613" s="9">
        <v>1</v>
      </c>
      <c r="C613" s="9">
        <v>1</v>
      </c>
      <c r="D613" s="9">
        <v>260010001</v>
      </c>
      <c r="E613" s="37" t="s">
        <v>799</v>
      </c>
      <c r="H613" s="9" t="s">
        <v>95</v>
      </c>
      <c r="I613" s="39" t="s">
        <v>778</v>
      </c>
      <c r="J613" s="9">
        <v>55</v>
      </c>
      <c r="K613" s="14">
        <v>3</v>
      </c>
      <c r="L613" s="14">
        <v>3</v>
      </c>
      <c r="M613" s="14" t="str">
        <f t="shared" si="24"/>
        <v>0303</v>
      </c>
      <c r="N613" s="17" t="s">
        <v>799</v>
      </c>
      <c r="P613" s="14" t="str">
        <f t="shared" si="25"/>
        <v>8600000</v>
      </c>
    </row>
    <row r="614" spans="1:16" ht="19.149999999999999" customHeight="1">
      <c r="A614" s="8">
        <v>52</v>
      </c>
      <c r="B614" s="9">
        <v>1</v>
      </c>
      <c r="C614" s="9">
        <v>600</v>
      </c>
      <c r="D614" s="9">
        <v>520010600</v>
      </c>
      <c r="E614" s="37" t="s">
        <v>799</v>
      </c>
      <c r="H614" s="9" t="s">
        <v>96</v>
      </c>
      <c r="I614" s="39" t="s">
        <v>778</v>
      </c>
      <c r="J614" s="9">
        <v>55</v>
      </c>
      <c r="K614" s="14">
        <v>3</v>
      </c>
      <c r="L614" s="14">
        <v>3</v>
      </c>
      <c r="M614" s="14" t="str">
        <f t="shared" si="24"/>
        <v>0303</v>
      </c>
      <c r="N614" s="17" t="s">
        <v>799</v>
      </c>
      <c r="P614" s="14" t="str">
        <f t="shared" si="25"/>
        <v>8600000</v>
      </c>
    </row>
    <row r="615" spans="1:16" ht="19.149999999999999" customHeight="1">
      <c r="A615" s="8">
        <v>26</v>
      </c>
      <c r="B615" s="9">
        <v>1</v>
      </c>
      <c r="C615" s="9">
        <v>342</v>
      </c>
      <c r="D615" s="9">
        <v>260010342</v>
      </c>
      <c r="E615" s="37" t="s">
        <v>799</v>
      </c>
      <c r="H615" s="9" t="s">
        <v>178</v>
      </c>
      <c r="I615" s="39" t="s">
        <v>778</v>
      </c>
      <c r="J615" s="9">
        <v>52</v>
      </c>
      <c r="K615" s="14">
        <v>3</v>
      </c>
      <c r="L615" s="14">
        <v>4</v>
      </c>
      <c r="M615" s="14" t="str">
        <f t="shared" si="24"/>
        <v>0304</v>
      </c>
      <c r="N615" s="17" t="s">
        <v>799</v>
      </c>
      <c r="P615" s="14" t="str">
        <f t="shared" si="25"/>
        <v>8600000</v>
      </c>
    </row>
    <row r="616" spans="1:16" ht="19.149999999999999" customHeight="1">
      <c r="A616" s="8">
        <v>30</v>
      </c>
      <c r="B616" s="9">
        <v>1</v>
      </c>
      <c r="C616" s="9">
        <v>428</v>
      </c>
      <c r="D616" s="9">
        <v>300010428</v>
      </c>
      <c r="E616" s="37" t="s">
        <v>799</v>
      </c>
      <c r="H616" s="9" t="s">
        <v>179</v>
      </c>
      <c r="I616" s="39" t="s">
        <v>778</v>
      </c>
      <c r="J616" s="9">
        <v>80</v>
      </c>
      <c r="K616" s="14">
        <v>3</v>
      </c>
      <c r="L616" s="14">
        <v>4</v>
      </c>
      <c r="M616" s="14" t="str">
        <f t="shared" si="24"/>
        <v>0304</v>
      </c>
      <c r="N616" s="17" t="s">
        <v>799</v>
      </c>
      <c r="P616" s="14" t="str">
        <f t="shared" si="25"/>
        <v>8600000</v>
      </c>
    </row>
    <row r="617" spans="1:16" ht="19.149999999999999" customHeight="1">
      <c r="A617" s="8">
        <v>30</v>
      </c>
      <c r="B617" s="9">
        <v>1</v>
      </c>
      <c r="C617" s="9">
        <v>429</v>
      </c>
      <c r="D617" s="9">
        <v>300010429</v>
      </c>
      <c r="E617" s="37" t="s">
        <v>799</v>
      </c>
      <c r="H617" s="9" t="s">
        <v>311</v>
      </c>
      <c r="I617" s="39" t="s">
        <v>773</v>
      </c>
      <c r="J617" s="9">
        <v>2</v>
      </c>
      <c r="K617" s="14">
        <v>3</v>
      </c>
      <c r="L617" s="14">
        <v>7</v>
      </c>
      <c r="M617" s="14" t="str">
        <f t="shared" si="24"/>
        <v>0307</v>
      </c>
      <c r="N617" s="17" t="s">
        <v>799</v>
      </c>
      <c r="P617" s="14" t="str">
        <f t="shared" si="25"/>
        <v>8600000</v>
      </c>
    </row>
    <row r="618" spans="1:16" ht="19.149999999999999" customHeight="1">
      <c r="A618" s="8">
        <v>54</v>
      </c>
      <c r="B618" s="9">
        <v>1</v>
      </c>
      <c r="C618" s="9">
        <v>626</v>
      </c>
      <c r="D618" s="9">
        <v>540010626</v>
      </c>
      <c r="E618" s="37" t="s">
        <v>799</v>
      </c>
      <c r="H618" s="9" t="s">
        <v>339</v>
      </c>
      <c r="I618" s="39" t="s">
        <v>773</v>
      </c>
      <c r="J618" s="9">
        <v>98</v>
      </c>
      <c r="K618" s="14">
        <v>3</v>
      </c>
      <c r="L618" s="14">
        <v>7</v>
      </c>
      <c r="M618" s="14" t="str">
        <f t="shared" ref="M618:M681" si="26">TEXT(K618,"00")&amp;TEXT(L618,"00")</f>
        <v>0307</v>
      </c>
      <c r="N618" s="17" t="s">
        <v>799</v>
      </c>
      <c r="P618" s="14" t="str">
        <f t="shared" ref="P618:P681" si="27">TEXT(E618,"00")&amp;TEXT(F618,"00")&amp;TEXT(G618,"000")</f>
        <v>8600000</v>
      </c>
    </row>
    <row r="619" spans="1:16" ht="19.149999999999999" customHeight="1">
      <c r="A619" s="8">
        <v>30</v>
      </c>
      <c r="B619" s="9">
        <v>1</v>
      </c>
      <c r="C619" s="9">
        <v>486</v>
      </c>
      <c r="D619" s="9">
        <v>300010486</v>
      </c>
      <c r="E619" s="37" t="s">
        <v>799</v>
      </c>
      <c r="H619" s="9" t="s">
        <v>340</v>
      </c>
      <c r="I619" s="39" t="s">
        <v>773</v>
      </c>
      <c r="J619" s="9">
        <v>98</v>
      </c>
      <c r="K619" s="14">
        <v>3</v>
      </c>
      <c r="L619" s="14">
        <v>7</v>
      </c>
      <c r="M619" s="14" t="str">
        <f t="shared" si="26"/>
        <v>0307</v>
      </c>
      <c r="N619" s="17" t="s">
        <v>799</v>
      </c>
      <c r="P619" s="14" t="str">
        <f t="shared" si="27"/>
        <v>8600000</v>
      </c>
    </row>
    <row r="620" spans="1:16" ht="19.149999999999999" customHeight="1">
      <c r="A620" s="8">
        <v>54</v>
      </c>
      <c r="B620" s="9">
        <v>1</v>
      </c>
      <c r="C620" s="9">
        <v>625</v>
      </c>
      <c r="D620" s="9">
        <v>540010625</v>
      </c>
      <c r="E620" s="37" t="s">
        <v>799</v>
      </c>
      <c r="H620" s="9" t="s">
        <v>312</v>
      </c>
      <c r="I620" s="39" t="s">
        <v>773</v>
      </c>
      <c r="J620" s="9">
        <v>0.15</v>
      </c>
      <c r="K620" s="14">
        <v>3</v>
      </c>
      <c r="L620" s="14">
        <v>7</v>
      </c>
      <c r="M620" s="14" t="str">
        <f t="shared" si="26"/>
        <v>0307</v>
      </c>
      <c r="N620" s="17" t="s">
        <v>799</v>
      </c>
      <c r="P620" s="14" t="str">
        <f t="shared" si="27"/>
        <v>8600000</v>
      </c>
    </row>
    <row r="621" spans="1:16" ht="19.149999999999999" customHeight="1">
      <c r="A621" s="8">
        <v>30</v>
      </c>
      <c r="B621" s="9">
        <v>1</v>
      </c>
      <c r="C621" s="9">
        <v>426</v>
      </c>
      <c r="D621" s="9">
        <v>300010426</v>
      </c>
      <c r="E621" s="37" t="s">
        <v>799</v>
      </c>
      <c r="H621" s="9" t="s">
        <v>341</v>
      </c>
      <c r="I621" s="39" t="s">
        <v>773</v>
      </c>
      <c r="J621" s="9">
        <v>0</v>
      </c>
      <c r="K621" s="14">
        <v>3</v>
      </c>
      <c r="L621" s="14">
        <v>7</v>
      </c>
      <c r="M621" s="14" t="str">
        <f t="shared" si="26"/>
        <v>0307</v>
      </c>
      <c r="N621" s="17" t="s">
        <v>799</v>
      </c>
      <c r="P621" s="14" t="str">
        <f t="shared" si="27"/>
        <v>8600000</v>
      </c>
    </row>
    <row r="622" spans="1:16" ht="19.149999999999999" customHeight="1">
      <c r="A622" s="8">
        <v>30</v>
      </c>
      <c r="B622" s="9">
        <v>1</v>
      </c>
      <c r="C622" s="9">
        <v>484</v>
      </c>
      <c r="D622" s="9">
        <v>300010484</v>
      </c>
      <c r="E622" s="37" t="s">
        <v>799</v>
      </c>
      <c r="H622" s="9" t="s">
        <v>360</v>
      </c>
      <c r="I622" s="39" t="s">
        <v>773</v>
      </c>
      <c r="J622" s="9">
        <v>21</v>
      </c>
      <c r="K622" s="14">
        <v>3</v>
      </c>
      <c r="L622" s="14">
        <v>10</v>
      </c>
      <c r="M622" s="14" t="str">
        <f t="shared" si="26"/>
        <v>0310</v>
      </c>
      <c r="N622" s="17" t="s">
        <v>799</v>
      </c>
      <c r="P622" s="14" t="str">
        <f t="shared" si="27"/>
        <v>8600000</v>
      </c>
    </row>
    <row r="623" spans="1:16" ht="19.149999999999999" customHeight="1">
      <c r="A623" s="8">
        <v>52</v>
      </c>
      <c r="B623" s="9">
        <v>1</v>
      </c>
      <c r="C623" s="9">
        <v>565</v>
      </c>
      <c r="D623" s="9">
        <v>520010565</v>
      </c>
      <c r="E623" s="41">
        <v>86</v>
      </c>
      <c r="F623" s="41"/>
      <c r="G623" s="41"/>
      <c r="H623" s="9" t="s">
        <v>762</v>
      </c>
      <c r="I623" s="39" t="s">
        <v>778</v>
      </c>
      <c r="J623" s="9">
        <v>25</v>
      </c>
      <c r="K623" s="14"/>
      <c r="L623" s="14"/>
      <c r="M623" s="14" t="str">
        <f t="shared" si="26"/>
        <v>0000</v>
      </c>
      <c r="N623" s="19">
        <v>86</v>
      </c>
      <c r="O623" s="19"/>
      <c r="P623" s="14" t="str">
        <f t="shared" si="27"/>
        <v>8600000</v>
      </c>
    </row>
    <row r="624" spans="1:16" ht="19.149999999999999" customHeight="1">
      <c r="A624" s="8">
        <v>52</v>
      </c>
      <c r="B624" s="9">
        <v>1</v>
      </c>
      <c r="C624" s="9">
        <v>562</v>
      </c>
      <c r="D624" s="9">
        <v>520010562</v>
      </c>
      <c r="E624" s="37" t="s">
        <v>799</v>
      </c>
      <c r="H624" s="9" t="s">
        <v>182</v>
      </c>
      <c r="I624" s="39" t="s">
        <v>773</v>
      </c>
      <c r="J624" s="9">
        <v>95</v>
      </c>
      <c r="K624" s="14">
        <v>3</v>
      </c>
      <c r="L624" s="14">
        <v>4</v>
      </c>
      <c r="M624" s="14" t="str">
        <f t="shared" si="26"/>
        <v>0304</v>
      </c>
      <c r="N624" s="17" t="s">
        <v>799</v>
      </c>
      <c r="P624" s="14" t="str">
        <f t="shared" si="27"/>
        <v>8600000</v>
      </c>
    </row>
    <row r="625" spans="1:16" ht="19.149999999999999" customHeight="1">
      <c r="A625" s="8">
        <v>52</v>
      </c>
      <c r="B625" s="9">
        <v>1</v>
      </c>
      <c r="C625" s="9">
        <v>581</v>
      </c>
      <c r="D625" s="9">
        <v>520010581</v>
      </c>
      <c r="E625" s="37" t="s">
        <v>799</v>
      </c>
      <c r="H625" s="9" t="s">
        <v>183</v>
      </c>
      <c r="I625" s="39" t="s">
        <v>773</v>
      </c>
      <c r="J625" s="9">
        <v>35</v>
      </c>
      <c r="K625" s="14">
        <v>3</v>
      </c>
      <c r="L625" s="14">
        <v>4</v>
      </c>
      <c r="M625" s="14" t="str">
        <f t="shared" si="26"/>
        <v>0304</v>
      </c>
      <c r="N625" s="17" t="s">
        <v>799</v>
      </c>
      <c r="P625" s="14" t="str">
        <f t="shared" si="27"/>
        <v>8600000</v>
      </c>
    </row>
    <row r="626" spans="1:16" ht="19.149999999999999" customHeight="1">
      <c r="A626" s="8">
        <v>52</v>
      </c>
      <c r="B626" s="9">
        <v>1</v>
      </c>
      <c r="C626" s="9">
        <v>568</v>
      </c>
      <c r="D626" s="9">
        <v>520010568</v>
      </c>
      <c r="E626" s="37" t="s">
        <v>799</v>
      </c>
      <c r="H626" s="9" t="s">
        <v>274</v>
      </c>
      <c r="I626" s="39" t="s">
        <v>773</v>
      </c>
      <c r="J626" s="9">
        <v>14</v>
      </c>
      <c r="K626" s="14">
        <v>3</v>
      </c>
      <c r="L626" s="14">
        <v>5</v>
      </c>
      <c r="M626" s="14" t="str">
        <f t="shared" si="26"/>
        <v>0305</v>
      </c>
      <c r="N626" s="17" t="s">
        <v>799</v>
      </c>
      <c r="P626" s="14" t="str">
        <f t="shared" si="27"/>
        <v>8600000</v>
      </c>
    </row>
    <row r="627" spans="1:16" ht="19.149999999999999" customHeight="1">
      <c r="A627" s="8">
        <v>52</v>
      </c>
      <c r="B627" s="9">
        <v>1</v>
      </c>
      <c r="C627" s="9">
        <v>575</v>
      </c>
      <c r="D627" s="9">
        <v>520010575</v>
      </c>
      <c r="E627" s="37" t="s">
        <v>799</v>
      </c>
      <c r="H627" s="9" t="s">
        <v>275</v>
      </c>
      <c r="I627" s="39" t="s">
        <v>773</v>
      </c>
      <c r="J627" s="9">
        <v>14</v>
      </c>
      <c r="K627" s="14">
        <v>3</v>
      </c>
      <c r="L627" s="14">
        <v>5</v>
      </c>
      <c r="M627" s="14" t="str">
        <f t="shared" si="26"/>
        <v>0305</v>
      </c>
      <c r="N627" s="17" t="s">
        <v>799</v>
      </c>
      <c r="P627" s="14" t="str">
        <f t="shared" si="27"/>
        <v>8600000</v>
      </c>
    </row>
    <row r="628" spans="1:16" ht="19.149999999999999" customHeight="1">
      <c r="A628" s="8">
        <v>52</v>
      </c>
      <c r="B628" s="9">
        <v>1</v>
      </c>
      <c r="C628" s="9">
        <v>578</v>
      </c>
      <c r="D628" s="9">
        <v>520010578</v>
      </c>
      <c r="E628" s="37" t="s">
        <v>799</v>
      </c>
      <c r="H628" s="9" t="s">
        <v>276</v>
      </c>
      <c r="I628" s="39" t="s">
        <v>773</v>
      </c>
      <c r="J628" s="9">
        <v>14</v>
      </c>
      <c r="K628" s="14">
        <v>3</v>
      </c>
      <c r="L628" s="14">
        <v>5</v>
      </c>
      <c r="M628" s="14" t="str">
        <f t="shared" si="26"/>
        <v>0305</v>
      </c>
      <c r="N628" s="17" t="s">
        <v>799</v>
      </c>
      <c r="P628" s="14" t="str">
        <f t="shared" si="27"/>
        <v>8600000</v>
      </c>
    </row>
    <row r="629" spans="1:16" ht="19.149999999999999" customHeight="1">
      <c r="A629" s="8">
        <v>52</v>
      </c>
      <c r="B629" s="9">
        <v>1</v>
      </c>
      <c r="C629" s="9">
        <v>576</v>
      </c>
      <c r="D629" s="9">
        <v>520010576</v>
      </c>
      <c r="E629" s="37" t="s">
        <v>799</v>
      </c>
      <c r="H629" s="9" t="s">
        <v>277</v>
      </c>
      <c r="I629" s="39" t="s">
        <v>773</v>
      </c>
      <c r="J629" s="9">
        <v>14</v>
      </c>
      <c r="K629" s="14">
        <v>3</v>
      </c>
      <c r="L629" s="14">
        <v>5</v>
      </c>
      <c r="M629" s="14" t="str">
        <f t="shared" si="26"/>
        <v>0305</v>
      </c>
      <c r="N629" s="17" t="s">
        <v>799</v>
      </c>
      <c r="P629" s="14" t="str">
        <f t="shared" si="27"/>
        <v>8600000</v>
      </c>
    </row>
    <row r="630" spans="1:16" ht="19.149999999999999" customHeight="1">
      <c r="A630" s="8">
        <v>52</v>
      </c>
      <c r="B630" s="9">
        <v>1</v>
      </c>
      <c r="C630" s="9">
        <v>598</v>
      </c>
      <c r="D630" s="9">
        <v>520010598</v>
      </c>
      <c r="E630" s="37" t="s">
        <v>799</v>
      </c>
      <c r="H630" s="9" t="s">
        <v>277</v>
      </c>
      <c r="I630" s="39" t="s">
        <v>773</v>
      </c>
      <c r="J630" s="9">
        <v>14</v>
      </c>
      <c r="K630" s="14">
        <v>3</v>
      </c>
      <c r="L630" s="14">
        <v>5</v>
      </c>
      <c r="M630" s="14" t="str">
        <f t="shared" si="26"/>
        <v>0305</v>
      </c>
      <c r="N630" s="17" t="s">
        <v>799</v>
      </c>
      <c r="P630" s="14" t="str">
        <f t="shared" si="27"/>
        <v>8600000</v>
      </c>
    </row>
    <row r="631" spans="1:16" ht="19.149999999999999" customHeight="1">
      <c r="A631" s="8">
        <v>52</v>
      </c>
      <c r="B631" s="9">
        <v>1</v>
      </c>
      <c r="C631" s="9">
        <v>592</v>
      </c>
      <c r="D631" s="9">
        <v>520010592</v>
      </c>
      <c r="E631" s="37" t="s">
        <v>799</v>
      </c>
      <c r="H631" s="9" t="s">
        <v>278</v>
      </c>
      <c r="I631" s="39" t="s">
        <v>773</v>
      </c>
      <c r="J631" s="9">
        <v>14</v>
      </c>
      <c r="K631" s="14">
        <v>3</v>
      </c>
      <c r="L631" s="14">
        <v>5</v>
      </c>
      <c r="M631" s="14" t="str">
        <f t="shared" si="26"/>
        <v>0305</v>
      </c>
      <c r="N631" s="17" t="s">
        <v>799</v>
      </c>
      <c r="P631" s="14" t="str">
        <f t="shared" si="27"/>
        <v>8600000</v>
      </c>
    </row>
    <row r="632" spans="1:16" ht="19.149999999999999" customHeight="1">
      <c r="A632" s="8">
        <v>30</v>
      </c>
      <c r="B632" s="9">
        <v>1</v>
      </c>
      <c r="C632" s="9">
        <v>363</v>
      </c>
      <c r="D632" s="9">
        <v>300010363</v>
      </c>
      <c r="E632" s="37" t="s">
        <v>799</v>
      </c>
      <c r="H632" s="9" t="s">
        <v>278</v>
      </c>
      <c r="I632" s="39" t="s">
        <v>773</v>
      </c>
      <c r="J632" s="9">
        <v>14</v>
      </c>
      <c r="K632" s="14">
        <v>3</v>
      </c>
      <c r="L632" s="14">
        <v>5</v>
      </c>
      <c r="M632" s="14" t="str">
        <f t="shared" si="26"/>
        <v>0305</v>
      </c>
      <c r="N632" s="17" t="s">
        <v>799</v>
      </c>
      <c r="P632" s="14" t="str">
        <f t="shared" si="27"/>
        <v>8600000</v>
      </c>
    </row>
    <row r="633" spans="1:16" ht="19.149999999999999" customHeight="1">
      <c r="A633" s="8">
        <v>52</v>
      </c>
      <c r="B633" s="9">
        <v>1</v>
      </c>
      <c r="C633" s="9">
        <v>577</v>
      </c>
      <c r="D633" s="9">
        <v>520010577</v>
      </c>
      <c r="E633" s="37" t="s">
        <v>799</v>
      </c>
      <c r="H633" s="9" t="s">
        <v>47</v>
      </c>
      <c r="I633" s="39" t="s">
        <v>773</v>
      </c>
      <c r="J633" s="9">
        <v>2.5</v>
      </c>
      <c r="K633" s="14">
        <v>3</v>
      </c>
      <c r="L633" s="14">
        <v>1</v>
      </c>
      <c r="M633" s="14" t="str">
        <f t="shared" si="26"/>
        <v>0301</v>
      </c>
      <c r="N633" s="17" t="s">
        <v>799</v>
      </c>
      <c r="P633" s="14" t="str">
        <f t="shared" si="27"/>
        <v>8600000</v>
      </c>
    </row>
    <row r="634" spans="1:16" ht="19.149999999999999" customHeight="1">
      <c r="A634" s="8">
        <v>52</v>
      </c>
      <c r="B634" s="9">
        <v>1</v>
      </c>
      <c r="C634" s="9">
        <v>591</v>
      </c>
      <c r="D634" s="9">
        <v>520010591</v>
      </c>
      <c r="E634" s="37" t="s">
        <v>799</v>
      </c>
      <c r="H634" s="9" t="s">
        <v>342</v>
      </c>
      <c r="I634" s="39" t="s">
        <v>773</v>
      </c>
      <c r="J634" s="9">
        <v>5</v>
      </c>
      <c r="K634" s="14">
        <v>3</v>
      </c>
      <c r="L634" s="14">
        <v>7</v>
      </c>
      <c r="M634" s="14" t="str">
        <f t="shared" si="26"/>
        <v>0307</v>
      </c>
      <c r="N634" s="17" t="s">
        <v>799</v>
      </c>
      <c r="P634" s="14" t="str">
        <f t="shared" si="27"/>
        <v>8600000</v>
      </c>
    </row>
    <row r="635" spans="1:16" ht="19.149999999999999" customHeight="1">
      <c r="A635" s="8">
        <v>52</v>
      </c>
      <c r="B635" s="9">
        <v>1</v>
      </c>
      <c r="C635" s="9">
        <v>590</v>
      </c>
      <c r="D635" s="9">
        <v>520010590</v>
      </c>
      <c r="E635" s="37" t="s">
        <v>799</v>
      </c>
      <c r="H635" s="9" t="s">
        <v>120</v>
      </c>
      <c r="I635" s="39" t="s">
        <v>773</v>
      </c>
      <c r="J635" s="9">
        <v>0.04</v>
      </c>
      <c r="K635" s="14">
        <v>3</v>
      </c>
      <c r="L635" s="14">
        <v>4</v>
      </c>
      <c r="M635" s="14" t="str">
        <f t="shared" si="26"/>
        <v>0304</v>
      </c>
      <c r="N635" s="17" t="s">
        <v>799</v>
      </c>
      <c r="P635" s="14" t="str">
        <f t="shared" si="27"/>
        <v>8600000</v>
      </c>
    </row>
    <row r="636" spans="1:16" ht="19.149999999999999" customHeight="1">
      <c r="A636" s="8">
        <v>52</v>
      </c>
      <c r="B636" s="9">
        <v>1</v>
      </c>
      <c r="C636" s="9">
        <v>580</v>
      </c>
      <c r="D636" s="9">
        <v>520010580</v>
      </c>
      <c r="E636" s="37" t="s">
        <v>799</v>
      </c>
      <c r="H636" s="9" t="s">
        <v>121</v>
      </c>
      <c r="I636" s="39" t="s">
        <v>773</v>
      </c>
      <c r="J636" s="9">
        <v>7.0000000000000007E-2</v>
      </c>
      <c r="K636" s="14">
        <v>3</v>
      </c>
      <c r="L636" s="14">
        <v>4</v>
      </c>
      <c r="M636" s="14" t="str">
        <f t="shared" si="26"/>
        <v>0304</v>
      </c>
      <c r="N636" s="17" t="s">
        <v>799</v>
      </c>
      <c r="P636" s="14" t="str">
        <f t="shared" si="27"/>
        <v>8600000</v>
      </c>
    </row>
    <row r="637" spans="1:16" ht="19.149999999999999" customHeight="1">
      <c r="A637" s="8">
        <v>52</v>
      </c>
      <c r="B637" s="9">
        <v>1</v>
      </c>
      <c r="C637" s="9">
        <v>595</v>
      </c>
      <c r="D637" s="9">
        <v>520010595</v>
      </c>
      <c r="E637" s="37" t="s">
        <v>799</v>
      </c>
      <c r="H637" s="9" t="s">
        <v>122</v>
      </c>
      <c r="I637" s="39" t="s">
        <v>773</v>
      </c>
      <c r="J637" s="9">
        <v>0.05</v>
      </c>
      <c r="K637" s="14">
        <v>3</v>
      </c>
      <c r="L637" s="14">
        <v>4</v>
      </c>
      <c r="M637" s="14" t="str">
        <f t="shared" si="26"/>
        <v>0304</v>
      </c>
      <c r="N637" s="17" t="s">
        <v>799</v>
      </c>
      <c r="P637" s="14" t="str">
        <f t="shared" si="27"/>
        <v>8600000</v>
      </c>
    </row>
    <row r="638" spans="1:16" ht="19.149999999999999" customHeight="1">
      <c r="A638" s="8">
        <v>52</v>
      </c>
      <c r="B638" s="9">
        <v>1</v>
      </c>
      <c r="C638" s="9">
        <v>582</v>
      </c>
      <c r="D638" s="9">
        <v>520010582</v>
      </c>
      <c r="E638" s="37" t="s">
        <v>799</v>
      </c>
      <c r="H638" s="9" t="s">
        <v>212</v>
      </c>
      <c r="I638" s="39" t="s">
        <v>773</v>
      </c>
      <c r="J638" s="9">
        <v>0.08</v>
      </c>
      <c r="K638" s="14">
        <v>3</v>
      </c>
      <c r="L638" s="14">
        <v>5</v>
      </c>
      <c r="M638" s="14" t="str">
        <f t="shared" si="26"/>
        <v>0305</v>
      </c>
      <c r="N638" s="17" t="s">
        <v>799</v>
      </c>
      <c r="P638" s="14" t="str">
        <f t="shared" si="27"/>
        <v>8600000</v>
      </c>
    </row>
    <row r="639" spans="1:16" ht="19.149999999999999" customHeight="1">
      <c r="A639" s="8">
        <v>30</v>
      </c>
      <c r="B639" s="9">
        <v>1</v>
      </c>
      <c r="C639" s="9">
        <v>361</v>
      </c>
      <c r="D639" s="9">
        <v>300010361</v>
      </c>
      <c r="E639" s="37" t="s">
        <v>799</v>
      </c>
      <c r="H639" s="9" t="s">
        <v>323</v>
      </c>
      <c r="I639" s="39" t="s">
        <v>775</v>
      </c>
      <c r="J639" s="9">
        <v>109</v>
      </c>
      <c r="K639" s="14">
        <v>3</v>
      </c>
      <c r="L639" s="14">
        <v>7</v>
      </c>
      <c r="M639" s="14" t="str">
        <f t="shared" si="26"/>
        <v>0307</v>
      </c>
      <c r="N639" s="17" t="s">
        <v>799</v>
      </c>
      <c r="P639" s="14" t="str">
        <f t="shared" si="27"/>
        <v>8600000</v>
      </c>
    </row>
    <row r="640" spans="1:16" ht="19.149999999999999" customHeight="1">
      <c r="A640" s="8">
        <v>30</v>
      </c>
      <c r="B640" s="9">
        <v>1</v>
      </c>
      <c r="C640" s="9">
        <v>450</v>
      </c>
      <c r="D640" s="9">
        <v>300010450</v>
      </c>
      <c r="E640" s="37" t="s">
        <v>799</v>
      </c>
      <c r="H640" s="9" t="s">
        <v>324</v>
      </c>
      <c r="I640" s="39" t="s">
        <v>773</v>
      </c>
      <c r="J640" s="9">
        <v>69.5</v>
      </c>
      <c r="K640" s="14">
        <v>3</v>
      </c>
      <c r="L640" s="14">
        <v>7</v>
      </c>
      <c r="M640" s="14" t="str">
        <f t="shared" si="26"/>
        <v>0307</v>
      </c>
      <c r="N640" s="17" t="s">
        <v>799</v>
      </c>
      <c r="P640" s="14" t="str">
        <f t="shared" si="27"/>
        <v>8600000</v>
      </c>
    </row>
    <row r="641" spans="1:16" ht="19.149999999999999" customHeight="1">
      <c r="A641" s="8">
        <v>30</v>
      </c>
      <c r="B641" s="9">
        <v>1</v>
      </c>
      <c r="C641" s="9">
        <v>449</v>
      </c>
      <c r="D641" s="9">
        <v>300010449</v>
      </c>
      <c r="E641" s="37" t="s">
        <v>799</v>
      </c>
      <c r="H641" s="9" t="s">
        <v>325</v>
      </c>
      <c r="I641" s="39" t="s">
        <v>775</v>
      </c>
      <c r="J641" s="9">
        <v>106.2</v>
      </c>
      <c r="K641" s="14">
        <v>3</v>
      </c>
      <c r="L641" s="14">
        <v>7</v>
      </c>
      <c r="M641" s="14" t="str">
        <f t="shared" si="26"/>
        <v>0307</v>
      </c>
      <c r="N641" s="17" t="s">
        <v>799</v>
      </c>
      <c r="P641" s="14" t="str">
        <f t="shared" si="27"/>
        <v>8600000</v>
      </c>
    </row>
    <row r="642" spans="1:16" ht="19.149999999999999" customHeight="1">
      <c r="A642" s="8">
        <v>52</v>
      </c>
      <c r="B642" s="9">
        <v>1</v>
      </c>
      <c r="C642" s="9">
        <v>579</v>
      </c>
      <c r="D642" s="9">
        <v>520010579</v>
      </c>
      <c r="E642" s="37" t="s">
        <v>799</v>
      </c>
      <c r="H642" s="9" t="s">
        <v>326</v>
      </c>
      <c r="I642" s="39" t="s">
        <v>777</v>
      </c>
      <c r="J642" s="9">
        <v>1</v>
      </c>
      <c r="K642" s="14">
        <v>3</v>
      </c>
      <c r="L642" s="14">
        <v>7</v>
      </c>
      <c r="M642" s="14" t="str">
        <f t="shared" si="26"/>
        <v>0307</v>
      </c>
      <c r="N642" s="17" t="s">
        <v>799</v>
      </c>
      <c r="P642" s="14" t="str">
        <f t="shared" si="27"/>
        <v>8600000</v>
      </c>
    </row>
    <row r="643" spans="1:16" ht="19.149999999999999" customHeight="1">
      <c r="A643" s="8">
        <v>30</v>
      </c>
      <c r="B643" s="9">
        <v>1</v>
      </c>
      <c r="C643" s="9">
        <v>521</v>
      </c>
      <c r="D643" s="9">
        <v>300010521</v>
      </c>
      <c r="E643" s="37" t="s">
        <v>811</v>
      </c>
      <c r="H643" s="9" t="s">
        <v>189</v>
      </c>
      <c r="I643" s="39" t="s">
        <v>776</v>
      </c>
      <c r="J643" s="9">
        <v>22</v>
      </c>
      <c r="K643" s="14">
        <v>3</v>
      </c>
      <c r="L643" s="14">
        <v>4</v>
      </c>
      <c r="M643" s="14" t="str">
        <f t="shared" si="26"/>
        <v>0304</v>
      </c>
      <c r="N643" s="17" t="s">
        <v>811</v>
      </c>
      <c r="P643" s="14" t="str">
        <f t="shared" si="27"/>
        <v>8700000</v>
      </c>
    </row>
    <row r="644" spans="1:16" ht="19.149999999999999" customHeight="1">
      <c r="A644" s="8">
        <v>30</v>
      </c>
      <c r="B644" s="9">
        <v>1</v>
      </c>
      <c r="C644" s="9">
        <v>431</v>
      </c>
      <c r="D644" s="9">
        <v>300010431</v>
      </c>
      <c r="E644" s="37" t="s">
        <v>795</v>
      </c>
      <c r="H644" s="9" t="s">
        <v>445</v>
      </c>
      <c r="I644" s="39" t="s">
        <v>773</v>
      </c>
      <c r="J644" s="9">
        <v>40</v>
      </c>
      <c r="K644" s="14">
        <v>4</v>
      </c>
      <c r="L644" s="14">
        <v>2</v>
      </c>
      <c r="M644" s="14" t="str">
        <f t="shared" si="26"/>
        <v>0402</v>
      </c>
      <c r="N644" s="17" t="s">
        <v>795</v>
      </c>
      <c r="P644" s="14" t="str">
        <f t="shared" si="27"/>
        <v>8800000</v>
      </c>
    </row>
    <row r="645" spans="1:16" ht="19.149999999999999" customHeight="1">
      <c r="A645" s="8">
        <v>65</v>
      </c>
      <c r="B645" s="9">
        <v>1</v>
      </c>
      <c r="C645" s="9">
        <v>723</v>
      </c>
      <c r="D645" s="9">
        <v>650010723</v>
      </c>
      <c r="E645" s="37" t="s">
        <v>795</v>
      </c>
      <c r="H645" s="9" t="s">
        <v>32</v>
      </c>
      <c r="I645" s="39" t="s">
        <v>773</v>
      </c>
      <c r="J645" s="9">
        <v>0</v>
      </c>
      <c r="K645" s="14">
        <v>2</v>
      </c>
      <c r="L645" s="14">
        <v>4</v>
      </c>
      <c r="M645" s="14" t="str">
        <f t="shared" si="26"/>
        <v>0204</v>
      </c>
      <c r="N645" s="17" t="s">
        <v>795</v>
      </c>
      <c r="P645" s="14" t="str">
        <f t="shared" si="27"/>
        <v>8800000</v>
      </c>
    </row>
    <row r="646" spans="1:16" ht="19.149999999999999" customHeight="1">
      <c r="A646" s="8">
        <v>60</v>
      </c>
      <c r="B646" s="9">
        <v>1</v>
      </c>
      <c r="C646" s="9">
        <v>658</v>
      </c>
      <c r="D646" s="9">
        <v>600010658</v>
      </c>
      <c r="E646" s="41">
        <v>88</v>
      </c>
      <c r="F646" s="41"/>
      <c r="G646" s="41"/>
      <c r="H646" s="9" t="s">
        <v>734</v>
      </c>
      <c r="I646" s="39" t="s">
        <v>784</v>
      </c>
      <c r="J646" s="9">
        <v>25</v>
      </c>
      <c r="K646" s="14"/>
      <c r="L646" s="14"/>
      <c r="M646" s="14" t="str">
        <f t="shared" si="26"/>
        <v>0000</v>
      </c>
      <c r="N646" s="19">
        <v>88</v>
      </c>
      <c r="O646" s="19"/>
      <c r="P646" s="14" t="str">
        <f t="shared" si="27"/>
        <v>8800000</v>
      </c>
    </row>
    <row r="647" spans="1:16" ht="19.149999999999999" customHeight="1">
      <c r="A647" s="8">
        <v>30</v>
      </c>
      <c r="B647" s="9">
        <v>1</v>
      </c>
      <c r="C647" s="9">
        <v>402</v>
      </c>
      <c r="D647" s="9">
        <v>300010402</v>
      </c>
      <c r="E647" s="37" t="s">
        <v>795</v>
      </c>
      <c r="H647" s="9" t="s">
        <v>270</v>
      </c>
      <c r="I647" s="39" t="s">
        <v>773</v>
      </c>
      <c r="J647" s="9">
        <v>165</v>
      </c>
      <c r="K647" s="14">
        <v>3</v>
      </c>
      <c r="L647" s="14">
        <v>5</v>
      </c>
      <c r="M647" s="14" t="str">
        <f t="shared" si="26"/>
        <v>0305</v>
      </c>
      <c r="N647" s="17" t="s">
        <v>795</v>
      </c>
      <c r="P647" s="14" t="str">
        <f t="shared" si="27"/>
        <v>8800000</v>
      </c>
    </row>
    <row r="648" spans="1:16" ht="19.149999999999999" customHeight="1">
      <c r="A648" s="8">
        <v>54</v>
      </c>
      <c r="B648" s="9">
        <v>1</v>
      </c>
      <c r="C648" s="9">
        <v>632</v>
      </c>
      <c r="D648" s="9">
        <v>540010632</v>
      </c>
      <c r="E648" s="37" t="s">
        <v>795</v>
      </c>
      <c r="H648" s="9" t="s">
        <v>184</v>
      </c>
      <c r="I648" s="39" t="s">
        <v>773</v>
      </c>
      <c r="J648" s="9">
        <v>18</v>
      </c>
      <c r="K648" s="14">
        <v>3</v>
      </c>
      <c r="L648" s="14">
        <v>4</v>
      </c>
      <c r="M648" s="14" t="str">
        <f t="shared" si="26"/>
        <v>0304</v>
      </c>
      <c r="N648" s="17" t="s">
        <v>795</v>
      </c>
      <c r="P648" s="14" t="str">
        <f t="shared" si="27"/>
        <v>8800000</v>
      </c>
    </row>
    <row r="649" spans="1:16" ht="19.149999999999999" customHeight="1">
      <c r="A649" s="8">
        <v>54</v>
      </c>
      <c r="B649" s="9">
        <v>1</v>
      </c>
      <c r="C649" s="9">
        <v>601</v>
      </c>
      <c r="D649" s="9">
        <v>540010601</v>
      </c>
      <c r="E649" s="37" t="s">
        <v>795</v>
      </c>
      <c r="H649" s="9" t="s">
        <v>185</v>
      </c>
      <c r="I649" s="39" t="s">
        <v>773</v>
      </c>
      <c r="J649" s="9">
        <v>18</v>
      </c>
      <c r="K649" s="14">
        <v>3</v>
      </c>
      <c r="L649" s="14">
        <v>4</v>
      </c>
      <c r="M649" s="14" t="str">
        <f t="shared" si="26"/>
        <v>0304</v>
      </c>
      <c r="N649" s="17" t="s">
        <v>795</v>
      </c>
      <c r="P649" s="14" t="str">
        <f t="shared" si="27"/>
        <v>8800000</v>
      </c>
    </row>
    <row r="650" spans="1:16" ht="19.149999999999999" customHeight="1">
      <c r="A650" s="8">
        <v>12</v>
      </c>
      <c r="B650" s="9">
        <v>1</v>
      </c>
      <c r="C650" s="9">
        <v>315</v>
      </c>
      <c r="D650" s="9">
        <v>120010315</v>
      </c>
      <c r="E650" s="37" t="s">
        <v>795</v>
      </c>
      <c r="H650" s="9" t="s">
        <v>443</v>
      </c>
      <c r="I650" s="39" t="s">
        <v>773</v>
      </c>
      <c r="J650" s="9">
        <v>19.2</v>
      </c>
      <c r="K650" s="14">
        <v>4</v>
      </c>
      <c r="L650" s="14">
        <v>2</v>
      </c>
      <c r="M650" s="14" t="str">
        <f t="shared" si="26"/>
        <v>0402</v>
      </c>
      <c r="N650" s="17" t="s">
        <v>795</v>
      </c>
      <c r="P650" s="14" t="str">
        <f t="shared" si="27"/>
        <v>8800000</v>
      </c>
    </row>
    <row r="651" spans="1:16" ht="19.149999999999999" customHeight="1">
      <c r="A651" s="8">
        <v>10</v>
      </c>
      <c r="B651" s="9">
        <v>1</v>
      </c>
      <c r="C651" s="9">
        <v>223</v>
      </c>
      <c r="D651" s="9">
        <v>100010223</v>
      </c>
      <c r="E651" s="41" t="s">
        <v>819</v>
      </c>
      <c r="F651" s="41"/>
      <c r="G651" s="41"/>
      <c r="H651" s="9" t="s">
        <v>709</v>
      </c>
      <c r="I651" s="39" t="s">
        <v>773</v>
      </c>
      <c r="J651" s="9">
        <v>14</v>
      </c>
      <c r="K651" s="14"/>
      <c r="L651" s="14"/>
      <c r="M651" s="14" t="str">
        <f t="shared" si="26"/>
        <v>0000</v>
      </c>
      <c r="N651" s="19" t="s">
        <v>819</v>
      </c>
      <c r="O651" s="19"/>
      <c r="P651" s="14" t="str">
        <f t="shared" si="27"/>
        <v>9000000</v>
      </c>
    </row>
    <row r="652" spans="1:16" ht="19.149999999999999" customHeight="1">
      <c r="A652" s="8">
        <v>39</v>
      </c>
      <c r="B652" s="9">
        <v>1</v>
      </c>
      <c r="C652" s="9">
        <v>37</v>
      </c>
      <c r="D652" s="9">
        <v>390010037</v>
      </c>
      <c r="E652" s="37" t="s">
        <v>819</v>
      </c>
      <c r="H652" s="9" t="s">
        <v>421</v>
      </c>
      <c r="I652" s="39" t="s">
        <v>773</v>
      </c>
      <c r="J652" s="9">
        <v>0.9</v>
      </c>
      <c r="K652" s="14">
        <v>4</v>
      </c>
      <c r="L652" s="14">
        <v>1</v>
      </c>
      <c r="M652" s="14" t="str">
        <f t="shared" si="26"/>
        <v>0401</v>
      </c>
      <c r="N652" s="17" t="s">
        <v>819</v>
      </c>
      <c r="P652" s="14" t="str">
        <f t="shared" si="27"/>
        <v>9000000</v>
      </c>
    </row>
    <row r="653" spans="1:16" ht="19.149999999999999" customHeight="1">
      <c r="A653" s="8">
        <v>66</v>
      </c>
      <c r="B653" s="9">
        <v>1</v>
      </c>
      <c r="C653" s="9">
        <v>775</v>
      </c>
      <c r="D653" s="9">
        <v>660010775</v>
      </c>
      <c r="E653" s="37" t="s">
        <v>819</v>
      </c>
      <c r="H653" s="9" t="s">
        <v>422</v>
      </c>
      <c r="I653" s="39" t="s">
        <v>773</v>
      </c>
      <c r="J653" s="9">
        <v>1.1000000000000001</v>
      </c>
      <c r="K653" s="14">
        <v>4</v>
      </c>
      <c r="L653" s="14">
        <v>1</v>
      </c>
      <c r="M653" s="14" t="str">
        <f t="shared" si="26"/>
        <v>0401</v>
      </c>
      <c r="N653" s="17" t="s">
        <v>819</v>
      </c>
      <c r="P653" s="14" t="str">
        <f t="shared" si="27"/>
        <v>9000000</v>
      </c>
    </row>
    <row r="654" spans="1:16" ht="19.149999999999999" customHeight="1">
      <c r="A654" s="8">
        <v>66</v>
      </c>
      <c r="B654" s="9">
        <v>1</v>
      </c>
      <c r="C654" s="9">
        <v>774</v>
      </c>
      <c r="D654" s="9">
        <v>660010774</v>
      </c>
      <c r="E654" s="37" t="s">
        <v>819</v>
      </c>
      <c r="H654" s="9" t="s">
        <v>423</v>
      </c>
      <c r="I654" s="39" t="s">
        <v>773</v>
      </c>
      <c r="J654" s="9">
        <v>1.5</v>
      </c>
      <c r="K654" s="14">
        <v>4</v>
      </c>
      <c r="L654" s="14">
        <v>1</v>
      </c>
      <c r="M654" s="14" t="str">
        <f t="shared" si="26"/>
        <v>0401</v>
      </c>
      <c r="N654" s="17" t="s">
        <v>819</v>
      </c>
      <c r="P654" s="14" t="str">
        <f t="shared" si="27"/>
        <v>9000000</v>
      </c>
    </row>
    <row r="655" spans="1:16" ht="19.149999999999999" customHeight="1">
      <c r="A655" s="8">
        <v>66</v>
      </c>
      <c r="B655" s="9">
        <v>1</v>
      </c>
      <c r="C655" s="9">
        <v>773</v>
      </c>
      <c r="D655" s="9">
        <v>660010773</v>
      </c>
      <c r="E655" s="37" t="s">
        <v>819</v>
      </c>
      <c r="H655" s="9" t="s">
        <v>414</v>
      </c>
      <c r="I655" s="39" t="s">
        <v>773</v>
      </c>
      <c r="J655" s="9">
        <v>36.799999999999997</v>
      </c>
      <c r="K655" s="14">
        <v>4</v>
      </c>
      <c r="L655" s="14">
        <v>1</v>
      </c>
      <c r="M655" s="14" t="str">
        <f t="shared" si="26"/>
        <v>0401</v>
      </c>
      <c r="N655" s="17" t="s">
        <v>819</v>
      </c>
      <c r="P655" s="14" t="str">
        <f t="shared" si="27"/>
        <v>9000000</v>
      </c>
    </row>
    <row r="656" spans="1:16" ht="19.149999999999999" customHeight="1">
      <c r="A656" s="8">
        <v>66</v>
      </c>
      <c r="B656" s="9">
        <v>1</v>
      </c>
      <c r="C656" s="9">
        <v>785</v>
      </c>
      <c r="D656" s="9">
        <v>660010785</v>
      </c>
      <c r="E656" s="37" t="s">
        <v>819</v>
      </c>
      <c r="H656" s="9" t="s">
        <v>415</v>
      </c>
      <c r="I656" s="39" t="s">
        <v>773</v>
      </c>
      <c r="J656" s="9">
        <v>36.799999999999997</v>
      </c>
      <c r="K656" s="14">
        <v>4</v>
      </c>
      <c r="L656" s="14">
        <v>1</v>
      </c>
      <c r="M656" s="14" t="str">
        <f t="shared" si="26"/>
        <v>0401</v>
      </c>
      <c r="N656" s="17" t="s">
        <v>819</v>
      </c>
      <c r="P656" s="14" t="str">
        <f t="shared" si="27"/>
        <v>9000000</v>
      </c>
    </row>
    <row r="657" spans="1:16" ht="19.149999999999999" customHeight="1">
      <c r="A657" s="8">
        <v>66</v>
      </c>
      <c r="B657" s="9">
        <v>1</v>
      </c>
      <c r="C657" s="9">
        <v>786</v>
      </c>
      <c r="D657" s="9">
        <v>660010786</v>
      </c>
      <c r="E657" s="37" t="s">
        <v>819</v>
      </c>
      <c r="H657" s="9" t="s">
        <v>416</v>
      </c>
      <c r="I657" s="39" t="s">
        <v>773</v>
      </c>
      <c r="J657" s="9">
        <v>36.4</v>
      </c>
      <c r="K657" s="14">
        <v>4</v>
      </c>
      <c r="L657" s="14">
        <v>1</v>
      </c>
      <c r="M657" s="14" t="str">
        <f t="shared" si="26"/>
        <v>0401</v>
      </c>
      <c r="N657" s="17" t="s">
        <v>819</v>
      </c>
      <c r="P657" s="14" t="str">
        <f t="shared" si="27"/>
        <v>9000000</v>
      </c>
    </row>
    <row r="658" spans="1:16" ht="19.149999999999999" customHeight="1">
      <c r="A658" s="8">
        <v>39</v>
      </c>
      <c r="B658" s="9">
        <v>1</v>
      </c>
      <c r="C658" s="9">
        <v>32</v>
      </c>
      <c r="D658" s="9">
        <v>390010032</v>
      </c>
      <c r="E658" s="37" t="s">
        <v>819</v>
      </c>
      <c r="H658" s="9" t="s">
        <v>417</v>
      </c>
      <c r="I658" s="39" t="s">
        <v>773</v>
      </c>
      <c r="J658" s="9">
        <v>40</v>
      </c>
      <c r="K658" s="14">
        <v>4</v>
      </c>
      <c r="L658" s="14">
        <v>1</v>
      </c>
      <c r="M658" s="14" t="str">
        <f t="shared" si="26"/>
        <v>0401</v>
      </c>
      <c r="N658" s="17" t="s">
        <v>819</v>
      </c>
      <c r="P658" s="14" t="str">
        <f t="shared" si="27"/>
        <v>9000000</v>
      </c>
    </row>
    <row r="659" spans="1:16" ht="19.149999999999999" customHeight="1">
      <c r="A659" s="8">
        <v>66</v>
      </c>
      <c r="B659" s="9">
        <v>1</v>
      </c>
      <c r="C659" s="9">
        <v>784</v>
      </c>
      <c r="D659" s="9">
        <v>660010784</v>
      </c>
      <c r="E659" s="37" t="s">
        <v>819</v>
      </c>
      <c r="H659" s="9" t="s">
        <v>427</v>
      </c>
      <c r="I659" s="39" t="s">
        <v>773</v>
      </c>
      <c r="J659" s="9">
        <v>0.6</v>
      </c>
      <c r="K659" s="14">
        <v>4</v>
      </c>
      <c r="L659" s="14">
        <v>1</v>
      </c>
      <c r="M659" s="14" t="str">
        <f t="shared" si="26"/>
        <v>0401</v>
      </c>
      <c r="N659" s="17" t="s">
        <v>819</v>
      </c>
      <c r="P659" s="14" t="str">
        <f t="shared" si="27"/>
        <v>9000000</v>
      </c>
    </row>
    <row r="660" spans="1:16" ht="19.149999999999999" customHeight="1">
      <c r="A660" s="8">
        <v>66</v>
      </c>
      <c r="B660" s="9">
        <v>1</v>
      </c>
      <c r="C660" s="9">
        <v>772</v>
      </c>
      <c r="D660" s="9">
        <v>660010772</v>
      </c>
      <c r="E660" s="37" t="s">
        <v>819</v>
      </c>
      <c r="H660" s="9" t="s">
        <v>428</v>
      </c>
      <c r="I660" s="39" t="s">
        <v>773</v>
      </c>
      <c r="J660" s="9">
        <v>0.9</v>
      </c>
      <c r="K660" s="14">
        <v>4</v>
      </c>
      <c r="L660" s="14">
        <v>1</v>
      </c>
      <c r="M660" s="14" t="str">
        <f t="shared" si="26"/>
        <v>0401</v>
      </c>
      <c r="N660" s="17" t="s">
        <v>819</v>
      </c>
      <c r="P660" s="14" t="str">
        <f t="shared" si="27"/>
        <v>9000000</v>
      </c>
    </row>
    <row r="661" spans="1:16" ht="19.149999999999999" customHeight="1">
      <c r="A661" s="8">
        <v>66</v>
      </c>
      <c r="B661" s="9">
        <v>1</v>
      </c>
      <c r="C661" s="9">
        <v>771</v>
      </c>
      <c r="D661" s="9">
        <v>660010771</v>
      </c>
      <c r="E661" s="41" t="s">
        <v>819</v>
      </c>
      <c r="F661" s="41"/>
      <c r="G661" s="41"/>
      <c r="H661" s="9" t="s">
        <v>674</v>
      </c>
      <c r="I661" s="39" t="s">
        <v>773</v>
      </c>
      <c r="J661" s="9">
        <v>1</v>
      </c>
      <c r="K661" s="14">
        <v>7</v>
      </c>
      <c r="L661" s="14">
        <v>3</v>
      </c>
      <c r="M661" s="14" t="str">
        <f t="shared" si="26"/>
        <v>0703</v>
      </c>
      <c r="N661" s="19" t="s">
        <v>819</v>
      </c>
      <c r="O661" s="19"/>
      <c r="P661" s="14" t="str">
        <f t="shared" si="27"/>
        <v>9000000</v>
      </c>
    </row>
    <row r="662" spans="1:16" ht="19.149999999999999" customHeight="1">
      <c r="A662" s="8">
        <v>66</v>
      </c>
      <c r="B662" s="9">
        <v>1</v>
      </c>
      <c r="C662" s="9">
        <v>777</v>
      </c>
      <c r="D662" s="9">
        <v>660010777</v>
      </c>
      <c r="E662" s="41" t="s">
        <v>819</v>
      </c>
      <c r="F662" s="41"/>
      <c r="G662" s="41"/>
      <c r="H662" s="9" t="s">
        <v>675</v>
      </c>
      <c r="I662" s="39" t="s">
        <v>773</v>
      </c>
      <c r="J662" s="9">
        <v>0.5</v>
      </c>
      <c r="K662" s="14">
        <v>7</v>
      </c>
      <c r="L662" s="14">
        <v>3</v>
      </c>
      <c r="M662" s="14" t="str">
        <f t="shared" si="26"/>
        <v>0703</v>
      </c>
      <c r="N662" s="19" t="s">
        <v>819</v>
      </c>
      <c r="O662" s="19"/>
      <c r="P662" s="14" t="str">
        <f t="shared" si="27"/>
        <v>9000000</v>
      </c>
    </row>
    <row r="663" spans="1:16" ht="19.149999999999999" customHeight="1">
      <c r="A663" s="8">
        <v>39</v>
      </c>
      <c r="B663" s="9">
        <v>1</v>
      </c>
      <c r="C663" s="9">
        <v>30</v>
      </c>
      <c r="D663" s="9">
        <v>390010030</v>
      </c>
      <c r="E663" s="41" t="s">
        <v>819</v>
      </c>
      <c r="F663" s="41"/>
      <c r="G663" s="41"/>
      <c r="H663" s="9" t="s">
        <v>676</v>
      </c>
      <c r="I663" s="39" t="s">
        <v>773</v>
      </c>
      <c r="J663" s="9">
        <v>1.3</v>
      </c>
      <c r="K663" s="14">
        <v>7</v>
      </c>
      <c r="L663" s="14">
        <v>3</v>
      </c>
      <c r="M663" s="14" t="str">
        <f t="shared" si="26"/>
        <v>0703</v>
      </c>
      <c r="N663" s="19" t="s">
        <v>819</v>
      </c>
      <c r="O663" s="19"/>
      <c r="P663" s="14" t="str">
        <f t="shared" si="27"/>
        <v>9000000</v>
      </c>
    </row>
    <row r="664" spans="1:16" ht="19.149999999999999" customHeight="1">
      <c r="A664" s="8">
        <v>66</v>
      </c>
      <c r="B664" s="9">
        <v>1</v>
      </c>
      <c r="C664" s="9">
        <v>769</v>
      </c>
      <c r="D664" s="9">
        <v>660010769</v>
      </c>
      <c r="E664" s="37" t="s">
        <v>819</v>
      </c>
      <c r="H664" s="9" t="s">
        <v>429</v>
      </c>
      <c r="I664" s="39" t="s">
        <v>773</v>
      </c>
      <c r="J664" s="9">
        <v>5.3</v>
      </c>
      <c r="K664" s="14">
        <v>4</v>
      </c>
      <c r="L664" s="14">
        <v>1</v>
      </c>
      <c r="M664" s="14" t="str">
        <f t="shared" si="26"/>
        <v>0401</v>
      </c>
      <c r="N664" s="17" t="s">
        <v>819</v>
      </c>
      <c r="P664" s="14" t="str">
        <f t="shared" si="27"/>
        <v>9000000</v>
      </c>
    </row>
    <row r="665" spans="1:16" ht="19.149999999999999" customHeight="1">
      <c r="A665" s="8">
        <v>66</v>
      </c>
      <c r="B665" s="9">
        <v>1</v>
      </c>
      <c r="C665" s="9">
        <v>770</v>
      </c>
      <c r="D665" s="9">
        <v>660010770</v>
      </c>
      <c r="E665" s="37" t="s">
        <v>819</v>
      </c>
      <c r="H665" s="9" t="s">
        <v>430</v>
      </c>
      <c r="I665" s="39" t="s">
        <v>773</v>
      </c>
      <c r="J665" s="9">
        <v>7.5</v>
      </c>
      <c r="K665" s="14">
        <v>4</v>
      </c>
      <c r="L665" s="14">
        <v>1</v>
      </c>
      <c r="M665" s="14" t="str">
        <f t="shared" si="26"/>
        <v>0401</v>
      </c>
      <c r="N665" s="17" t="s">
        <v>819</v>
      </c>
      <c r="P665" s="14" t="str">
        <f t="shared" si="27"/>
        <v>9000000</v>
      </c>
    </row>
    <row r="666" spans="1:16" ht="19.149999999999999" customHeight="1">
      <c r="A666" s="8">
        <v>66</v>
      </c>
      <c r="B666" s="9">
        <v>1</v>
      </c>
      <c r="C666" s="9">
        <v>768</v>
      </c>
      <c r="D666" s="9">
        <v>660010768</v>
      </c>
      <c r="E666" s="37" t="s">
        <v>819</v>
      </c>
      <c r="H666" s="9" t="s">
        <v>431</v>
      </c>
      <c r="I666" s="39" t="s">
        <v>773</v>
      </c>
      <c r="J666" s="9">
        <v>19.899999999999999</v>
      </c>
      <c r="K666" s="14">
        <v>4</v>
      </c>
      <c r="L666" s="14">
        <v>1</v>
      </c>
      <c r="M666" s="14" t="str">
        <f t="shared" si="26"/>
        <v>0401</v>
      </c>
      <c r="N666" s="17" t="s">
        <v>819</v>
      </c>
      <c r="P666" s="14" t="str">
        <f t="shared" si="27"/>
        <v>9000000</v>
      </c>
    </row>
    <row r="667" spans="1:16" ht="19.149999999999999" customHeight="1">
      <c r="A667" s="8">
        <v>66</v>
      </c>
      <c r="B667" s="9">
        <v>1</v>
      </c>
      <c r="C667" s="9">
        <v>767</v>
      </c>
      <c r="D667" s="9">
        <v>660010767</v>
      </c>
      <c r="E667" s="37" t="s">
        <v>819</v>
      </c>
      <c r="H667" s="9" t="s">
        <v>432</v>
      </c>
      <c r="I667" s="39" t="s">
        <v>773</v>
      </c>
      <c r="J667" s="9">
        <v>19.2</v>
      </c>
      <c r="K667" s="14">
        <v>4</v>
      </c>
      <c r="L667" s="14">
        <v>1</v>
      </c>
      <c r="M667" s="14" t="str">
        <f t="shared" si="26"/>
        <v>0401</v>
      </c>
      <c r="N667" s="17" t="s">
        <v>819</v>
      </c>
      <c r="P667" s="14" t="str">
        <f t="shared" si="27"/>
        <v>9000000</v>
      </c>
    </row>
    <row r="668" spans="1:16" ht="19.149999999999999" customHeight="1">
      <c r="A668" s="8">
        <v>66</v>
      </c>
      <c r="B668" s="9">
        <v>1</v>
      </c>
      <c r="C668" s="9">
        <v>780</v>
      </c>
      <c r="D668" s="9">
        <v>660010780</v>
      </c>
      <c r="E668" s="37" t="s">
        <v>819</v>
      </c>
      <c r="H668" s="9" t="s">
        <v>433</v>
      </c>
      <c r="I668" s="39" t="s">
        <v>773</v>
      </c>
      <c r="J668" s="9">
        <v>32.9</v>
      </c>
      <c r="K668" s="14">
        <v>4</v>
      </c>
      <c r="L668" s="14">
        <v>1</v>
      </c>
      <c r="M668" s="14" t="str">
        <f t="shared" si="26"/>
        <v>0401</v>
      </c>
      <c r="N668" s="17" t="s">
        <v>819</v>
      </c>
      <c r="P668" s="14" t="str">
        <f t="shared" si="27"/>
        <v>9000000</v>
      </c>
    </row>
    <row r="669" spans="1:16" ht="19.149999999999999" customHeight="1">
      <c r="A669" s="8">
        <v>66</v>
      </c>
      <c r="B669" s="9">
        <v>1</v>
      </c>
      <c r="C669" s="9">
        <v>779</v>
      </c>
      <c r="D669" s="9">
        <v>660010779</v>
      </c>
      <c r="E669" s="37" t="s">
        <v>819</v>
      </c>
      <c r="H669" s="9" t="s">
        <v>434</v>
      </c>
      <c r="I669" s="39" t="s">
        <v>773</v>
      </c>
      <c r="J669" s="9">
        <v>54.2</v>
      </c>
      <c r="K669" s="14">
        <v>4</v>
      </c>
      <c r="L669" s="14">
        <v>1</v>
      </c>
      <c r="M669" s="14" t="str">
        <f t="shared" si="26"/>
        <v>0401</v>
      </c>
      <c r="N669" s="17" t="s">
        <v>819</v>
      </c>
      <c r="P669" s="14" t="str">
        <f t="shared" si="27"/>
        <v>9000000</v>
      </c>
    </row>
    <row r="670" spans="1:16" ht="19.149999999999999" customHeight="1">
      <c r="A670" s="8">
        <v>66</v>
      </c>
      <c r="B670" s="9">
        <v>1</v>
      </c>
      <c r="C670" s="9">
        <v>778</v>
      </c>
      <c r="D670" s="9">
        <v>660010778</v>
      </c>
      <c r="E670" s="37" t="s">
        <v>819</v>
      </c>
      <c r="H670" s="9" t="s">
        <v>435</v>
      </c>
      <c r="I670" s="39" t="s">
        <v>773</v>
      </c>
      <c r="J670" s="9">
        <v>0.6</v>
      </c>
      <c r="K670" s="14">
        <v>4</v>
      </c>
      <c r="L670" s="14">
        <v>1</v>
      </c>
      <c r="M670" s="14" t="str">
        <f t="shared" si="26"/>
        <v>0401</v>
      </c>
      <c r="N670" s="17" t="s">
        <v>819</v>
      </c>
      <c r="P670" s="14" t="str">
        <f t="shared" si="27"/>
        <v>9000000</v>
      </c>
    </row>
    <row r="671" spans="1:16" ht="19.149999999999999" customHeight="1">
      <c r="A671" s="8">
        <v>39</v>
      </c>
      <c r="B671" s="9">
        <v>1</v>
      </c>
      <c r="C671" s="9">
        <v>33</v>
      </c>
      <c r="D671" s="9">
        <v>390010033</v>
      </c>
      <c r="E671" s="37" t="s">
        <v>819</v>
      </c>
      <c r="H671" s="9" t="s">
        <v>436</v>
      </c>
      <c r="I671" s="39" t="s">
        <v>773</v>
      </c>
      <c r="J671" s="9">
        <v>0.8</v>
      </c>
      <c r="K671" s="14">
        <v>4</v>
      </c>
      <c r="L671" s="14">
        <v>1</v>
      </c>
      <c r="M671" s="14" t="str">
        <f t="shared" si="26"/>
        <v>0401</v>
      </c>
      <c r="N671" s="17" t="s">
        <v>819</v>
      </c>
      <c r="P671" s="14" t="str">
        <f t="shared" si="27"/>
        <v>9000000</v>
      </c>
    </row>
    <row r="672" spans="1:16" ht="19.149999999999999" customHeight="1">
      <c r="A672" s="8">
        <v>66</v>
      </c>
      <c r="B672" s="9">
        <v>1</v>
      </c>
      <c r="C672" s="9">
        <v>788</v>
      </c>
      <c r="D672" s="9">
        <v>660010788</v>
      </c>
      <c r="E672" s="37" t="s">
        <v>819</v>
      </c>
      <c r="H672" s="9" t="s">
        <v>437</v>
      </c>
      <c r="I672" s="39" t="s">
        <v>773</v>
      </c>
      <c r="J672" s="9">
        <v>0.8</v>
      </c>
      <c r="K672" s="14">
        <v>4</v>
      </c>
      <c r="L672" s="14">
        <v>1</v>
      </c>
      <c r="M672" s="14" t="str">
        <f t="shared" si="26"/>
        <v>0401</v>
      </c>
      <c r="N672" s="17" t="s">
        <v>819</v>
      </c>
      <c r="P672" s="14" t="str">
        <f t="shared" si="27"/>
        <v>9000000</v>
      </c>
    </row>
    <row r="673" spans="1:16" ht="19.149999999999999" customHeight="1">
      <c r="A673" s="8">
        <v>66</v>
      </c>
      <c r="B673" s="9">
        <v>1</v>
      </c>
      <c r="C673" s="9">
        <v>776</v>
      </c>
      <c r="D673" s="9">
        <v>660010776</v>
      </c>
      <c r="E673" s="37" t="s">
        <v>819</v>
      </c>
      <c r="H673" s="9" t="s">
        <v>438</v>
      </c>
      <c r="I673" s="39" t="s">
        <v>773</v>
      </c>
      <c r="J673" s="9">
        <v>12</v>
      </c>
      <c r="K673" s="14">
        <v>4</v>
      </c>
      <c r="L673" s="14">
        <v>1</v>
      </c>
      <c r="M673" s="14" t="str">
        <f t="shared" si="26"/>
        <v>0401</v>
      </c>
      <c r="N673" s="17" t="s">
        <v>819</v>
      </c>
      <c r="P673" s="14" t="str">
        <f t="shared" si="27"/>
        <v>9000000</v>
      </c>
    </row>
    <row r="674" spans="1:16" ht="19.149999999999999" customHeight="1">
      <c r="A674" s="8">
        <v>66</v>
      </c>
      <c r="B674" s="9">
        <v>1</v>
      </c>
      <c r="C674" s="9">
        <v>797</v>
      </c>
      <c r="D674" s="9">
        <v>660010797</v>
      </c>
      <c r="E674" s="41">
        <v>93</v>
      </c>
      <c r="F674" s="41"/>
      <c r="G674" s="41"/>
      <c r="H674" s="9" t="s">
        <v>522</v>
      </c>
      <c r="I674" s="39" t="s">
        <v>773</v>
      </c>
      <c r="J674" s="9">
        <v>25</v>
      </c>
      <c r="K674" s="14">
        <v>5</v>
      </c>
      <c r="L674" s="14">
        <v>1</v>
      </c>
      <c r="M674" s="14" t="str">
        <f t="shared" si="26"/>
        <v>0501</v>
      </c>
      <c r="N674" s="19">
        <v>93</v>
      </c>
      <c r="O674" s="19"/>
      <c r="P674" s="14" t="str">
        <f t="shared" si="27"/>
        <v>9300000</v>
      </c>
    </row>
    <row r="675" spans="1:16" ht="19.149999999999999" customHeight="1">
      <c r="A675" s="8">
        <v>66</v>
      </c>
      <c r="B675" s="9">
        <v>1</v>
      </c>
      <c r="C675" s="9">
        <v>789</v>
      </c>
      <c r="D675" s="9">
        <v>660010789</v>
      </c>
      <c r="E675" s="37" t="s">
        <v>790</v>
      </c>
      <c r="H675" s="9" t="s">
        <v>418</v>
      </c>
      <c r="I675" s="39" t="s">
        <v>773</v>
      </c>
      <c r="J675" s="9">
        <v>8.5</v>
      </c>
      <c r="K675" s="14">
        <v>4</v>
      </c>
      <c r="L675" s="14">
        <v>1</v>
      </c>
      <c r="M675" s="14" t="str">
        <f t="shared" si="26"/>
        <v>0401</v>
      </c>
      <c r="N675" s="17" t="s">
        <v>790</v>
      </c>
      <c r="P675" s="14" t="str">
        <f t="shared" si="27"/>
        <v>9300000</v>
      </c>
    </row>
    <row r="676" spans="1:16" ht="19.149999999999999" customHeight="1">
      <c r="A676" s="8">
        <v>43</v>
      </c>
      <c r="B676" s="9">
        <v>1</v>
      </c>
      <c r="C676" s="9">
        <v>554</v>
      </c>
      <c r="D676" s="9">
        <v>430010554</v>
      </c>
      <c r="E676" s="37" t="s">
        <v>790</v>
      </c>
      <c r="H676" s="9" t="s">
        <v>368</v>
      </c>
      <c r="I676" s="39" t="s">
        <v>773</v>
      </c>
      <c r="J676" s="9">
        <v>8.5</v>
      </c>
      <c r="K676" s="14">
        <v>4</v>
      </c>
      <c r="L676" s="14">
        <v>1</v>
      </c>
      <c r="M676" s="14" t="str">
        <f t="shared" si="26"/>
        <v>0401</v>
      </c>
      <c r="N676" s="17" t="s">
        <v>790</v>
      </c>
      <c r="P676" s="14" t="str">
        <f t="shared" si="27"/>
        <v>9300000</v>
      </c>
    </row>
    <row r="677" spans="1:16" ht="19.149999999999999" customHeight="1">
      <c r="A677" s="8">
        <v>43</v>
      </c>
      <c r="B677" s="9">
        <v>1</v>
      </c>
      <c r="C677" s="9">
        <v>553</v>
      </c>
      <c r="D677" s="9">
        <v>430010553</v>
      </c>
      <c r="E677" s="41" t="s">
        <v>790</v>
      </c>
      <c r="F677" s="41"/>
      <c r="G677" s="41"/>
      <c r="H677" s="9" t="s">
        <v>618</v>
      </c>
      <c r="I677" s="39" t="s">
        <v>773</v>
      </c>
      <c r="J677" s="9">
        <v>9</v>
      </c>
      <c r="K677" s="14">
        <v>7</v>
      </c>
      <c r="L677" s="14">
        <v>3</v>
      </c>
      <c r="M677" s="14" t="str">
        <f t="shared" si="26"/>
        <v>0703</v>
      </c>
      <c r="N677" s="19" t="s">
        <v>790</v>
      </c>
      <c r="O677" s="19"/>
      <c r="P677" s="14" t="str">
        <f t="shared" si="27"/>
        <v>9300000</v>
      </c>
    </row>
    <row r="678" spans="1:16" ht="19.149999999999999" customHeight="1">
      <c r="A678" s="8">
        <v>43</v>
      </c>
      <c r="B678" s="9">
        <v>1</v>
      </c>
      <c r="C678" s="9">
        <v>552</v>
      </c>
      <c r="D678" s="9">
        <v>430010552</v>
      </c>
      <c r="E678" s="37" t="s">
        <v>790</v>
      </c>
      <c r="H678" s="9" t="s">
        <v>164</v>
      </c>
      <c r="I678" s="39" t="s">
        <v>773</v>
      </c>
      <c r="J678" s="9">
        <v>0</v>
      </c>
      <c r="K678" s="14">
        <v>3</v>
      </c>
      <c r="L678" s="14">
        <v>4</v>
      </c>
      <c r="M678" s="14" t="str">
        <f t="shared" si="26"/>
        <v>0304</v>
      </c>
      <c r="N678" s="17" t="s">
        <v>790</v>
      </c>
      <c r="P678" s="14" t="str">
        <f t="shared" si="27"/>
        <v>9300000</v>
      </c>
    </row>
    <row r="679" spans="1:16" ht="19.149999999999999" customHeight="1">
      <c r="A679" s="8">
        <v>24</v>
      </c>
      <c r="B679" s="9">
        <v>1</v>
      </c>
      <c r="C679" s="9">
        <v>337</v>
      </c>
      <c r="D679" s="9">
        <v>240010337</v>
      </c>
      <c r="E679" s="37" t="s">
        <v>790</v>
      </c>
      <c r="H679" s="9" t="s">
        <v>291</v>
      </c>
      <c r="I679" s="39" t="s">
        <v>773</v>
      </c>
      <c r="J679" s="9">
        <v>75</v>
      </c>
      <c r="K679" s="14">
        <v>3</v>
      </c>
      <c r="L679" s="14">
        <v>7</v>
      </c>
      <c r="M679" s="14" t="str">
        <f t="shared" si="26"/>
        <v>0307</v>
      </c>
      <c r="N679" s="17" t="s">
        <v>790</v>
      </c>
      <c r="P679" s="14" t="str">
        <f t="shared" si="27"/>
        <v>9300000</v>
      </c>
    </row>
    <row r="680" spans="1:16" ht="19.149999999999999" customHeight="1">
      <c r="A680" s="8">
        <v>24</v>
      </c>
      <c r="B680" s="9">
        <v>1</v>
      </c>
      <c r="C680" s="9">
        <v>341</v>
      </c>
      <c r="D680" s="9">
        <v>240010341</v>
      </c>
      <c r="E680" s="41" t="s">
        <v>790</v>
      </c>
      <c r="F680" s="41"/>
      <c r="G680" s="41"/>
      <c r="H680" s="9" t="s">
        <v>700</v>
      </c>
      <c r="I680" s="39" t="s">
        <v>773</v>
      </c>
      <c r="J680" s="9">
        <v>0.3</v>
      </c>
      <c r="K680" s="14"/>
      <c r="L680" s="14"/>
      <c r="M680" s="14" t="str">
        <f t="shared" si="26"/>
        <v>0000</v>
      </c>
      <c r="N680" s="19" t="s">
        <v>790</v>
      </c>
      <c r="O680" s="19"/>
      <c r="P680" s="14" t="str">
        <f t="shared" si="27"/>
        <v>9300000</v>
      </c>
    </row>
    <row r="681" spans="1:16" ht="19.149999999999999" customHeight="1">
      <c r="A681" s="8">
        <v>30</v>
      </c>
      <c r="B681" s="9">
        <v>1</v>
      </c>
      <c r="C681" s="9">
        <v>519</v>
      </c>
      <c r="D681" s="9">
        <v>300010519</v>
      </c>
      <c r="E681" s="37" t="s">
        <v>790</v>
      </c>
      <c r="H681" s="9" t="s">
        <v>419</v>
      </c>
      <c r="I681" s="39" t="s">
        <v>773</v>
      </c>
      <c r="J681" s="9">
        <v>22</v>
      </c>
      <c r="K681" s="14">
        <v>5</v>
      </c>
      <c r="L681" s="14">
        <v>2</v>
      </c>
      <c r="M681" s="14" t="str">
        <f t="shared" si="26"/>
        <v>0502</v>
      </c>
      <c r="N681" s="17" t="s">
        <v>790</v>
      </c>
      <c r="P681" s="14" t="str">
        <f t="shared" si="27"/>
        <v>9300000</v>
      </c>
    </row>
    <row r="682" spans="1:16" ht="19.149999999999999" customHeight="1">
      <c r="A682" s="8">
        <v>24</v>
      </c>
      <c r="B682" s="9">
        <v>1</v>
      </c>
      <c r="C682" s="9">
        <v>338</v>
      </c>
      <c r="D682" s="9">
        <v>240010338</v>
      </c>
      <c r="E682" s="37" t="s">
        <v>790</v>
      </c>
      <c r="H682" s="9" t="s">
        <v>420</v>
      </c>
      <c r="I682" s="39" t="s">
        <v>773</v>
      </c>
      <c r="J682" s="9">
        <v>15.9</v>
      </c>
      <c r="K682" s="14">
        <v>5</v>
      </c>
      <c r="L682" s="14">
        <v>2</v>
      </c>
      <c r="M682" s="14" t="str">
        <f t="shared" ref="M682:M745" si="28">TEXT(K682,"00")&amp;TEXT(L682,"00")</f>
        <v>0502</v>
      </c>
      <c r="N682" s="17" t="s">
        <v>790</v>
      </c>
      <c r="P682" s="14" t="str">
        <f t="shared" ref="P682:P745" si="29">TEXT(E682,"00")&amp;TEXT(F682,"00")&amp;TEXT(G682,"000")</f>
        <v>9300000</v>
      </c>
    </row>
    <row r="683" spans="1:16" ht="19.149999999999999" customHeight="1">
      <c r="A683" s="8">
        <v>30</v>
      </c>
      <c r="B683" s="9">
        <v>1</v>
      </c>
      <c r="C683" s="9">
        <v>495</v>
      </c>
      <c r="D683" s="9">
        <v>300010495</v>
      </c>
      <c r="E683" s="37" t="s">
        <v>790</v>
      </c>
      <c r="H683" s="9" t="s">
        <v>444</v>
      </c>
      <c r="I683" s="39" t="s">
        <v>773</v>
      </c>
      <c r="J683" s="9">
        <v>150</v>
      </c>
      <c r="K683" s="14">
        <v>4</v>
      </c>
      <c r="L683" s="14">
        <v>2</v>
      </c>
      <c r="M683" s="14" t="str">
        <f t="shared" si="28"/>
        <v>0402</v>
      </c>
      <c r="N683" s="17" t="s">
        <v>790</v>
      </c>
      <c r="P683" s="14" t="str">
        <f t="shared" si="29"/>
        <v>9300000</v>
      </c>
    </row>
    <row r="684" spans="1:16" ht="19.149999999999999" customHeight="1">
      <c r="A684" s="8">
        <v>65</v>
      </c>
      <c r="B684" s="9">
        <v>1</v>
      </c>
      <c r="C684" s="9">
        <v>685</v>
      </c>
      <c r="D684" s="9">
        <v>650010685</v>
      </c>
      <c r="E684" s="41">
        <v>93</v>
      </c>
      <c r="F684" s="41"/>
      <c r="G684" s="41"/>
      <c r="H684" s="9" t="s">
        <v>706</v>
      </c>
      <c r="I684" s="39" t="s">
        <v>773</v>
      </c>
      <c r="J684" s="9">
        <v>18</v>
      </c>
      <c r="K684" s="14"/>
      <c r="L684" s="14"/>
      <c r="M684" s="14" t="str">
        <f t="shared" si="28"/>
        <v>0000</v>
      </c>
      <c r="N684" s="19">
        <v>93</v>
      </c>
      <c r="O684" s="19"/>
      <c r="P684" s="14" t="str">
        <f t="shared" si="29"/>
        <v>9300000</v>
      </c>
    </row>
    <row r="685" spans="1:16" ht="19.149999999999999" customHeight="1">
      <c r="A685" s="8">
        <v>65</v>
      </c>
      <c r="B685" s="9">
        <v>1</v>
      </c>
      <c r="C685" s="9">
        <v>691</v>
      </c>
      <c r="D685" s="9">
        <v>650010691</v>
      </c>
      <c r="E685" s="41" t="s">
        <v>790</v>
      </c>
      <c r="F685" s="41"/>
      <c r="G685" s="41"/>
      <c r="H685" s="9" t="s">
        <v>531</v>
      </c>
      <c r="I685" s="39" t="s">
        <v>771</v>
      </c>
      <c r="J685" s="9">
        <v>40</v>
      </c>
      <c r="K685" s="14">
        <v>5</v>
      </c>
      <c r="L685" s="14">
        <v>1</v>
      </c>
      <c r="M685" s="14" t="str">
        <f t="shared" si="28"/>
        <v>0501</v>
      </c>
      <c r="N685" s="19" t="s">
        <v>790</v>
      </c>
      <c r="O685" s="19"/>
      <c r="P685" s="14" t="str">
        <f t="shared" si="29"/>
        <v>9300000</v>
      </c>
    </row>
    <row r="686" spans="1:16" ht="19.149999999999999" customHeight="1">
      <c r="A686" s="8">
        <v>65</v>
      </c>
      <c r="B686" s="9">
        <v>1</v>
      </c>
      <c r="C686" s="9">
        <v>686</v>
      </c>
      <c r="D686" s="9">
        <v>650010686</v>
      </c>
      <c r="E686" s="37" t="s">
        <v>790</v>
      </c>
      <c r="H686" s="9" t="s">
        <v>406</v>
      </c>
      <c r="I686" s="39" t="s">
        <v>775</v>
      </c>
      <c r="J686" s="9">
        <v>30</v>
      </c>
      <c r="K686" s="14">
        <v>4</v>
      </c>
      <c r="L686" s="14">
        <v>1</v>
      </c>
      <c r="M686" s="14" t="str">
        <f t="shared" si="28"/>
        <v>0401</v>
      </c>
      <c r="N686" s="17" t="s">
        <v>790</v>
      </c>
      <c r="P686" s="14" t="str">
        <f t="shared" si="29"/>
        <v>9300000</v>
      </c>
    </row>
    <row r="687" spans="1:16" ht="19.149999999999999" customHeight="1">
      <c r="A687" s="8">
        <v>54</v>
      </c>
      <c r="B687" s="9">
        <v>1</v>
      </c>
      <c r="C687" s="9">
        <v>637</v>
      </c>
      <c r="D687" s="9">
        <v>540010637</v>
      </c>
      <c r="E687" s="41">
        <v>93</v>
      </c>
      <c r="F687" s="41"/>
      <c r="G687" s="41"/>
      <c r="H687" s="9" t="s">
        <v>708</v>
      </c>
      <c r="I687" s="39" t="s">
        <v>773</v>
      </c>
      <c r="J687" s="9">
        <v>24</v>
      </c>
      <c r="K687" s="14"/>
      <c r="L687" s="14"/>
      <c r="M687" s="14" t="str">
        <f t="shared" si="28"/>
        <v>0000</v>
      </c>
      <c r="N687" s="19">
        <v>93</v>
      </c>
      <c r="O687" s="19"/>
      <c r="P687" s="14" t="str">
        <f t="shared" si="29"/>
        <v>9300000</v>
      </c>
    </row>
    <row r="688" spans="1:16" ht="19.149999999999999" customHeight="1">
      <c r="A688" s="8">
        <v>65</v>
      </c>
      <c r="B688" s="9">
        <v>1</v>
      </c>
      <c r="C688" s="9">
        <v>687</v>
      </c>
      <c r="D688" s="9">
        <v>650010687</v>
      </c>
      <c r="E688" s="37" t="s">
        <v>790</v>
      </c>
      <c r="H688" s="9" t="s">
        <v>292</v>
      </c>
      <c r="I688" s="39" t="s">
        <v>773</v>
      </c>
      <c r="J688" s="9">
        <v>25</v>
      </c>
      <c r="K688" s="14">
        <v>3</v>
      </c>
      <c r="L688" s="14">
        <v>7</v>
      </c>
      <c r="M688" s="14" t="str">
        <f t="shared" si="28"/>
        <v>0307</v>
      </c>
      <c r="N688" s="17" t="s">
        <v>790</v>
      </c>
      <c r="P688" s="14" t="str">
        <f t="shared" si="29"/>
        <v>9300000</v>
      </c>
    </row>
    <row r="689" spans="1:16" ht="19.149999999999999" customHeight="1">
      <c r="A689" s="8">
        <v>65</v>
      </c>
      <c r="B689" s="9">
        <v>1</v>
      </c>
      <c r="C689" s="9">
        <v>688</v>
      </c>
      <c r="D689" s="9">
        <v>650010688</v>
      </c>
      <c r="E689" s="41">
        <v>93</v>
      </c>
      <c r="F689" s="41"/>
      <c r="G689" s="41"/>
      <c r="H689" s="9" t="s">
        <v>630</v>
      </c>
      <c r="I689" s="39" t="s">
        <v>773</v>
      </c>
      <c r="J689" s="9">
        <v>6</v>
      </c>
      <c r="K689" s="14">
        <v>7</v>
      </c>
      <c r="L689" s="14">
        <v>3</v>
      </c>
      <c r="M689" s="14" t="str">
        <f t="shared" si="28"/>
        <v>0703</v>
      </c>
      <c r="N689" s="19">
        <v>93</v>
      </c>
      <c r="O689" s="19"/>
      <c r="P689" s="14" t="str">
        <f t="shared" si="29"/>
        <v>9300000</v>
      </c>
    </row>
    <row r="690" spans="1:16" ht="19.149999999999999" customHeight="1">
      <c r="A690" s="8">
        <v>65</v>
      </c>
      <c r="B690" s="9">
        <v>1</v>
      </c>
      <c r="C690" s="9">
        <v>690</v>
      </c>
      <c r="D690" s="9">
        <v>650010690</v>
      </c>
      <c r="E690" s="41">
        <v>93</v>
      </c>
      <c r="F690" s="41"/>
      <c r="G690" s="41"/>
      <c r="H690" s="9" t="s">
        <v>632</v>
      </c>
      <c r="I690" s="39" t="s">
        <v>773</v>
      </c>
      <c r="J690" s="9">
        <v>7.4</v>
      </c>
      <c r="K690" s="14">
        <v>7</v>
      </c>
      <c r="L690" s="14">
        <v>3</v>
      </c>
      <c r="M690" s="14" t="str">
        <f t="shared" si="28"/>
        <v>0703</v>
      </c>
      <c r="N690" s="19">
        <v>93</v>
      </c>
      <c r="O690" s="19"/>
      <c r="P690" s="14" t="str">
        <f t="shared" si="29"/>
        <v>9300000</v>
      </c>
    </row>
    <row r="691" spans="1:16" ht="19.149999999999999" customHeight="1">
      <c r="A691" s="8">
        <v>56</v>
      </c>
      <c r="B691" s="9">
        <v>1</v>
      </c>
      <c r="C691" s="9">
        <v>641</v>
      </c>
      <c r="D691" s="9">
        <v>560010641</v>
      </c>
      <c r="E691" s="41">
        <v>93</v>
      </c>
      <c r="F691" s="41"/>
      <c r="G691" s="41"/>
      <c r="H691" s="9" t="s">
        <v>633</v>
      </c>
      <c r="I691" s="39" t="s">
        <v>773</v>
      </c>
      <c r="J691" s="9">
        <v>3.6</v>
      </c>
      <c r="K691" s="14">
        <v>7</v>
      </c>
      <c r="L691" s="14">
        <v>3</v>
      </c>
      <c r="M691" s="14" t="str">
        <f t="shared" si="28"/>
        <v>0703</v>
      </c>
      <c r="N691" s="19">
        <v>93</v>
      </c>
      <c r="O691" s="19"/>
      <c r="P691" s="14" t="str">
        <f t="shared" si="29"/>
        <v>9300000</v>
      </c>
    </row>
    <row r="692" spans="1:16" ht="19.149999999999999" customHeight="1">
      <c r="A692" s="8">
        <v>26</v>
      </c>
      <c r="B692" s="9">
        <v>1</v>
      </c>
      <c r="C692" s="9">
        <v>355</v>
      </c>
      <c r="D692" s="9">
        <v>260010355</v>
      </c>
      <c r="E692" s="41">
        <v>93</v>
      </c>
      <c r="F692" s="41"/>
      <c r="G692" s="41"/>
      <c r="H692" s="9" t="s">
        <v>634</v>
      </c>
      <c r="I692" s="39" t="s">
        <v>773</v>
      </c>
      <c r="J692" s="9">
        <v>3.7</v>
      </c>
      <c r="K692" s="14">
        <v>7</v>
      </c>
      <c r="L692" s="14">
        <v>3</v>
      </c>
      <c r="M692" s="14" t="str">
        <f t="shared" si="28"/>
        <v>0703</v>
      </c>
      <c r="N692" s="19">
        <v>93</v>
      </c>
      <c r="O692" s="19"/>
      <c r="P692" s="14" t="str">
        <f t="shared" si="29"/>
        <v>9300000</v>
      </c>
    </row>
    <row r="693" spans="1:16" ht="19.149999999999999" customHeight="1">
      <c r="A693" s="8">
        <v>65</v>
      </c>
      <c r="B693" s="9">
        <v>1</v>
      </c>
      <c r="C693" s="9">
        <v>674</v>
      </c>
      <c r="D693" s="9">
        <v>650010674</v>
      </c>
      <c r="E693" s="41">
        <v>93</v>
      </c>
      <c r="F693" s="41"/>
      <c r="G693" s="41"/>
      <c r="H693" s="9" t="s">
        <v>636</v>
      </c>
      <c r="I693" s="39" t="s">
        <v>773</v>
      </c>
      <c r="J693" s="9">
        <v>26</v>
      </c>
      <c r="K693" s="14">
        <v>7</v>
      </c>
      <c r="L693" s="14">
        <v>3</v>
      </c>
      <c r="M693" s="14" t="str">
        <f t="shared" si="28"/>
        <v>0703</v>
      </c>
      <c r="N693" s="19">
        <v>93</v>
      </c>
      <c r="O693" s="19"/>
      <c r="P693" s="14" t="str">
        <f t="shared" si="29"/>
        <v>9300000</v>
      </c>
    </row>
    <row r="694" spans="1:16" ht="19.149999999999999" customHeight="1">
      <c r="A694" s="8">
        <v>30</v>
      </c>
      <c r="B694" s="9">
        <v>1</v>
      </c>
      <c r="C694" s="9">
        <v>398</v>
      </c>
      <c r="D694" s="9">
        <v>300010398</v>
      </c>
      <c r="E694" s="41" t="s">
        <v>790</v>
      </c>
      <c r="F694" s="41"/>
      <c r="G694" s="41"/>
      <c r="H694" s="9" t="s">
        <v>532</v>
      </c>
      <c r="I694" s="39" t="s">
        <v>773</v>
      </c>
      <c r="J694" s="9">
        <v>10</v>
      </c>
      <c r="K694" s="14">
        <v>5</v>
      </c>
      <c r="L694" s="14">
        <v>1</v>
      </c>
      <c r="M694" s="14" t="str">
        <f t="shared" si="28"/>
        <v>0501</v>
      </c>
      <c r="N694" s="19" t="s">
        <v>790</v>
      </c>
      <c r="O694" s="19"/>
      <c r="P694" s="14" t="str">
        <f t="shared" si="29"/>
        <v>9300000</v>
      </c>
    </row>
    <row r="695" spans="1:16" ht="19.149999999999999" customHeight="1">
      <c r="A695" s="8">
        <v>48</v>
      </c>
      <c r="B695" s="9">
        <v>1</v>
      </c>
      <c r="C695" s="9">
        <v>3</v>
      </c>
      <c r="D695" s="9">
        <v>480010003</v>
      </c>
      <c r="E695" s="41">
        <v>93</v>
      </c>
      <c r="F695" s="41"/>
      <c r="G695" s="41"/>
      <c r="H695" s="9" t="s">
        <v>638</v>
      </c>
      <c r="I695" s="39" t="s">
        <v>773</v>
      </c>
      <c r="J695" s="9">
        <v>115</v>
      </c>
      <c r="K695" s="14">
        <v>7</v>
      </c>
      <c r="L695" s="14">
        <v>3</v>
      </c>
      <c r="M695" s="14" t="str">
        <f t="shared" si="28"/>
        <v>0703</v>
      </c>
      <c r="N695" s="19">
        <v>93</v>
      </c>
      <c r="O695" s="19"/>
      <c r="P695" s="14" t="str">
        <f t="shared" si="29"/>
        <v>9300000</v>
      </c>
    </row>
    <row r="696" spans="1:16" ht="19.149999999999999" customHeight="1">
      <c r="A696" s="8">
        <v>65</v>
      </c>
      <c r="B696" s="9">
        <v>1</v>
      </c>
      <c r="C696" s="9">
        <v>667</v>
      </c>
      <c r="D696" s="9">
        <v>650010667</v>
      </c>
      <c r="E696" s="37" t="s">
        <v>790</v>
      </c>
      <c r="H696" s="9" t="s">
        <v>73</v>
      </c>
      <c r="I696" s="39" t="s">
        <v>773</v>
      </c>
      <c r="J696" s="9">
        <v>13</v>
      </c>
      <c r="K696" s="14">
        <v>3</v>
      </c>
      <c r="L696" s="14">
        <v>2</v>
      </c>
      <c r="M696" s="14" t="str">
        <f t="shared" si="28"/>
        <v>0302</v>
      </c>
      <c r="N696" s="17" t="s">
        <v>790</v>
      </c>
      <c r="P696" s="14" t="str">
        <f t="shared" si="29"/>
        <v>9300000</v>
      </c>
    </row>
    <row r="697" spans="1:16" ht="19.149999999999999" customHeight="1">
      <c r="A697" s="8">
        <v>65</v>
      </c>
      <c r="B697" s="9">
        <v>1</v>
      </c>
      <c r="C697" s="9">
        <v>2</v>
      </c>
      <c r="D697" s="9">
        <v>650010002</v>
      </c>
      <c r="E697" s="37" t="s">
        <v>790</v>
      </c>
      <c r="H697" s="9" t="s">
        <v>294</v>
      </c>
      <c r="I697" s="39" t="s">
        <v>773</v>
      </c>
      <c r="J697" s="9">
        <v>105</v>
      </c>
      <c r="K697" s="14">
        <v>3</v>
      </c>
      <c r="L697" s="14">
        <v>5</v>
      </c>
      <c r="M697" s="14" t="str">
        <f t="shared" si="28"/>
        <v>0305</v>
      </c>
      <c r="N697" s="17" t="s">
        <v>790</v>
      </c>
      <c r="P697" s="14" t="str">
        <f t="shared" si="29"/>
        <v>9300000</v>
      </c>
    </row>
    <row r="698" spans="1:16" ht="19.149999999999999" customHeight="1">
      <c r="A698" s="8">
        <v>65</v>
      </c>
      <c r="B698" s="9">
        <v>1</v>
      </c>
      <c r="C698" s="9">
        <v>665</v>
      </c>
      <c r="D698" s="9">
        <v>650010665</v>
      </c>
      <c r="E698" s="37" t="s">
        <v>790</v>
      </c>
      <c r="H698" s="9" t="s">
        <v>153</v>
      </c>
      <c r="I698" s="39" t="s">
        <v>773</v>
      </c>
      <c r="J698" s="9">
        <v>105</v>
      </c>
      <c r="K698" s="14">
        <v>3</v>
      </c>
      <c r="L698" s="14">
        <v>4</v>
      </c>
      <c r="M698" s="14" t="str">
        <f t="shared" si="28"/>
        <v>0304</v>
      </c>
      <c r="N698" s="17" t="s">
        <v>790</v>
      </c>
      <c r="P698" s="14" t="str">
        <f t="shared" si="29"/>
        <v>9300000</v>
      </c>
    </row>
    <row r="699" spans="1:16" ht="19.149999999999999" customHeight="1">
      <c r="A699" s="8">
        <v>65</v>
      </c>
      <c r="B699" s="9">
        <v>1</v>
      </c>
      <c r="C699" s="9">
        <v>666</v>
      </c>
      <c r="D699" s="9">
        <v>650010666</v>
      </c>
      <c r="E699" s="37" t="s">
        <v>790</v>
      </c>
      <c r="H699" s="9" t="s">
        <v>424</v>
      </c>
      <c r="I699" s="39" t="s">
        <v>773</v>
      </c>
      <c r="J699" s="9">
        <v>10</v>
      </c>
      <c r="K699" s="14">
        <v>4</v>
      </c>
      <c r="L699" s="14">
        <v>1</v>
      </c>
      <c r="M699" s="14" t="str">
        <f t="shared" si="28"/>
        <v>0401</v>
      </c>
      <c r="N699" s="17" t="s">
        <v>790</v>
      </c>
      <c r="P699" s="14" t="str">
        <f t="shared" si="29"/>
        <v>9300000</v>
      </c>
    </row>
    <row r="700" spans="1:16" ht="19.149999999999999" customHeight="1">
      <c r="A700" s="8">
        <v>65</v>
      </c>
      <c r="B700" s="9">
        <v>1</v>
      </c>
      <c r="C700" s="9">
        <v>5</v>
      </c>
      <c r="D700" s="9">
        <v>650010005</v>
      </c>
      <c r="E700" s="37" t="s">
        <v>790</v>
      </c>
      <c r="H700" s="9" t="s">
        <v>425</v>
      </c>
      <c r="I700" s="39" t="s">
        <v>773</v>
      </c>
      <c r="J700" s="9">
        <v>13</v>
      </c>
      <c r="K700" s="14">
        <v>4</v>
      </c>
      <c r="L700" s="14">
        <v>1</v>
      </c>
      <c r="M700" s="14" t="str">
        <f t="shared" si="28"/>
        <v>0401</v>
      </c>
      <c r="N700" s="17" t="s">
        <v>790</v>
      </c>
      <c r="P700" s="14" t="str">
        <f t="shared" si="29"/>
        <v>9300000</v>
      </c>
    </row>
    <row r="701" spans="1:16" ht="19.149999999999999" customHeight="1">
      <c r="A701" s="8">
        <v>30</v>
      </c>
      <c r="B701" s="9">
        <v>1</v>
      </c>
      <c r="C701" s="9">
        <v>436</v>
      </c>
      <c r="D701" s="9">
        <v>300010436</v>
      </c>
      <c r="E701" s="37" t="s">
        <v>790</v>
      </c>
      <c r="H701" s="9" t="s">
        <v>23</v>
      </c>
      <c r="I701" s="39" t="s">
        <v>773</v>
      </c>
      <c r="J701" s="9">
        <v>0.8</v>
      </c>
      <c r="K701" s="14">
        <v>2</v>
      </c>
      <c r="L701" s="14">
        <v>1</v>
      </c>
      <c r="M701" s="14" t="str">
        <f t="shared" si="28"/>
        <v>0201</v>
      </c>
      <c r="N701" s="17" t="s">
        <v>790</v>
      </c>
      <c r="P701" s="14" t="str">
        <f t="shared" si="29"/>
        <v>9300000</v>
      </c>
    </row>
    <row r="702" spans="1:16" ht="19.149999999999999" customHeight="1">
      <c r="A702" s="8">
        <v>39</v>
      </c>
      <c r="B702" s="9">
        <v>1</v>
      </c>
      <c r="C702" s="9">
        <v>47</v>
      </c>
      <c r="D702" s="9">
        <v>390010047</v>
      </c>
      <c r="E702" s="37" t="s">
        <v>790</v>
      </c>
      <c r="H702" s="9" t="s">
        <v>24</v>
      </c>
      <c r="I702" s="39" t="s">
        <v>773</v>
      </c>
      <c r="J702" s="9">
        <v>1</v>
      </c>
      <c r="K702" s="14">
        <v>2</v>
      </c>
      <c r="L702" s="14">
        <v>1</v>
      </c>
      <c r="M702" s="14" t="str">
        <f t="shared" si="28"/>
        <v>0201</v>
      </c>
      <c r="N702" s="17" t="s">
        <v>790</v>
      </c>
      <c r="P702" s="14" t="str">
        <f t="shared" si="29"/>
        <v>9300000</v>
      </c>
    </row>
    <row r="703" spans="1:16" ht="19.149999999999999" customHeight="1">
      <c r="A703" s="8">
        <v>66</v>
      </c>
      <c r="B703" s="9">
        <v>1</v>
      </c>
      <c r="C703" s="9">
        <v>763</v>
      </c>
      <c r="D703" s="9">
        <v>660010763</v>
      </c>
      <c r="E703" s="37" t="s">
        <v>790</v>
      </c>
      <c r="H703" s="9" t="s">
        <v>25</v>
      </c>
      <c r="I703" s="39" t="s">
        <v>773</v>
      </c>
      <c r="J703" s="9">
        <v>2.2000000000000002</v>
      </c>
      <c r="K703" s="14">
        <v>2</v>
      </c>
      <c r="L703" s="14">
        <v>1</v>
      </c>
      <c r="M703" s="14" t="str">
        <f t="shared" si="28"/>
        <v>0201</v>
      </c>
      <c r="N703" s="17" t="s">
        <v>790</v>
      </c>
      <c r="P703" s="14" t="str">
        <f t="shared" si="29"/>
        <v>9300000</v>
      </c>
    </row>
    <row r="704" spans="1:16" ht="19.149999999999999" customHeight="1">
      <c r="A704" s="8">
        <v>52</v>
      </c>
      <c r="B704" s="9">
        <v>1</v>
      </c>
      <c r="C704" s="9">
        <v>7</v>
      </c>
      <c r="D704" s="9">
        <v>520010007</v>
      </c>
      <c r="E704" s="37" t="s">
        <v>790</v>
      </c>
      <c r="H704" s="9" t="s">
        <v>173</v>
      </c>
      <c r="I704" s="39" t="s">
        <v>773</v>
      </c>
      <c r="J704" s="9">
        <v>24.9</v>
      </c>
      <c r="K704" s="14">
        <v>3</v>
      </c>
      <c r="L704" s="14">
        <v>4</v>
      </c>
      <c r="M704" s="14" t="str">
        <f t="shared" si="28"/>
        <v>0304</v>
      </c>
      <c r="N704" s="17" t="s">
        <v>790</v>
      </c>
      <c r="P704" s="14" t="str">
        <f t="shared" si="29"/>
        <v>9300000</v>
      </c>
    </row>
    <row r="705" spans="1:16" ht="19.149999999999999" customHeight="1">
      <c r="A705" s="8">
        <v>39</v>
      </c>
      <c r="B705" s="9">
        <v>1</v>
      </c>
      <c r="C705" s="9">
        <v>24</v>
      </c>
      <c r="D705" s="9">
        <v>390010024</v>
      </c>
      <c r="E705" s="37" t="s">
        <v>790</v>
      </c>
      <c r="H705" s="9" t="s">
        <v>75</v>
      </c>
      <c r="I705" s="39" t="s">
        <v>773</v>
      </c>
      <c r="J705" s="9">
        <v>10</v>
      </c>
      <c r="K705" s="14">
        <v>3</v>
      </c>
      <c r="L705" s="14">
        <v>2</v>
      </c>
      <c r="M705" s="14" t="str">
        <f t="shared" si="28"/>
        <v>0302</v>
      </c>
      <c r="N705" s="17" t="s">
        <v>790</v>
      </c>
      <c r="P705" s="14" t="str">
        <f t="shared" si="29"/>
        <v>9300000</v>
      </c>
    </row>
    <row r="706" spans="1:16" ht="19.149999999999999" customHeight="1">
      <c r="A706" s="8">
        <v>39</v>
      </c>
      <c r="B706" s="9">
        <v>1</v>
      </c>
      <c r="C706" s="9">
        <v>21</v>
      </c>
      <c r="D706" s="9">
        <v>390010021</v>
      </c>
      <c r="E706" s="37" t="s">
        <v>790</v>
      </c>
      <c r="H706" s="9" t="s">
        <v>76</v>
      </c>
      <c r="I706" s="39" t="s">
        <v>773</v>
      </c>
      <c r="J706" s="9">
        <v>10.5</v>
      </c>
      <c r="K706" s="14">
        <v>3</v>
      </c>
      <c r="L706" s="14">
        <v>2</v>
      </c>
      <c r="M706" s="14" t="str">
        <f t="shared" si="28"/>
        <v>0302</v>
      </c>
      <c r="N706" s="17" t="s">
        <v>790</v>
      </c>
      <c r="P706" s="14" t="str">
        <f t="shared" si="29"/>
        <v>9300000</v>
      </c>
    </row>
    <row r="707" spans="1:16" ht="19.149999999999999" customHeight="1">
      <c r="A707" s="8">
        <v>39</v>
      </c>
      <c r="B707" s="9">
        <v>1</v>
      </c>
      <c r="C707" s="9">
        <v>22</v>
      </c>
      <c r="D707" s="9">
        <v>390010022</v>
      </c>
      <c r="E707" s="37" t="s">
        <v>790</v>
      </c>
      <c r="H707" s="9" t="s">
        <v>718</v>
      </c>
      <c r="I707" s="39" t="s">
        <v>773</v>
      </c>
      <c r="J707" s="9">
        <v>203.5</v>
      </c>
      <c r="K707" s="14"/>
      <c r="L707" s="14"/>
      <c r="M707" s="14" t="str">
        <f t="shared" si="28"/>
        <v>0000</v>
      </c>
      <c r="N707" s="17" t="s">
        <v>790</v>
      </c>
      <c r="P707" s="14" t="str">
        <f t="shared" si="29"/>
        <v>9300000</v>
      </c>
    </row>
    <row r="708" spans="1:16" ht="19.149999999999999" customHeight="1">
      <c r="A708" s="8">
        <v>39</v>
      </c>
      <c r="B708" s="9">
        <v>1</v>
      </c>
      <c r="C708" s="9">
        <v>23</v>
      </c>
      <c r="D708" s="9">
        <v>390010023</v>
      </c>
      <c r="E708" s="37" t="s">
        <v>790</v>
      </c>
      <c r="H708" s="9" t="s">
        <v>295</v>
      </c>
      <c r="I708" s="39" t="s">
        <v>777</v>
      </c>
      <c r="J708" s="9">
        <v>0.35</v>
      </c>
      <c r="K708" s="14">
        <v>3</v>
      </c>
      <c r="L708" s="14">
        <v>7</v>
      </c>
      <c r="M708" s="14" t="str">
        <f t="shared" si="28"/>
        <v>0307</v>
      </c>
      <c r="N708" s="17" t="s">
        <v>790</v>
      </c>
      <c r="P708" s="14" t="str">
        <f t="shared" si="29"/>
        <v>9300000</v>
      </c>
    </row>
    <row r="709" spans="1:16" ht="19.149999999999999" customHeight="1">
      <c r="A709" s="8">
        <v>30</v>
      </c>
      <c r="B709" s="9">
        <v>1</v>
      </c>
      <c r="C709" s="9">
        <v>509</v>
      </c>
      <c r="D709" s="9">
        <v>300010509</v>
      </c>
      <c r="E709" s="37" t="s">
        <v>790</v>
      </c>
      <c r="H709" s="9" t="s">
        <v>50</v>
      </c>
      <c r="I709" s="39" t="s">
        <v>771</v>
      </c>
      <c r="J709" s="9">
        <v>8</v>
      </c>
      <c r="K709" s="14">
        <v>3</v>
      </c>
      <c r="L709" s="14">
        <v>2</v>
      </c>
      <c r="M709" s="14" t="str">
        <f t="shared" si="28"/>
        <v>0302</v>
      </c>
      <c r="N709" s="17" t="s">
        <v>790</v>
      </c>
      <c r="P709" s="14" t="str">
        <f t="shared" si="29"/>
        <v>9300000</v>
      </c>
    </row>
    <row r="710" spans="1:16" ht="19.149999999999999" customHeight="1">
      <c r="A710" s="8">
        <v>59</v>
      </c>
      <c r="B710" s="9">
        <v>1</v>
      </c>
      <c r="C710" s="9">
        <v>643</v>
      </c>
      <c r="D710" s="9">
        <v>590010643</v>
      </c>
      <c r="E710" s="37" t="s">
        <v>790</v>
      </c>
      <c r="H710" s="9" t="s">
        <v>51</v>
      </c>
      <c r="I710" s="39" t="s">
        <v>773</v>
      </c>
      <c r="J710" s="9">
        <v>43</v>
      </c>
      <c r="K710" s="14">
        <v>3</v>
      </c>
      <c r="L710" s="14">
        <v>2</v>
      </c>
      <c r="M710" s="14" t="str">
        <f t="shared" si="28"/>
        <v>0302</v>
      </c>
      <c r="N710" s="17" t="s">
        <v>790</v>
      </c>
      <c r="P710" s="14" t="str">
        <f t="shared" si="29"/>
        <v>9300000</v>
      </c>
    </row>
    <row r="711" spans="1:16" ht="19.149999999999999" customHeight="1">
      <c r="A711" s="8">
        <v>52</v>
      </c>
      <c r="B711" s="9">
        <v>1</v>
      </c>
      <c r="C711" s="9">
        <v>4</v>
      </c>
      <c r="D711" s="9">
        <v>520010004</v>
      </c>
      <c r="E711" s="41" t="s">
        <v>790</v>
      </c>
      <c r="F711" s="41"/>
      <c r="G711" s="41"/>
      <c r="H711" s="9" t="s">
        <v>645</v>
      </c>
      <c r="I711" s="39" t="s">
        <v>773</v>
      </c>
      <c r="J711" s="9">
        <v>9</v>
      </c>
      <c r="K711" s="14">
        <v>7</v>
      </c>
      <c r="L711" s="14">
        <v>3</v>
      </c>
      <c r="M711" s="14" t="str">
        <f t="shared" si="28"/>
        <v>0703</v>
      </c>
      <c r="N711" s="19" t="s">
        <v>790</v>
      </c>
      <c r="O711" s="19"/>
      <c r="P711" s="14" t="str">
        <f t="shared" si="29"/>
        <v>9300000</v>
      </c>
    </row>
    <row r="712" spans="1:16" ht="19.149999999999999" customHeight="1">
      <c r="A712" s="8">
        <v>30</v>
      </c>
      <c r="B712" s="9">
        <v>1</v>
      </c>
      <c r="C712" s="9">
        <v>371</v>
      </c>
      <c r="D712" s="9">
        <v>300010371</v>
      </c>
      <c r="E712" s="37" t="s">
        <v>790</v>
      </c>
      <c r="H712" s="9" t="s">
        <v>296</v>
      </c>
      <c r="I712" s="39" t="s">
        <v>773</v>
      </c>
      <c r="J712" s="9">
        <v>10</v>
      </c>
      <c r="K712" s="14">
        <v>3</v>
      </c>
      <c r="L712" s="14">
        <v>7</v>
      </c>
      <c r="M712" s="14" t="str">
        <f t="shared" si="28"/>
        <v>0307</v>
      </c>
      <c r="N712" s="17" t="s">
        <v>790</v>
      </c>
      <c r="P712" s="14" t="str">
        <f t="shared" si="29"/>
        <v>9300000</v>
      </c>
    </row>
    <row r="713" spans="1:16" ht="19.149999999999999" customHeight="1">
      <c r="A713" s="8">
        <v>30</v>
      </c>
      <c r="B713" s="9">
        <v>1</v>
      </c>
      <c r="C713" s="9">
        <v>370</v>
      </c>
      <c r="D713" s="9">
        <v>300010370</v>
      </c>
      <c r="E713" s="37" t="s">
        <v>790</v>
      </c>
      <c r="H713" s="9" t="s">
        <v>297</v>
      </c>
      <c r="I713" s="39" t="s">
        <v>773</v>
      </c>
      <c r="J713" s="9">
        <v>1</v>
      </c>
      <c r="K713" s="14">
        <v>3</v>
      </c>
      <c r="L713" s="14">
        <v>7</v>
      </c>
      <c r="M713" s="14" t="str">
        <f t="shared" si="28"/>
        <v>0307</v>
      </c>
      <c r="N713" s="17" t="s">
        <v>790</v>
      </c>
      <c r="P713" s="14" t="str">
        <f t="shared" si="29"/>
        <v>9300000</v>
      </c>
    </row>
    <row r="714" spans="1:16" ht="19.149999999999999" customHeight="1">
      <c r="A714" s="8">
        <v>52</v>
      </c>
      <c r="B714" s="9">
        <v>1</v>
      </c>
      <c r="C714" s="9">
        <v>5</v>
      </c>
      <c r="D714" s="9">
        <v>520010005</v>
      </c>
      <c r="E714" s="37" t="s">
        <v>790</v>
      </c>
      <c r="H714" s="9" t="s">
        <v>226</v>
      </c>
      <c r="I714" s="39" t="s">
        <v>773</v>
      </c>
      <c r="J714" s="9">
        <v>6</v>
      </c>
      <c r="K714" s="14">
        <v>3</v>
      </c>
      <c r="L714" s="14">
        <v>5</v>
      </c>
      <c r="M714" s="14" t="str">
        <f t="shared" si="28"/>
        <v>0305</v>
      </c>
      <c r="N714" s="17" t="s">
        <v>790</v>
      </c>
      <c r="P714" s="14" t="str">
        <f t="shared" si="29"/>
        <v>9300000</v>
      </c>
    </row>
    <row r="715" spans="1:16" ht="19.149999999999999" customHeight="1">
      <c r="A715" s="8">
        <v>66</v>
      </c>
      <c r="B715" s="9">
        <v>1</v>
      </c>
      <c r="C715" s="9">
        <v>796</v>
      </c>
      <c r="D715" s="9">
        <v>660010796</v>
      </c>
      <c r="E715" s="37" t="s">
        <v>790</v>
      </c>
      <c r="H715" s="9" t="s">
        <v>227</v>
      </c>
      <c r="I715" s="39" t="s">
        <v>773</v>
      </c>
      <c r="J715" s="9">
        <v>4.2</v>
      </c>
      <c r="K715" s="14">
        <v>3</v>
      </c>
      <c r="L715" s="14">
        <v>5</v>
      </c>
      <c r="M715" s="14" t="str">
        <f t="shared" si="28"/>
        <v>0305</v>
      </c>
      <c r="N715" s="17" t="s">
        <v>790</v>
      </c>
      <c r="P715" s="14" t="str">
        <f t="shared" si="29"/>
        <v>9300000</v>
      </c>
    </row>
    <row r="716" spans="1:16" ht="19.149999999999999" customHeight="1">
      <c r="A716" s="8">
        <v>10</v>
      </c>
      <c r="B716" s="9">
        <v>1</v>
      </c>
      <c r="C716" s="9">
        <v>227</v>
      </c>
      <c r="D716" s="9">
        <v>100010227</v>
      </c>
      <c r="E716" s="37" t="s">
        <v>790</v>
      </c>
      <c r="H716" s="9" t="s">
        <v>382</v>
      </c>
      <c r="I716" s="39" t="s">
        <v>773</v>
      </c>
      <c r="J716" s="9">
        <v>0</v>
      </c>
      <c r="K716" s="14">
        <v>4</v>
      </c>
      <c r="L716" s="14">
        <v>1</v>
      </c>
      <c r="M716" s="14" t="str">
        <f t="shared" si="28"/>
        <v>0401</v>
      </c>
      <c r="N716" s="17" t="s">
        <v>790</v>
      </c>
      <c r="P716" s="14" t="str">
        <f t="shared" si="29"/>
        <v>9300000</v>
      </c>
    </row>
    <row r="717" spans="1:16" ht="19.149999999999999" customHeight="1">
      <c r="A717" s="8">
        <v>24</v>
      </c>
      <c r="B717" s="9">
        <v>1</v>
      </c>
      <c r="C717" s="9">
        <v>13</v>
      </c>
      <c r="D717" s="9">
        <v>240010013</v>
      </c>
      <c r="E717" s="37" t="s">
        <v>790</v>
      </c>
      <c r="H717" s="9" t="s">
        <v>383</v>
      </c>
      <c r="I717" s="39" t="s">
        <v>773</v>
      </c>
      <c r="J717" s="9">
        <v>0</v>
      </c>
      <c r="K717" s="14">
        <v>4</v>
      </c>
      <c r="L717" s="14">
        <v>1</v>
      </c>
      <c r="M717" s="14" t="str">
        <f t="shared" si="28"/>
        <v>0401</v>
      </c>
      <c r="N717" s="17" t="s">
        <v>790</v>
      </c>
      <c r="P717" s="14" t="str">
        <f t="shared" si="29"/>
        <v>9300000</v>
      </c>
    </row>
    <row r="718" spans="1:16" ht="19.149999999999999" customHeight="1">
      <c r="A718" s="8">
        <v>66</v>
      </c>
      <c r="B718" s="9">
        <v>1</v>
      </c>
      <c r="C718" s="9">
        <v>783</v>
      </c>
      <c r="D718" s="9">
        <v>660010783</v>
      </c>
      <c r="E718" s="37" t="s">
        <v>790</v>
      </c>
      <c r="H718" s="9" t="s">
        <v>384</v>
      </c>
      <c r="I718" s="39" t="s">
        <v>773</v>
      </c>
      <c r="J718" s="9">
        <v>288.27</v>
      </c>
      <c r="K718" s="14">
        <v>4</v>
      </c>
      <c r="L718" s="14">
        <v>1</v>
      </c>
      <c r="M718" s="14" t="str">
        <f t="shared" si="28"/>
        <v>0401</v>
      </c>
      <c r="N718" s="17" t="s">
        <v>790</v>
      </c>
      <c r="P718" s="14" t="str">
        <f t="shared" si="29"/>
        <v>9300000</v>
      </c>
    </row>
    <row r="719" spans="1:16" ht="19.149999999999999" customHeight="1">
      <c r="A719" s="8">
        <v>39</v>
      </c>
      <c r="B719" s="9">
        <v>1</v>
      </c>
      <c r="C719" s="9">
        <v>31</v>
      </c>
      <c r="D719" s="9">
        <v>390010031</v>
      </c>
      <c r="E719" s="37" t="s">
        <v>790</v>
      </c>
      <c r="H719" s="9" t="s">
        <v>385</v>
      </c>
      <c r="I719" s="39" t="s">
        <v>773</v>
      </c>
      <c r="J719" s="9">
        <v>684.75</v>
      </c>
      <c r="K719" s="14">
        <v>4</v>
      </c>
      <c r="L719" s="14">
        <v>1</v>
      </c>
      <c r="M719" s="14" t="str">
        <f t="shared" si="28"/>
        <v>0401</v>
      </c>
      <c r="N719" s="17" t="s">
        <v>790</v>
      </c>
      <c r="P719" s="14" t="str">
        <f t="shared" si="29"/>
        <v>9300000</v>
      </c>
    </row>
    <row r="720" spans="1:16" ht="19.149999999999999" customHeight="1">
      <c r="A720" s="8">
        <v>10</v>
      </c>
      <c r="B720" s="9">
        <v>1</v>
      </c>
      <c r="C720" s="9">
        <v>207</v>
      </c>
      <c r="D720" s="9">
        <v>100010207</v>
      </c>
      <c r="E720" s="37" t="s">
        <v>790</v>
      </c>
      <c r="H720" s="9" t="s">
        <v>78</v>
      </c>
      <c r="I720" s="39" t="s">
        <v>773</v>
      </c>
      <c r="J720" s="9">
        <v>1.5</v>
      </c>
      <c r="K720" s="14">
        <v>3</v>
      </c>
      <c r="L720" s="14">
        <v>3</v>
      </c>
      <c r="M720" s="14" t="str">
        <f t="shared" si="28"/>
        <v>0303</v>
      </c>
      <c r="N720" s="17" t="s">
        <v>790</v>
      </c>
      <c r="P720" s="14" t="str">
        <f t="shared" si="29"/>
        <v>9300000</v>
      </c>
    </row>
    <row r="721" spans="1:16" ht="19.149999999999999" customHeight="1">
      <c r="A721" s="8">
        <v>10</v>
      </c>
      <c r="B721" s="9">
        <v>1</v>
      </c>
      <c r="C721" s="9">
        <v>206</v>
      </c>
      <c r="D721" s="9">
        <v>100010206</v>
      </c>
      <c r="E721" s="37" t="s">
        <v>790</v>
      </c>
      <c r="H721" s="9" t="s">
        <v>79</v>
      </c>
      <c r="I721" s="39" t="s">
        <v>773</v>
      </c>
      <c r="J721" s="9">
        <v>3</v>
      </c>
      <c r="K721" s="14">
        <v>3</v>
      </c>
      <c r="L721" s="14">
        <v>3</v>
      </c>
      <c r="M721" s="14" t="str">
        <f t="shared" si="28"/>
        <v>0303</v>
      </c>
      <c r="N721" s="17" t="s">
        <v>790</v>
      </c>
      <c r="P721" s="14" t="str">
        <f t="shared" si="29"/>
        <v>9300000</v>
      </c>
    </row>
    <row r="722" spans="1:16" ht="19.149999999999999" customHeight="1">
      <c r="A722" s="8">
        <v>10</v>
      </c>
      <c r="B722" s="9">
        <v>1</v>
      </c>
      <c r="C722" s="9">
        <v>205</v>
      </c>
      <c r="D722" s="9">
        <v>100010205</v>
      </c>
      <c r="E722" s="37" t="s">
        <v>790</v>
      </c>
      <c r="H722" s="9" t="s">
        <v>80</v>
      </c>
      <c r="I722" s="39" t="s">
        <v>773</v>
      </c>
      <c r="J722" s="9">
        <v>1.5</v>
      </c>
      <c r="K722" s="14">
        <v>3</v>
      </c>
      <c r="L722" s="14">
        <v>3</v>
      </c>
      <c r="M722" s="14" t="str">
        <f t="shared" si="28"/>
        <v>0303</v>
      </c>
      <c r="N722" s="17" t="s">
        <v>790</v>
      </c>
      <c r="P722" s="14" t="str">
        <f t="shared" si="29"/>
        <v>9300000</v>
      </c>
    </row>
    <row r="723" spans="1:16" ht="19.149999999999999" customHeight="1">
      <c r="A723" s="8">
        <v>10</v>
      </c>
      <c r="B723" s="9">
        <v>1</v>
      </c>
      <c r="C723" s="9">
        <v>208</v>
      </c>
      <c r="D723" s="9">
        <v>100010208</v>
      </c>
      <c r="E723" s="37" t="s">
        <v>790</v>
      </c>
      <c r="H723" s="9" t="s">
        <v>81</v>
      </c>
      <c r="I723" s="39" t="s">
        <v>773</v>
      </c>
      <c r="J723" s="9">
        <v>1</v>
      </c>
      <c r="K723" s="14">
        <v>3</v>
      </c>
      <c r="L723" s="14">
        <v>3</v>
      </c>
      <c r="M723" s="14" t="str">
        <f t="shared" si="28"/>
        <v>0303</v>
      </c>
      <c r="N723" s="17" t="s">
        <v>790</v>
      </c>
      <c r="P723" s="14" t="str">
        <f t="shared" si="29"/>
        <v>9300000</v>
      </c>
    </row>
    <row r="724" spans="1:16" ht="19.149999999999999" customHeight="1">
      <c r="A724" s="8">
        <v>10</v>
      </c>
      <c r="B724" s="9">
        <v>1</v>
      </c>
      <c r="C724" s="9">
        <v>7</v>
      </c>
      <c r="D724" s="9">
        <v>100010007</v>
      </c>
      <c r="E724" s="37" t="s">
        <v>790</v>
      </c>
      <c r="H724" s="9" t="s">
        <v>82</v>
      </c>
      <c r="I724" s="39" t="s">
        <v>773</v>
      </c>
      <c r="J724" s="9">
        <v>1.5</v>
      </c>
      <c r="K724" s="14">
        <v>3</v>
      </c>
      <c r="L724" s="14">
        <v>3</v>
      </c>
      <c r="M724" s="14" t="str">
        <f t="shared" si="28"/>
        <v>0303</v>
      </c>
      <c r="N724" s="17" t="s">
        <v>790</v>
      </c>
      <c r="P724" s="14" t="str">
        <f t="shared" si="29"/>
        <v>9300000</v>
      </c>
    </row>
    <row r="725" spans="1:16" ht="19.149999999999999" customHeight="1">
      <c r="A725" s="8">
        <v>30</v>
      </c>
      <c r="B725" s="9">
        <v>1</v>
      </c>
      <c r="C725" s="9">
        <v>456</v>
      </c>
      <c r="D725" s="9">
        <v>300010456</v>
      </c>
      <c r="E725" s="37" t="s">
        <v>790</v>
      </c>
      <c r="H725" s="9" t="s">
        <v>83</v>
      </c>
      <c r="I725" s="39" t="s">
        <v>773</v>
      </c>
      <c r="J725" s="9">
        <v>1.5</v>
      </c>
      <c r="K725" s="14">
        <v>3</v>
      </c>
      <c r="L725" s="14">
        <v>3</v>
      </c>
      <c r="M725" s="14" t="str">
        <f t="shared" si="28"/>
        <v>0303</v>
      </c>
      <c r="N725" s="17" t="s">
        <v>790</v>
      </c>
      <c r="P725" s="14" t="str">
        <f t="shared" si="29"/>
        <v>9300000</v>
      </c>
    </row>
    <row r="726" spans="1:16" ht="19.149999999999999" customHeight="1">
      <c r="A726" s="8">
        <v>78</v>
      </c>
      <c r="B726" s="9">
        <v>1</v>
      </c>
      <c r="C726" s="9">
        <v>2</v>
      </c>
      <c r="D726" s="9">
        <v>780010002</v>
      </c>
      <c r="E726" s="37" t="s">
        <v>790</v>
      </c>
      <c r="H726" s="9" t="s">
        <v>84</v>
      </c>
      <c r="I726" s="39" t="s">
        <v>773</v>
      </c>
      <c r="J726" s="9">
        <v>3</v>
      </c>
      <c r="K726" s="14">
        <v>3</v>
      </c>
      <c r="L726" s="14">
        <v>3</v>
      </c>
      <c r="M726" s="14" t="str">
        <f t="shared" si="28"/>
        <v>0303</v>
      </c>
      <c r="N726" s="17" t="s">
        <v>790</v>
      </c>
      <c r="P726" s="14" t="str">
        <f t="shared" si="29"/>
        <v>9300000</v>
      </c>
    </row>
    <row r="727" spans="1:16" ht="19.149999999999999" customHeight="1">
      <c r="A727" s="8">
        <v>78</v>
      </c>
      <c r="B727" s="9">
        <v>1</v>
      </c>
      <c r="C727" s="9">
        <v>5</v>
      </c>
      <c r="D727" s="9">
        <v>780010005</v>
      </c>
      <c r="E727" s="41" t="s">
        <v>790</v>
      </c>
      <c r="F727" s="41"/>
      <c r="G727" s="41"/>
      <c r="H727" s="9" t="s">
        <v>737</v>
      </c>
      <c r="I727" s="39" t="s">
        <v>771</v>
      </c>
      <c r="J727" s="9">
        <v>100</v>
      </c>
      <c r="K727" s="14"/>
      <c r="L727" s="14"/>
      <c r="M727" s="14" t="str">
        <f t="shared" si="28"/>
        <v>0000</v>
      </c>
      <c r="N727" s="19" t="s">
        <v>790</v>
      </c>
      <c r="O727" s="19"/>
      <c r="P727" s="14" t="str">
        <f t="shared" si="29"/>
        <v>9300000</v>
      </c>
    </row>
    <row r="728" spans="1:16" ht="19.149999999999999" customHeight="1">
      <c r="A728" s="8">
        <v>78</v>
      </c>
      <c r="B728" s="9">
        <v>1</v>
      </c>
      <c r="C728" s="9">
        <v>4</v>
      </c>
      <c r="D728" s="9">
        <v>780010004</v>
      </c>
      <c r="E728" s="37" t="s">
        <v>790</v>
      </c>
      <c r="H728" s="9" t="s">
        <v>237</v>
      </c>
      <c r="I728" s="39" t="s">
        <v>779</v>
      </c>
      <c r="J728" s="9">
        <v>12.5</v>
      </c>
      <c r="K728" s="14">
        <v>3</v>
      </c>
      <c r="L728" s="14">
        <v>7</v>
      </c>
      <c r="M728" s="14" t="str">
        <f t="shared" si="28"/>
        <v>0307</v>
      </c>
      <c r="N728" s="17" t="s">
        <v>790</v>
      </c>
      <c r="P728" s="14" t="str">
        <f t="shared" si="29"/>
        <v>9300000</v>
      </c>
    </row>
    <row r="729" spans="1:16" ht="19.149999999999999" customHeight="1">
      <c r="A729" s="8">
        <v>30</v>
      </c>
      <c r="B729" s="9">
        <v>1</v>
      </c>
      <c r="C729" s="9">
        <v>56</v>
      </c>
      <c r="D729" s="9">
        <v>300010056</v>
      </c>
      <c r="E729" s="37" t="s">
        <v>790</v>
      </c>
      <c r="H729" s="9" t="s">
        <v>330</v>
      </c>
      <c r="I729" s="39" t="s">
        <v>773</v>
      </c>
      <c r="J729" s="9">
        <v>10</v>
      </c>
      <c r="K729" s="14">
        <v>3</v>
      </c>
      <c r="L729" s="14">
        <v>7</v>
      </c>
      <c r="M729" s="14" t="str">
        <f t="shared" si="28"/>
        <v>0307</v>
      </c>
      <c r="N729" s="17" t="s">
        <v>790</v>
      </c>
      <c r="P729" s="14" t="str">
        <f t="shared" si="29"/>
        <v>9300000</v>
      </c>
    </row>
    <row r="730" spans="1:16" ht="19.149999999999999" customHeight="1">
      <c r="A730" s="8">
        <v>12</v>
      </c>
      <c r="B730" s="9">
        <v>1</v>
      </c>
      <c r="C730" s="9">
        <v>324</v>
      </c>
      <c r="D730" s="9">
        <v>120010324</v>
      </c>
      <c r="E730" s="37" t="s">
        <v>790</v>
      </c>
      <c r="H730" s="9" t="s">
        <v>304</v>
      </c>
      <c r="I730" s="39" t="s">
        <v>773</v>
      </c>
      <c r="J730" s="9">
        <v>75</v>
      </c>
      <c r="K730" s="14">
        <v>3</v>
      </c>
      <c r="L730" s="14">
        <v>7</v>
      </c>
      <c r="M730" s="14" t="str">
        <f t="shared" si="28"/>
        <v>0307</v>
      </c>
      <c r="N730" s="17" t="s">
        <v>790</v>
      </c>
      <c r="P730" s="14" t="str">
        <f t="shared" si="29"/>
        <v>9300000</v>
      </c>
    </row>
    <row r="731" spans="1:16" ht="19.149999999999999" customHeight="1">
      <c r="A731" s="8">
        <v>12</v>
      </c>
      <c r="B731" s="9">
        <v>1</v>
      </c>
      <c r="C731" s="9">
        <v>281</v>
      </c>
      <c r="D731" s="9">
        <v>120010281</v>
      </c>
      <c r="E731" s="37" t="s">
        <v>790</v>
      </c>
      <c r="H731" s="9" t="s">
        <v>309</v>
      </c>
      <c r="I731" s="39" t="s">
        <v>773</v>
      </c>
      <c r="J731" s="9">
        <v>32</v>
      </c>
      <c r="K731" s="14">
        <v>3</v>
      </c>
      <c r="L731" s="14">
        <v>7</v>
      </c>
      <c r="M731" s="14" t="str">
        <f t="shared" si="28"/>
        <v>0307</v>
      </c>
      <c r="N731" s="17" t="s">
        <v>790</v>
      </c>
      <c r="P731" s="14" t="str">
        <f t="shared" si="29"/>
        <v>9300000</v>
      </c>
    </row>
    <row r="732" spans="1:16" ht="19.149999999999999" customHeight="1">
      <c r="A732" s="8">
        <v>12</v>
      </c>
      <c r="B732" s="9">
        <v>1</v>
      </c>
      <c r="C732" s="9">
        <v>267</v>
      </c>
      <c r="D732" s="9">
        <v>120010267</v>
      </c>
      <c r="E732" s="37" t="s">
        <v>790</v>
      </c>
      <c r="H732" s="9" t="s">
        <v>310</v>
      </c>
      <c r="I732" s="39" t="s">
        <v>773</v>
      </c>
      <c r="J732" s="9">
        <v>32</v>
      </c>
      <c r="K732" s="14">
        <v>3</v>
      </c>
      <c r="L732" s="14">
        <v>7</v>
      </c>
      <c r="M732" s="14" t="str">
        <f t="shared" si="28"/>
        <v>0307</v>
      </c>
      <c r="N732" s="17" t="s">
        <v>790</v>
      </c>
      <c r="P732" s="14" t="str">
        <f t="shared" si="29"/>
        <v>9300000</v>
      </c>
    </row>
    <row r="733" spans="1:16" ht="19.149999999999999" customHeight="1">
      <c r="A733" s="8">
        <v>12</v>
      </c>
      <c r="B733" s="9">
        <v>1</v>
      </c>
      <c r="C733" s="9">
        <v>270</v>
      </c>
      <c r="D733" s="9">
        <v>120010270</v>
      </c>
      <c r="E733" s="37" t="s">
        <v>790</v>
      </c>
      <c r="H733" s="9" t="s">
        <v>180</v>
      </c>
      <c r="I733" s="39" t="s">
        <v>773</v>
      </c>
      <c r="J733" s="9">
        <v>300</v>
      </c>
      <c r="K733" s="14">
        <v>3</v>
      </c>
      <c r="L733" s="14">
        <v>4</v>
      </c>
      <c r="M733" s="14" t="str">
        <f t="shared" si="28"/>
        <v>0304</v>
      </c>
      <c r="N733" s="17" t="s">
        <v>790</v>
      </c>
      <c r="P733" s="14" t="str">
        <f t="shared" si="29"/>
        <v>9300000</v>
      </c>
    </row>
    <row r="734" spans="1:16" ht="19.149999999999999" customHeight="1">
      <c r="A734" s="8">
        <v>12</v>
      </c>
      <c r="B734" s="9">
        <v>1</v>
      </c>
      <c r="C734" s="9">
        <v>271</v>
      </c>
      <c r="D734" s="9">
        <v>120010271</v>
      </c>
      <c r="E734" s="41">
        <v>93</v>
      </c>
      <c r="F734" s="41"/>
      <c r="G734" s="41"/>
      <c r="H734" s="9" t="s">
        <v>746</v>
      </c>
      <c r="I734" s="39" t="s">
        <v>773</v>
      </c>
      <c r="J734" s="9">
        <v>23.9</v>
      </c>
      <c r="K734" s="14"/>
      <c r="L734" s="14"/>
      <c r="M734" s="14" t="str">
        <f t="shared" si="28"/>
        <v>0000</v>
      </c>
      <c r="N734" s="19">
        <v>93</v>
      </c>
      <c r="O734" s="19"/>
      <c r="P734" s="14" t="str">
        <f t="shared" si="29"/>
        <v>9300000</v>
      </c>
    </row>
    <row r="735" spans="1:16" ht="19.149999999999999" customHeight="1">
      <c r="A735" s="8">
        <v>66</v>
      </c>
      <c r="B735" s="9">
        <v>1</v>
      </c>
      <c r="C735" s="9">
        <v>765</v>
      </c>
      <c r="D735" s="9">
        <v>660010765</v>
      </c>
      <c r="E735" s="37" t="s">
        <v>790</v>
      </c>
      <c r="H735" s="9" t="s">
        <v>770</v>
      </c>
      <c r="I735" s="39" t="s">
        <v>773</v>
      </c>
      <c r="J735" s="9">
        <v>380</v>
      </c>
      <c r="K735" s="14"/>
      <c r="L735" s="14"/>
      <c r="M735" s="14" t="str">
        <f t="shared" si="28"/>
        <v>0000</v>
      </c>
      <c r="N735" s="17" t="s">
        <v>790</v>
      </c>
      <c r="P735" s="14" t="str">
        <f t="shared" si="29"/>
        <v>9300000</v>
      </c>
    </row>
    <row r="736" spans="1:16" ht="19.149999999999999" customHeight="1">
      <c r="A736" s="8">
        <v>30</v>
      </c>
      <c r="B736" s="9">
        <v>1</v>
      </c>
      <c r="C736" s="9">
        <v>494</v>
      </c>
      <c r="D736" s="9">
        <v>300010494</v>
      </c>
      <c r="E736" s="41">
        <v>93</v>
      </c>
      <c r="F736" s="41"/>
      <c r="G736" s="41"/>
      <c r="H736" s="9" t="s">
        <v>748</v>
      </c>
      <c r="I736" s="39" t="s">
        <v>773</v>
      </c>
      <c r="J736" s="9">
        <v>120</v>
      </c>
      <c r="K736" s="14"/>
      <c r="L736" s="14"/>
      <c r="M736" s="14" t="str">
        <f t="shared" si="28"/>
        <v>0000</v>
      </c>
      <c r="N736" s="19">
        <v>93</v>
      </c>
      <c r="O736" s="19"/>
      <c r="P736" s="14" t="str">
        <f t="shared" si="29"/>
        <v>9300000</v>
      </c>
    </row>
    <row r="737" spans="1:16" ht="19.149999999999999" customHeight="1">
      <c r="A737" s="8">
        <v>12</v>
      </c>
      <c r="B737" s="9">
        <v>1</v>
      </c>
      <c r="C737" s="9">
        <v>306</v>
      </c>
      <c r="D737" s="9">
        <v>120010306</v>
      </c>
      <c r="E737" s="41">
        <v>93</v>
      </c>
      <c r="F737" s="41"/>
      <c r="G737" s="41"/>
      <c r="H737" s="9" t="s">
        <v>661</v>
      </c>
      <c r="I737" s="39" t="s">
        <v>773</v>
      </c>
      <c r="J737" s="9">
        <v>10</v>
      </c>
      <c r="K737" s="14">
        <v>7</v>
      </c>
      <c r="L737" s="14">
        <v>3</v>
      </c>
      <c r="M737" s="14" t="str">
        <f t="shared" si="28"/>
        <v>0703</v>
      </c>
      <c r="N737" s="19">
        <v>93</v>
      </c>
      <c r="O737" s="19"/>
      <c r="P737" s="14" t="str">
        <f t="shared" si="29"/>
        <v>9300000</v>
      </c>
    </row>
    <row r="738" spans="1:16" ht="19.149999999999999" customHeight="1">
      <c r="A738" s="8">
        <v>65</v>
      </c>
      <c r="B738" s="9">
        <v>1</v>
      </c>
      <c r="C738" s="9">
        <v>693</v>
      </c>
      <c r="D738" s="9">
        <v>650010693</v>
      </c>
      <c r="E738" s="37" t="s">
        <v>790</v>
      </c>
      <c r="H738" s="9" t="s">
        <v>758</v>
      </c>
      <c r="I738" s="39" t="s">
        <v>773</v>
      </c>
      <c r="J738" s="9">
        <v>1</v>
      </c>
      <c r="K738" s="14"/>
      <c r="L738" s="14"/>
      <c r="M738" s="14" t="str">
        <f t="shared" si="28"/>
        <v>0000</v>
      </c>
      <c r="N738" s="17" t="s">
        <v>790</v>
      </c>
      <c r="P738" s="14" t="str">
        <f t="shared" si="29"/>
        <v>9300000</v>
      </c>
    </row>
    <row r="739" spans="1:16" ht="19.149999999999999" customHeight="1">
      <c r="A739" s="8">
        <v>30</v>
      </c>
      <c r="B739" s="9">
        <v>1</v>
      </c>
      <c r="C739" s="9">
        <v>440</v>
      </c>
      <c r="D739" s="9">
        <v>300010440</v>
      </c>
      <c r="E739" s="37" t="s">
        <v>790</v>
      </c>
      <c r="H739" s="9" t="s">
        <v>760</v>
      </c>
      <c r="I739" s="39" t="s">
        <v>773</v>
      </c>
      <c r="J739" s="9">
        <v>9.5</v>
      </c>
      <c r="K739" s="14"/>
      <c r="L739" s="14"/>
      <c r="M739" s="14" t="str">
        <f t="shared" si="28"/>
        <v>0000</v>
      </c>
      <c r="N739" s="17" t="s">
        <v>790</v>
      </c>
      <c r="P739" s="14" t="str">
        <f t="shared" si="29"/>
        <v>9300000</v>
      </c>
    </row>
    <row r="740" spans="1:16" ht="19.149999999999999" customHeight="1">
      <c r="A740" s="8">
        <v>54</v>
      </c>
      <c r="B740" s="9">
        <v>1</v>
      </c>
      <c r="C740" s="9">
        <v>602</v>
      </c>
      <c r="D740" s="9">
        <v>540010602</v>
      </c>
      <c r="E740" s="37" t="s">
        <v>790</v>
      </c>
      <c r="H740" s="9" t="s">
        <v>761</v>
      </c>
      <c r="I740" s="39" t="s">
        <v>773</v>
      </c>
      <c r="J740" s="9">
        <v>450</v>
      </c>
      <c r="K740" s="14"/>
      <c r="L740" s="14"/>
      <c r="M740" s="14" t="str">
        <f t="shared" si="28"/>
        <v>0000</v>
      </c>
      <c r="N740" s="17" t="s">
        <v>790</v>
      </c>
      <c r="P740" s="14" t="str">
        <f t="shared" si="29"/>
        <v>9300000</v>
      </c>
    </row>
    <row r="741" spans="1:16" ht="19.149999999999999" customHeight="1">
      <c r="A741" s="8">
        <v>30</v>
      </c>
      <c r="B741" s="9">
        <v>1</v>
      </c>
      <c r="C741" s="9">
        <v>420</v>
      </c>
      <c r="D741" s="9">
        <v>300010420</v>
      </c>
      <c r="E741" s="37" t="s">
        <v>790</v>
      </c>
      <c r="H741" s="9" t="s">
        <v>400</v>
      </c>
      <c r="I741" s="39" t="s">
        <v>773</v>
      </c>
      <c r="J741" s="9">
        <v>1200</v>
      </c>
      <c r="K741" s="14">
        <v>4</v>
      </c>
      <c r="L741" s="14">
        <v>1</v>
      </c>
      <c r="M741" s="14" t="str">
        <f t="shared" si="28"/>
        <v>0401</v>
      </c>
      <c r="N741" s="17" t="s">
        <v>790</v>
      </c>
      <c r="P741" s="14" t="str">
        <f t="shared" si="29"/>
        <v>9300000</v>
      </c>
    </row>
    <row r="742" spans="1:16" ht="19.149999999999999" customHeight="1">
      <c r="A742" s="8">
        <v>30</v>
      </c>
      <c r="B742" s="9">
        <v>1</v>
      </c>
      <c r="C742" s="9">
        <v>49</v>
      </c>
      <c r="D742" s="9">
        <v>300010049</v>
      </c>
      <c r="E742" s="37" t="s">
        <v>790</v>
      </c>
      <c r="H742" s="9" t="s">
        <v>318</v>
      </c>
      <c r="I742" s="39" t="s">
        <v>773</v>
      </c>
      <c r="J742" s="9">
        <v>70</v>
      </c>
      <c r="K742" s="14">
        <v>3</v>
      </c>
      <c r="L742" s="14">
        <v>7</v>
      </c>
      <c r="M742" s="14" t="str">
        <f t="shared" si="28"/>
        <v>0307</v>
      </c>
      <c r="N742" s="17" t="s">
        <v>790</v>
      </c>
      <c r="P742" s="14" t="str">
        <f t="shared" si="29"/>
        <v>9300000</v>
      </c>
    </row>
    <row r="743" spans="1:16" ht="19.149999999999999" customHeight="1">
      <c r="A743" s="8">
        <v>12</v>
      </c>
      <c r="B743" s="9">
        <v>1</v>
      </c>
      <c r="C743" s="9">
        <v>266</v>
      </c>
      <c r="D743" s="9">
        <v>120010266</v>
      </c>
      <c r="E743" s="37" t="s">
        <v>790</v>
      </c>
      <c r="H743" s="9" t="s">
        <v>492</v>
      </c>
      <c r="I743" s="39" t="s">
        <v>773</v>
      </c>
      <c r="J743" s="9">
        <v>1</v>
      </c>
      <c r="K743" s="14">
        <v>4</v>
      </c>
      <c r="L743" s="14">
        <v>3</v>
      </c>
      <c r="M743" s="14" t="str">
        <f t="shared" si="28"/>
        <v>0403</v>
      </c>
      <c r="N743" s="17" t="s">
        <v>790</v>
      </c>
      <c r="P743" s="14" t="str">
        <f t="shared" si="29"/>
        <v>9300000</v>
      </c>
    </row>
    <row r="744" spans="1:16" ht="19.149999999999999" customHeight="1">
      <c r="A744" s="8">
        <v>39</v>
      </c>
      <c r="B744" s="9">
        <v>1</v>
      </c>
      <c r="C744" s="9">
        <v>19</v>
      </c>
      <c r="D744" s="9">
        <v>390010019</v>
      </c>
      <c r="E744" s="37" t="s">
        <v>790</v>
      </c>
      <c r="H744" s="9" t="s">
        <v>194</v>
      </c>
      <c r="I744" s="39" t="s">
        <v>773</v>
      </c>
      <c r="J744" s="9">
        <v>45</v>
      </c>
      <c r="K744" s="14">
        <v>3</v>
      </c>
      <c r="L744" s="14">
        <v>4</v>
      </c>
      <c r="M744" s="14" t="str">
        <f t="shared" si="28"/>
        <v>0304</v>
      </c>
      <c r="N744" s="17" t="s">
        <v>790</v>
      </c>
      <c r="P744" s="14" t="str">
        <f t="shared" si="29"/>
        <v>9300000</v>
      </c>
    </row>
    <row r="745" spans="1:16" ht="19.149999999999999" customHeight="1">
      <c r="A745" s="8">
        <v>30</v>
      </c>
      <c r="B745" s="9">
        <v>1</v>
      </c>
      <c r="C745" s="9">
        <v>434</v>
      </c>
      <c r="D745" s="9">
        <v>300010434</v>
      </c>
      <c r="E745" s="37" t="s">
        <v>790</v>
      </c>
      <c r="H745" s="9" t="s">
        <v>195</v>
      </c>
      <c r="I745" s="39" t="s">
        <v>773</v>
      </c>
      <c r="J745" s="9">
        <v>31.5</v>
      </c>
      <c r="K745" s="14">
        <v>3</v>
      </c>
      <c r="L745" s="14">
        <v>4</v>
      </c>
      <c r="M745" s="14" t="str">
        <f t="shared" si="28"/>
        <v>0304</v>
      </c>
      <c r="N745" s="17" t="s">
        <v>790</v>
      </c>
      <c r="P745" s="14" t="str">
        <f t="shared" si="29"/>
        <v>9300000</v>
      </c>
    </row>
    <row r="746" spans="1:16" ht="19.149999999999999" customHeight="1">
      <c r="A746" s="8">
        <v>54</v>
      </c>
      <c r="B746" s="9">
        <v>1</v>
      </c>
      <c r="C746" s="9">
        <v>629</v>
      </c>
      <c r="D746" s="9">
        <v>540010629</v>
      </c>
      <c r="E746" s="37" t="s">
        <v>790</v>
      </c>
      <c r="H746" s="9" t="s">
        <v>196</v>
      </c>
      <c r="I746" s="39" t="s">
        <v>773</v>
      </c>
      <c r="J746" s="9">
        <v>115</v>
      </c>
      <c r="K746" s="14">
        <v>3</v>
      </c>
      <c r="L746" s="14">
        <v>4</v>
      </c>
      <c r="M746" s="14" t="str">
        <f t="shared" ref="M746:M783" si="30">TEXT(K746,"00")&amp;TEXT(L746,"00")</f>
        <v>0304</v>
      </c>
      <c r="N746" s="17" t="s">
        <v>790</v>
      </c>
      <c r="P746" s="14" t="str">
        <f t="shared" ref="P746:P783" si="31">TEXT(E746,"00")&amp;TEXT(F746,"00")&amp;TEXT(G746,"000")</f>
        <v>9300000</v>
      </c>
    </row>
    <row r="747" spans="1:16" ht="19.149999999999999" customHeight="1">
      <c r="A747" s="8">
        <v>30</v>
      </c>
      <c r="B747" s="9">
        <v>1</v>
      </c>
      <c r="C747" s="9">
        <v>405</v>
      </c>
      <c r="D747" s="9">
        <v>300010405</v>
      </c>
      <c r="E747" s="37" t="s">
        <v>790</v>
      </c>
      <c r="H747" s="9" t="s">
        <v>197</v>
      </c>
      <c r="I747" s="39" t="s">
        <v>773</v>
      </c>
      <c r="J747" s="9">
        <v>40.5</v>
      </c>
      <c r="K747" s="14">
        <v>3</v>
      </c>
      <c r="L747" s="14">
        <v>4</v>
      </c>
      <c r="M747" s="14" t="str">
        <f t="shared" si="30"/>
        <v>0304</v>
      </c>
      <c r="N747" s="17" t="s">
        <v>790</v>
      </c>
      <c r="P747" s="14" t="str">
        <f t="shared" si="31"/>
        <v>9300000</v>
      </c>
    </row>
    <row r="748" spans="1:16" ht="19.149999999999999" customHeight="1">
      <c r="A748" s="8">
        <v>30</v>
      </c>
      <c r="B748" s="9">
        <v>1</v>
      </c>
      <c r="C748" s="9">
        <v>483</v>
      </c>
      <c r="D748" s="9">
        <v>300010483</v>
      </c>
      <c r="E748" s="37" t="s">
        <v>790</v>
      </c>
      <c r="H748" s="9" t="s">
        <v>198</v>
      </c>
      <c r="I748" s="39" t="s">
        <v>773</v>
      </c>
      <c r="J748" s="9">
        <v>30.5</v>
      </c>
      <c r="K748" s="14">
        <v>3</v>
      </c>
      <c r="L748" s="14">
        <v>4</v>
      </c>
      <c r="M748" s="14" t="str">
        <f t="shared" si="30"/>
        <v>0304</v>
      </c>
      <c r="N748" s="17" t="s">
        <v>790</v>
      </c>
      <c r="P748" s="14" t="str">
        <f t="shared" si="31"/>
        <v>9300000</v>
      </c>
    </row>
    <row r="749" spans="1:16" ht="19.149999999999999" customHeight="1">
      <c r="A749" s="8">
        <v>30</v>
      </c>
      <c r="B749" s="9">
        <v>1</v>
      </c>
      <c r="C749" s="9">
        <v>459</v>
      </c>
      <c r="D749" s="9">
        <v>300010459</v>
      </c>
      <c r="E749" s="37" t="s">
        <v>790</v>
      </c>
      <c r="H749" s="9" t="s">
        <v>199</v>
      </c>
      <c r="I749" s="39" t="s">
        <v>773</v>
      </c>
      <c r="J749" s="9">
        <v>20</v>
      </c>
      <c r="K749" s="14">
        <v>3</v>
      </c>
      <c r="L749" s="14">
        <v>4</v>
      </c>
      <c r="M749" s="14" t="str">
        <f t="shared" si="30"/>
        <v>0304</v>
      </c>
      <c r="N749" s="17" t="s">
        <v>790</v>
      </c>
      <c r="P749" s="14" t="str">
        <f t="shared" si="31"/>
        <v>9300000</v>
      </c>
    </row>
    <row r="750" spans="1:16" ht="19.149999999999999" customHeight="1">
      <c r="A750" s="8">
        <v>56</v>
      </c>
      <c r="B750" s="9">
        <v>1</v>
      </c>
      <c r="C750" s="9">
        <v>1</v>
      </c>
      <c r="D750" s="9">
        <v>560010001</v>
      </c>
      <c r="E750" s="37" t="s">
        <v>790</v>
      </c>
      <c r="H750" s="9" t="s">
        <v>495</v>
      </c>
      <c r="I750" s="39" t="s">
        <v>773</v>
      </c>
      <c r="J750" s="9">
        <v>1</v>
      </c>
      <c r="K750" s="14">
        <v>4</v>
      </c>
      <c r="L750" s="14">
        <v>3</v>
      </c>
      <c r="M750" s="14" t="str">
        <f t="shared" si="30"/>
        <v>0403</v>
      </c>
      <c r="N750" s="17" t="s">
        <v>790</v>
      </c>
      <c r="P750" s="14" t="str">
        <f t="shared" si="31"/>
        <v>9300000</v>
      </c>
    </row>
    <row r="751" spans="1:16" ht="19.149999999999999" customHeight="1">
      <c r="A751" s="8">
        <v>30</v>
      </c>
      <c r="B751" s="9">
        <v>1</v>
      </c>
      <c r="C751" s="9">
        <v>497</v>
      </c>
      <c r="D751" s="9">
        <v>300010497</v>
      </c>
      <c r="E751" s="37" t="s">
        <v>790</v>
      </c>
      <c r="H751" s="9" t="s">
        <v>496</v>
      </c>
      <c r="I751" s="39" t="s">
        <v>773</v>
      </c>
      <c r="J751" s="9">
        <v>1</v>
      </c>
      <c r="K751" s="14">
        <v>4</v>
      </c>
      <c r="L751" s="14">
        <v>3</v>
      </c>
      <c r="M751" s="14" t="str">
        <f t="shared" si="30"/>
        <v>0403</v>
      </c>
      <c r="N751" s="17" t="s">
        <v>790</v>
      </c>
      <c r="P751" s="14" t="str">
        <f t="shared" si="31"/>
        <v>9300000</v>
      </c>
    </row>
    <row r="752" spans="1:16" ht="19.149999999999999" customHeight="1">
      <c r="A752" s="8">
        <v>78</v>
      </c>
      <c r="B752" s="9">
        <v>1</v>
      </c>
      <c r="C752" s="9">
        <v>6</v>
      </c>
      <c r="D752" s="9">
        <v>780010006</v>
      </c>
      <c r="E752" s="37" t="s">
        <v>790</v>
      </c>
      <c r="H752" s="9" t="s">
        <v>765</v>
      </c>
      <c r="I752" s="39" t="s">
        <v>773</v>
      </c>
      <c r="J752" s="9">
        <v>25</v>
      </c>
      <c r="K752" s="14"/>
      <c r="L752" s="14"/>
      <c r="M752" s="14" t="str">
        <f t="shared" si="30"/>
        <v>0000</v>
      </c>
      <c r="N752" s="17" t="s">
        <v>790</v>
      </c>
      <c r="P752" s="14" t="str">
        <f t="shared" si="31"/>
        <v>9300000</v>
      </c>
    </row>
    <row r="753" spans="1:16" ht="19.149999999999999" customHeight="1">
      <c r="A753" s="8">
        <v>30</v>
      </c>
      <c r="B753" s="9">
        <v>1</v>
      </c>
      <c r="C753" s="9">
        <v>403</v>
      </c>
      <c r="D753" s="9">
        <v>300010403</v>
      </c>
      <c r="E753" s="37" t="s">
        <v>790</v>
      </c>
      <c r="H753" s="9" t="s">
        <v>494</v>
      </c>
      <c r="I753" s="39" t="s">
        <v>773</v>
      </c>
      <c r="J753" s="9">
        <v>8</v>
      </c>
      <c r="K753" s="14">
        <v>4</v>
      </c>
      <c r="L753" s="14">
        <v>3</v>
      </c>
      <c r="M753" s="14" t="str">
        <f t="shared" si="30"/>
        <v>0403</v>
      </c>
      <c r="N753" s="17" t="s">
        <v>790</v>
      </c>
      <c r="P753" s="14" t="str">
        <f t="shared" si="31"/>
        <v>9300000</v>
      </c>
    </row>
    <row r="754" spans="1:16" ht="19.149999999999999" customHeight="1">
      <c r="A754" s="8">
        <v>39</v>
      </c>
      <c r="B754" s="9">
        <v>1</v>
      </c>
      <c r="C754" s="9">
        <v>538</v>
      </c>
      <c r="D754" s="9">
        <v>390010538</v>
      </c>
      <c r="E754" s="37" t="s">
        <v>792</v>
      </c>
      <c r="H754" s="9" t="s">
        <v>93</v>
      </c>
      <c r="I754" s="39" t="s">
        <v>773</v>
      </c>
      <c r="J754" s="9">
        <v>139.5</v>
      </c>
      <c r="K754" s="14">
        <v>3</v>
      </c>
      <c r="L754" s="14">
        <v>3</v>
      </c>
      <c r="M754" s="14" t="str">
        <f t="shared" si="30"/>
        <v>0303</v>
      </c>
      <c r="N754" s="17" t="s">
        <v>792</v>
      </c>
      <c r="P754" s="14" t="str">
        <f t="shared" si="31"/>
        <v>9400000</v>
      </c>
    </row>
    <row r="755" spans="1:16" ht="19.149999999999999" customHeight="1">
      <c r="A755" s="8">
        <v>65</v>
      </c>
      <c r="B755" s="9">
        <v>1</v>
      </c>
      <c r="C755" s="9">
        <v>715</v>
      </c>
      <c r="D755" s="9">
        <v>650010715</v>
      </c>
      <c r="E755" s="37" t="s">
        <v>792</v>
      </c>
      <c r="H755" s="9" t="s">
        <v>28</v>
      </c>
      <c r="I755" s="39" t="s">
        <v>773</v>
      </c>
      <c r="J755" s="9">
        <v>80</v>
      </c>
      <c r="K755" s="14">
        <v>2</v>
      </c>
      <c r="L755" s="14">
        <v>3</v>
      </c>
      <c r="M755" s="14" t="str">
        <f t="shared" si="30"/>
        <v>0203</v>
      </c>
      <c r="N755" s="17" t="s">
        <v>792</v>
      </c>
      <c r="P755" s="14" t="str">
        <f t="shared" si="31"/>
        <v>9400000</v>
      </c>
    </row>
    <row r="756" spans="1:16" ht="19.149999999999999" customHeight="1">
      <c r="A756" s="8">
        <v>39</v>
      </c>
      <c r="B756" s="9">
        <v>1</v>
      </c>
      <c r="C756" s="9">
        <v>4</v>
      </c>
      <c r="D756" s="9">
        <v>390010004</v>
      </c>
      <c r="E756" s="41" t="s">
        <v>824</v>
      </c>
      <c r="F756" s="41"/>
      <c r="G756" s="41"/>
      <c r="H756" s="9" t="s">
        <v>607</v>
      </c>
      <c r="I756" s="39" t="s">
        <v>773</v>
      </c>
      <c r="J756" s="9">
        <v>230</v>
      </c>
      <c r="K756" s="14">
        <v>5</v>
      </c>
      <c r="L756" s="14">
        <v>2</v>
      </c>
      <c r="M756" s="14" t="str">
        <f t="shared" si="30"/>
        <v>0502</v>
      </c>
      <c r="N756" s="19" t="s">
        <v>824</v>
      </c>
      <c r="O756" s="19"/>
      <c r="P756" s="14" t="str">
        <f t="shared" si="31"/>
        <v>9500000</v>
      </c>
    </row>
    <row r="757" spans="1:16" ht="19.149999999999999" customHeight="1">
      <c r="A757" s="8">
        <v>30</v>
      </c>
      <c r="B757" s="9">
        <v>1</v>
      </c>
      <c r="C757" s="9">
        <v>387</v>
      </c>
      <c r="D757" s="9">
        <v>300010387</v>
      </c>
      <c r="E757" s="41" t="s">
        <v>824</v>
      </c>
      <c r="F757" s="41"/>
      <c r="G757" s="41"/>
      <c r="H757" s="9" t="s">
        <v>608</v>
      </c>
      <c r="I757" s="39" t="s">
        <v>773</v>
      </c>
      <c r="J757" s="9">
        <v>1150</v>
      </c>
      <c r="K757" s="14">
        <v>5</v>
      </c>
      <c r="L757" s="14">
        <v>2</v>
      </c>
      <c r="M757" s="14" t="str">
        <f t="shared" si="30"/>
        <v>0502</v>
      </c>
      <c r="N757" s="19" t="s">
        <v>824</v>
      </c>
      <c r="O757" s="19"/>
      <c r="P757" s="14" t="str">
        <f t="shared" si="31"/>
        <v>9500000</v>
      </c>
    </row>
    <row r="758" spans="1:16" ht="19.149999999999999" customHeight="1">
      <c r="A758" s="8">
        <v>30</v>
      </c>
      <c r="B758" s="9">
        <v>1</v>
      </c>
      <c r="C758" s="9">
        <v>458</v>
      </c>
      <c r="D758" s="9">
        <v>300010458</v>
      </c>
      <c r="E758" s="41">
        <v>95</v>
      </c>
      <c r="F758" s="41"/>
      <c r="G758" s="41"/>
      <c r="H758" s="9" t="s">
        <v>701</v>
      </c>
      <c r="I758" s="39" t="s">
        <v>773</v>
      </c>
      <c r="J758" s="9">
        <v>400</v>
      </c>
      <c r="K758" s="14"/>
      <c r="L758" s="14"/>
      <c r="M758" s="14" t="str">
        <f t="shared" si="30"/>
        <v>0000</v>
      </c>
      <c r="N758" s="19">
        <v>95</v>
      </c>
      <c r="O758" s="19"/>
      <c r="P758" s="14" t="str">
        <f t="shared" si="31"/>
        <v>9500000</v>
      </c>
    </row>
    <row r="759" spans="1:16" ht="19.149999999999999" customHeight="1">
      <c r="A759" s="8">
        <v>30</v>
      </c>
      <c r="B759" s="9">
        <v>1</v>
      </c>
      <c r="C759" s="9">
        <v>468</v>
      </c>
      <c r="D759" s="9">
        <v>300010468</v>
      </c>
      <c r="E759" s="41">
        <v>95</v>
      </c>
      <c r="F759" s="41"/>
      <c r="G759" s="41"/>
      <c r="H759" s="9" t="s">
        <v>702</v>
      </c>
      <c r="I759" s="39" t="s">
        <v>773</v>
      </c>
      <c r="J759" s="9">
        <v>1099</v>
      </c>
      <c r="K759" s="14"/>
      <c r="L759" s="14"/>
      <c r="M759" s="14" t="str">
        <f t="shared" si="30"/>
        <v>0000</v>
      </c>
      <c r="N759" s="19">
        <v>95</v>
      </c>
      <c r="O759" s="19"/>
      <c r="P759" s="14" t="str">
        <f t="shared" si="31"/>
        <v>9500000</v>
      </c>
    </row>
    <row r="760" spans="1:16" ht="19.149999999999999" customHeight="1">
      <c r="A760" s="8">
        <v>30</v>
      </c>
      <c r="B760" s="9">
        <v>1</v>
      </c>
      <c r="C760" s="9">
        <v>467</v>
      </c>
      <c r="D760" s="9">
        <v>300010467</v>
      </c>
      <c r="E760" s="41">
        <v>95</v>
      </c>
      <c r="F760" s="41"/>
      <c r="G760" s="41"/>
      <c r="H760" s="9" t="s">
        <v>703</v>
      </c>
      <c r="I760" s="39" t="s">
        <v>773</v>
      </c>
      <c r="J760" s="9">
        <v>849</v>
      </c>
      <c r="K760" s="14"/>
      <c r="L760" s="14"/>
      <c r="M760" s="14" t="str">
        <f t="shared" si="30"/>
        <v>0000</v>
      </c>
      <c r="N760" s="19">
        <v>95</v>
      </c>
      <c r="O760" s="19"/>
      <c r="P760" s="14" t="str">
        <f t="shared" si="31"/>
        <v>9500000</v>
      </c>
    </row>
    <row r="761" spans="1:16" ht="19.149999999999999" customHeight="1">
      <c r="A761" s="8">
        <v>30</v>
      </c>
      <c r="B761" s="9">
        <v>1</v>
      </c>
      <c r="C761" s="9">
        <v>469</v>
      </c>
      <c r="D761" s="9">
        <v>300010469</v>
      </c>
      <c r="E761" s="41">
        <v>95</v>
      </c>
      <c r="F761" s="41"/>
      <c r="G761" s="41"/>
      <c r="H761" s="9" t="s">
        <v>704</v>
      </c>
      <c r="I761" s="39" t="s">
        <v>773</v>
      </c>
      <c r="J761" s="9">
        <v>329</v>
      </c>
      <c r="K761" s="14"/>
      <c r="L761" s="14"/>
      <c r="M761" s="14" t="str">
        <f t="shared" si="30"/>
        <v>0000</v>
      </c>
      <c r="N761" s="19">
        <v>95</v>
      </c>
      <c r="O761" s="19"/>
      <c r="P761" s="14" t="str">
        <f t="shared" si="31"/>
        <v>9500000</v>
      </c>
    </row>
    <row r="762" spans="1:16" ht="19.149999999999999" customHeight="1">
      <c r="A762" s="8">
        <v>12</v>
      </c>
      <c r="B762" s="9">
        <v>1</v>
      </c>
      <c r="C762" s="9">
        <v>277</v>
      </c>
      <c r="D762" s="9">
        <v>120010277</v>
      </c>
      <c r="E762" s="41">
        <v>95</v>
      </c>
      <c r="F762" s="41"/>
      <c r="G762" s="41"/>
      <c r="H762" s="9" t="s">
        <v>166</v>
      </c>
      <c r="I762" s="39" t="s">
        <v>773</v>
      </c>
      <c r="J762" s="9">
        <v>499</v>
      </c>
      <c r="K762" s="14">
        <v>3</v>
      </c>
      <c r="L762" s="14">
        <v>11</v>
      </c>
      <c r="M762" s="14" t="str">
        <f t="shared" si="30"/>
        <v>0311</v>
      </c>
      <c r="N762" s="19">
        <v>95</v>
      </c>
      <c r="O762" s="19"/>
      <c r="P762" s="14" t="str">
        <f t="shared" si="31"/>
        <v>9500000</v>
      </c>
    </row>
    <row r="763" spans="1:16" ht="19.149999999999999" customHeight="1">
      <c r="A763" s="8">
        <v>12</v>
      </c>
      <c r="B763" s="9">
        <v>1</v>
      </c>
      <c r="C763" s="9">
        <v>276</v>
      </c>
      <c r="D763" s="9">
        <v>120010276</v>
      </c>
      <c r="E763" s="41">
        <v>95</v>
      </c>
      <c r="F763" s="41"/>
      <c r="G763" s="41"/>
      <c r="H763" s="9" t="s">
        <v>167</v>
      </c>
      <c r="I763" s="39" t="s">
        <v>773</v>
      </c>
      <c r="J763" s="9">
        <v>553.13</v>
      </c>
      <c r="K763" s="14">
        <v>3</v>
      </c>
      <c r="L763" s="14">
        <v>11</v>
      </c>
      <c r="M763" s="14" t="str">
        <f t="shared" si="30"/>
        <v>0311</v>
      </c>
      <c r="N763" s="19">
        <v>95</v>
      </c>
      <c r="O763" s="19"/>
      <c r="P763" s="14" t="str">
        <f t="shared" si="31"/>
        <v>9500000</v>
      </c>
    </row>
    <row r="764" spans="1:16" ht="19.149999999999999" customHeight="1">
      <c r="A764" s="8">
        <v>30</v>
      </c>
      <c r="B764" s="9">
        <v>1</v>
      </c>
      <c r="C764" s="9">
        <v>500</v>
      </c>
      <c r="D764" s="9">
        <v>300010500</v>
      </c>
      <c r="E764" s="41">
        <v>95</v>
      </c>
      <c r="F764" s="41"/>
      <c r="G764" s="41"/>
      <c r="H764" s="9" t="s">
        <v>168</v>
      </c>
      <c r="I764" s="39" t="s">
        <v>773</v>
      </c>
      <c r="J764" s="9">
        <v>789</v>
      </c>
      <c r="K764" s="14">
        <v>3</v>
      </c>
      <c r="L764" s="14">
        <v>11</v>
      </c>
      <c r="M764" s="14" t="str">
        <f t="shared" si="30"/>
        <v>0311</v>
      </c>
      <c r="N764" s="19">
        <v>95</v>
      </c>
      <c r="O764" s="19"/>
      <c r="P764" s="14" t="str">
        <f t="shared" si="31"/>
        <v>9500000</v>
      </c>
    </row>
    <row r="765" spans="1:16" ht="19.149999999999999" customHeight="1">
      <c r="A765" s="8">
        <v>12</v>
      </c>
      <c r="B765" s="9">
        <v>1</v>
      </c>
      <c r="C765" s="9">
        <v>279</v>
      </c>
      <c r="D765" s="9">
        <v>120010279</v>
      </c>
      <c r="E765" s="41" t="s">
        <v>824</v>
      </c>
      <c r="F765" s="41"/>
      <c r="G765" s="41"/>
      <c r="H765" s="9" t="s">
        <v>605</v>
      </c>
      <c r="I765" s="39" t="s">
        <v>773</v>
      </c>
      <c r="J765" s="9">
        <v>269</v>
      </c>
      <c r="K765" s="14">
        <v>5</v>
      </c>
      <c r="L765" s="14">
        <v>2</v>
      </c>
      <c r="M765" s="14" t="str">
        <f t="shared" si="30"/>
        <v>0502</v>
      </c>
      <c r="N765" s="19" t="s">
        <v>824</v>
      </c>
      <c r="O765" s="19"/>
      <c r="P765" s="14" t="str">
        <f t="shared" si="31"/>
        <v>9500000</v>
      </c>
    </row>
    <row r="766" spans="1:16" ht="19.149999999999999" customHeight="1">
      <c r="A766" s="8">
        <v>30</v>
      </c>
      <c r="B766" s="9">
        <v>1</v>
      </c>
      <c r="C766" s="9">
        <v>502</v>
      </c>
      <c r="D766" s="9">
        <v>300010502</v>
      </c>
      <c r="E766" s="41" t="s">
        <v>824</v>
      </c>
      <c r="F766" s="41"/>
      <c r="G766" s="41"/>
      <c r="H766" s="9" t="s">
        <v>606</v>
      </c>
      <c r="I766" s="39" t="s">
        <v>773</v>
      </c>
      <c r="J766" s="9">
        <v>679</v>
      </c>
      <c r="K766" s="14">
        <v>5</v>
      </c>
      <c r="L766" s="14">
        <v>2</v>
      </c>
      <c r="M766" s="14" t="str">
        <f t="shared" si="30"/>
        <v>0502</v>
      </c>
      <c r="N766" s="19" t="s">
        <v>824</v>
      </c>
      <c r="O766" s="19"/>
      <c r="P766" s="14" t="str">
        <f t="shared" si="31"/>
        <v>9500000</v>
      </c>
    </row>
    <row r="767" spans="1:16" ht="19.149999999999999" customHeight="1">
      <c r="A767" s="8">
        <v>30</v>
      </c>
      <c r="B767" s="9">
        <v>1</v>
      </c>
      <c r="C767" s="9">
        <v>501</v>
      </c>
      <c r="D767" s="9">
        <v>300010501</v>
      </c>
      <c r="E767" s="41">
        <v>95</v>
      </c>
      <c r="F767" s="41"/>
      <c r="G767" s="41"/>
      <c r="H767" s="9" t="s">
        <v>713</v>
      </c>
      <c r="I767" s="39" t="s">
        <v>773</v>
      </c>
      <c r="J767" s="9">
        <v>899</v>
      </c>
      <c r="K767" s="14"/>
      <c r="L767" s="14"/>
      <c r="M767" s="14" t="str">
        <f t="shared" si="30"/>
        <v>0000</v>
      </c>
      <c r="N767" s="19">
        <v>95</v>
      </c>
      <c r="O767" s="19"/>
      <c r="P767" s="14" t="str">
        <f t="shared" si="31"/>
        <v>9500000</v>
      </c>
    </row>
    <row r="768" spans="1:16" ht="19.149999999999999" customHeight="1">
      <c r="A768" s="8">
        <v>12</v>
      </c>
      <c r="B768" s="9">
        <v>1</v>
      </c>
      <c r="C768" s="9">
        <v>251</v>
      </c>
      <c r="D768" s="9">
        <v>120010251</v>
      </c>
      <c r="E768" s="41">
        <v>95</v>
      </c>
      <c r="F768" s="41"/>
      <c r="G768" s="41"/>
      <c r="H768" s="9" t="s">
        <v>714</v>
      </c>
      <c r="I768" s="39" t="s">
        <v>773</v>
      </c>
      <c r="J768" s="9">
        <v>1900</v>
      </c>
      <c r="K768" s="14"/>
      <c r="L768" s="14"/>
      <c r="M768" s="14" t="str">
        <f t="shared" si="30"/>
        <v>0000</v>
      </c>
      <c r="N768" s="19">
        <v>95</v>
      </c>
      <c r="O768" s="19"/>
      <c r="P768" s="14" t="str">
        <f t="shared" si="31"/>
        <v>9500000</v>
      </c>
    </row>
    <row r="769" spans="1:16" ht="19.149999999999999" customHeight="1">
      <c r="A769" s="8">
        <v>12</v>
      </c>
      <c r="B769" s="9">
        <v>1</v>
      </c>
      <c r="C769" s="9">
        <v>280</v>
      </c>
      <c r="D769" s="9">
        <v>120010280</v>
      </c>
      <c r="E769" s="41">
        <v>95</v>
      </c>
      <c r="F769" s="41"/>
      <c r="G769" s="41"/>
      <c r="H769" s="9" t="s">
        <v>715</v>
      </c>
      <c r="I769" s="39" t="s">
        <v>773</v>
      </c>
      <c r="J769" s="9">
        <v>2470</v>
      </c>
      <c r="K769" s="14"/>
      <c r="L769" s="14"/>
      <c r="M769" s="14" t="str">
        <f t="shared" si="30"/>
        <v>0000</v>
      </c>
      <c r="N769" s="19">
        <v>95</v>
      </c>
      <c r="O769" s="19"/>
      <c r="P769" s="14" t="str">
        <f t="shared" si="31"/>
        <v>9500000</v>
      </c>
    </row>
    <row r="770" spans="1:16" ht="19.149999999999999" customHeight="1">
      <c r="A770" s="8">
        <v>30</v>
      </c>
      <c r="B770" s="9">
        <v>1</v>
      </c>
      <c r="C770" s="9">
        <v>524</v>
      </c>
      <c r="D770" s="9">
        <v>300010524</v>
      </c>
      <c r="E770" s="41">
        <v>95</v>
      </c>
      <c r="F770" s="41"/>
      <c r="G770" s="41"/>
      <c r="H770" s="9" t="s">
        <v>174</v>
      </c>
      <c r="I770" s="39" t="s">
        <v>773</v>
      </c>
      <c r="J770" s="9">
        <v>600</v>
      </c>
      <c r="K770" s="14">
        <v>3</v>
      </c>
      <c r="L770" s="14">
        <v>4</v>
      </c>
      <c r="M770" s="14" t="str">
        <f t="shared" si="30"/>
        <v>0304</v>
      </c>
      <c r="N770" s="19">
        <v>95</v>
      </c>
      <c r="O770" s="19"/>
      <c r="P770" s="14" t="str">
        <f t="shared" si="31"/>
        <v>9500000</v>
      </c>
    </row>
    <row r="771" spans="1:16" ht="19.149999999999999" customHeight="1">
      <c r="A771" s="8">
        <v>30</v>
      </c>
      <c r="B771" s="9">
        <v>1</v>
      </c>
      <c r="C771" s="9">
        <v>498</v>
      </c>
      <c r="D771" s="9">
        <v>300010498</v>
      </c>
      <c r="E771" s="41">
        <v>95</v>
      </c>
      <c r="F771" s="41"/>
      <c r="G771" s="41"/>
      <c r="H771" s="9" t="s">
        <v>719</v>
      </c>
      <c r="I771" s="39" t="s">
        <v>773</v>
      </c>
      <c r="J771" s="9">
        <v>1099</v>
      </c>
      <c r="K771" s="14"/>
      <c r="L771" s="14"/>
      <c r="M771" s="14" t="str">
        <f t="shared" si="30"/>
        <v>0000</v>
      </c>
      <c r="N771" s="19">
        <v>95</v>
      </c>
      <c r="O771" s="19"/>
      <c r="P771" s="14" t="str">
        <f t="shared" si="31"/>
        <v>9500000</v>
      </c>
    </row>
    <row r="772" spans="1:16" ht="19.149999999999999" customHeight="1">
      <c r="A772" s="8">
        <v>30</v>
      </c>
      <c r="B772" s="9">
        <v>1</v>
      </c>
      <c r="C772" s="9">
        <v>499</v>
      </c>
      <c r="D772" s="9">
        <v>300010499</v>
      </c>
      <c r="E772" s="41">
        <v>95</v>
      </c>
      <c r="F772" s="41"/>
      <c r="G772" s="41"/>
      <c r="H772" s="9" t="s">
        <v>731</v>
      </c>
      <c r="I772" s="39" t="s">
        <v>773</v>
      </c>
      <c r="J772" s="9">
        <v>1316.25</v>
      </c>
      <c r="K772" s="14"/>
      <c r="L772" s="14"/>
      <c r="M772" s="14" t="str">
        <f t="shared" si="30"/>
        <v>0000</v>
      </c>
      <c r="N772" s="19">
        <v>95</v>
      </c>
      <c r="O772" s="19"/>
      <c r="P772" s="14" t="str">
        <f t="shared" si="31"/>
        <v>9500000</v>
      </c>
    </row>
    <row r="773" spans="1:16" ht="19.149999999999999" customHeight="1">
      <c r="A773" s="8">
        <v>30</v>
      </c>
      <c r="B773" s="9">
        <v>1</v>
      </c>
      <c r="C773" s="9">
        <v>523</v>
      </c>
      <c r="D773" s="9">
        <v>300010523</v>
      </c>
      <c r="E773" s="41">
        <v>95</v>
      </c>
      <c r="F773" s="41"/>
      <c r="G773" s="41"/>
      <c r="H773" s="9" t="s">
        <v>732</v>
      </c>
      <c r="I773" s="39" t="s">
        <v>773</v>
      </c>
      <c r="J773" s="9">
        <v>1899</v>
      </c>
      <c r="K773" s="14"/>
      <c r="L773" s="14"/>
      <c r="M773" s="14" t="str">
        <f t="shared" si="30"/>
        <v>0000</v>
      </c>
      <c r="N773" s="19">
        <v>95</v>
      </c>
      <c r="O773" s="19"/>
      <c r="P773" s="14" t="str">
        <f t="shared" si="31"/>
        <v>9500000</v>
      </c>
    </row>
    <row r="774" spans="1:16" ht="19.149999999999999" customHeight="1">
      <c r="A774" s="8">
        <v>30</v>
      </c>
      <c r="B774" s="9">
        <v>1</v>
      </c>
      <c r="C774" s="9">
        <v>503</v>
      </c>
      <c r="D774" s="9">
        <v>300010503</v>
      </c>
      <c r="E774" s="41" t="s">
        <v>824</v>
      </c>
      <c r="F774" s="41"/>
      <c r="G774" s="41"/>
      <c r="H774" s="9" t="s">
        <v>610</v>
      </c>
      <c r="I774" s="39" t="s">
        <v>773</v>
      </c>
      <c r="J774" s="9">
        <v>314.39999999999998</v>
      </c>
      <c r="K774" s="14">
        <v>5</v>
      </c>
      <c r="L774" s="14">
        <v>2</v>
      </c>
      <c r="M774" s="14" t="str">
        <f t="shared" si="30"/>
        <v>0502</v>
      </c>
      <c r="N774" s="19" t="s">
        <v>824</v>
      </c>
      <c r="O774" s="19"/>
      <c r="P774" s="14" t="str">
        <f t="shared" si="31"/>
        <v>9500000</v>
      </c>
    </row>
    <row r="775" spans="1:16" ht="19.149999999999999" customHeight="1">
      <c r="A775" s="8">
        <v>48</v>
      </c>
      <c r="B775" s="9">
        <v>1</v>
      </c>
      <c r="C775" s="9">
        <v>4</v>
      </c>
      <c r="D775" s="9">
        <v>480010004</v>
      </c>
      <c r="E775" s="41" t="s">
        <v>824</v>
      </c>
      <c r="F775" s="41"/>
      <c r="G775" s="41"/>
      <c r="H775" s="9" t="s">
        <v>611</v>
      </c>
      <c r="I775" s="39" t="s">
        <v>773</v>
      </c>
      <c r="J775" s="9">
        <v>230.88</v>
      </c>
      <c r="K775" s="14">
        <v>5</v>
      </c>
      <c r="L775" s="14">
        <v>2</v>
      </c>
      <c r="M775" s="14" t="str">
        <f t="shared" si="30"/>
        <v>0502</v>
      </c>
      <c r="N775" s="19" t="s">
        <v>824</v>
      </c>
      <c r="O775" s="19"/>
      <c r="P775" s="14" t="str">
        <f t="shared" si="31"/>
        <v>9500000</v>
      </c>
    </row>
    <row r="776" spans="1:16" ht="19.149999999999999" customHeight="1">
      <c r="A776" s="8">
        <v>48</v>
      </c>
      <c r="B776" s="9">
        <v>1</v>
      </c>
      <c r="C776" s="9">
        <v>5</v>
      </c>
      <c r="D776" s="9">
        <v>480010005</v>
      </c>
      <c r="E776" s="41" t="s">
        <v>824</v>
      </c>
      <c r="F776" s="41"/>
      <c r="G776" s="41"/>
      <c r="H776" s="9" t="s">
        <v>612</v>
      </c>
      <c r="I776" s="39" t="s">
        <v>773</v>
      </c>
      <c r="J776" s="9">
        <v>7671.25</v>
      </c>
      <c r="K776" s="14">
        <v>5</v>
      </c>
      <c r="L776" s="14">
        <v>2</v>
      </c>
      <c r="M776" s="14" t="str">
        <f t="shared" si="30"/>
        <v>0502</v>
      </c>
      <c r="N776" s="19" t="s">
        <v>824</v>
      </c>
      <c r="O776" s="19"/>
      <c r="P776" s="14" t="str">
        <f t="shared" si="31"/>
        <v>9500000</v>
      </c>
    </row>
    <row r="777" spans="1:16" ht="19.149999999999999" customHeight="1">
      <c r="A777" s="8">
        <v>30</v>
      </c>
      <c r="B777" s="9">
        <v>1</v>
      </c>
      <c r="C777" s="9">
        <v>470</v>
      </c>
      <c r="D777" s="9">
        <v>300010470</v>
      </c>
      <c r="E777" s="41">
        <v>95</v>
      </c>
      <c r="F777" s="41"/>
      <c r="G777" s="41"/>
      <c r="H777" s="9" t="s">
        <v>736</v>
      </c>
      <c r="I777" s="39" t="s">
        <v>773</v>
      </c>
      <c r="J777" s="9">
        <v>55</v>
      </c>
      <c r="K777" s="14"/>
      <c r="L777" s="14"/>
      <c r="M777" s="14" t="str">
        <f t="shared" si="30"/>
        <v>0000</v>
      </c>
      <c r="N777" s="19">
        <v>95</v>
      </c>
      <c r="O777" s="19"/>
      <c r="P777" s="14" t="str">
        <f t="shared" si="31"/>
        <v>9500000</v>
      </c>
    </row>
    <row r="778" spans="1:16" ht="19.149999999999999" customHeight="1">
      <c r="A778" s="8">
        <v>30</v>
      </c>
      <c r="B778" s="9">
        <v>1</v>
      </c>
      <c r="C778" s="9">
        <v>466</v>
      </c>
      <c r="D778" s="9">
        <v>300010466</v>
      </c>
      <c r="E778" s="41" t="s">
        <v>824</v>
      </c>
      <c r="F778" s="41"/>
      <c r="G778" s="41"/>
      <c r="H778" s="9" t="s">
        <v>613</v>
      </c>
      <c r="I778" s="39" t="s">
        <v>773</v>
      </c>
      <c r="J778" s="9">
        <v>450</v>
      </c>
      <c r="K778" s="14">
        <v>5</v>
      </c>
      <c r="L778" s="14">
        <v>2</v>
      </c>
      <c r="M778" s="14" t="str">
        <f t="shared" si="30"/>
        <v>0502</v>
      </c>
      <c r="N778" s="19" t="s">
        <v>824</v>
      </c>
      <c r="O778" s="19"/>
      <c r="P778" s="14" t="str">
        <f t="shared" si="31"/>
        <v>9500000</v>
      </c>
    </row>
    <row r="779" spans="1:16" ht="19.149999999999999" customHeight="1">
      <c r="A779" s="8">
        <v>30</v>
      </c>
      <c r="B779" s="9">
        <v>1</v>
      </c>
      <c r="C779" s="9">
        <v>462</v>
      </c>
      <c r="D779" s="9">
        <v>300010462</v>
      </c>
      <c r="E779" s="41" t="s">
        <v>824</v>
      </c>
      <c r="F779" s="41"/>
      <c r="G779" s="41"/>
      <c r="H779" s="9" t="s">
        <v>614</v>
      </c>
      <c r="I779" s="39" t="s">
        <v>773</v>
      </c>
      <c r="J779" s="9">
        <v>25</v>
      </c>
      <c r="K779" s="14">
        <v>5</v>
      </c>
      <c r="L779" s="14">
        <v>2</v>
      </c>
      <c r="M779" s="14" t="str">
        <f t="shared" si="30"/>
        <v>0502</v>
      </c>
      <c r="N779" s="19" t="s">
        <v>824</v>
      </c>
      <c r="O779" s="19"/>
      <c r="P779" s="14" t="str">
        <f t="shared" si="31"/>
        <v>9500000</v>
      </c>
    </row>
    <row r="780" spans="1:16" ht="19.149999999999999" customHeight="1">
      <c r="A780" s="8">
        <v>30</v>
      </c>
      <c r="B780" s="9">
        <v>1</v>
      </c>
      <c r="C780" s="9">
        <v>464</v>
      </c>
      <c r="D780" s="9">
        <v>300010464</v>
      </c>
      <c r="E780" s="41">
        <v>95</v>
      </c>
      <c r="F780" s="41"/>
      <c r="G780" s="41"/>
      <c r="H780" s="9" t="s">
        <v>559</v>
      </c>
      <c r="I780" s="39" t="s">
        <v>773</v>
      </c>
      <c r="J780" s="9">
        <v>28</v>
      </c>
      <c r="K780" s="14">
        <v>5</v>
      </c>
      <c r="L780" s="14">
        <v>1</v>
      </c>
      <c r="M780" s="14" t="str">
        <f t="shared" si="30"/>
        <v>0501</v>
      </c>
      <c r="N780" s="19">
        <v>95</v>
      </c>
      <c r="O780" s="19"/>
      <c r="P780" s="14" t="str">
        <f t="shared" si="31"/>
        <v>9500000</v>
      </c>
    </row>
    <row r="781" spans="1:16" ht="19.149999999999999" customHeight="1">
      <c r="A781" s="8">
        <v>30</v>
      </c>
      <c r="B781" s="9">
        <v>1</v>
      </c>
      <c r="C781" s="9">
        <v>465</v>
      </c>
      <c r="D781" s="9">
        <v>300010465</v>
      </c>
      <c r="E781" s="41">
        <v>95</v>
      </c>
      <c r="F781" s="41"/>
      <c r="G781" s="41"/>
      <c r="H781" s="9" t="s">
        <v>560</v>
      </c>
      <c r="I781" s="39" t="s">
        <v>773</v>
      </c>
      <c r="J781" s="9">
        <v>35</v>
      </c>
      <c r="K781" s="14">
        <v>5</v>
      </c>
      <c r="L781" s="14">
        <v>1</v>
      </c>
      <c r="M781" s="14" t="str">
        <f t="shared" si="30"/>
        <v>0501</v>
      </c>
      <c r="N781" s="19">
        <v>95</v>
      </c>
      <c r="O781" s="19"/>
      <c r="P781" s="14" t="str">
        <f t="shared" si="31"/>
        <v>9500000</v>
      </c>
    </row>
    <row r="782" spans="1:16" ht="19.149999999999999" customHeight="1">
      <c r="A782" s="8">
        <v>48</v>
      </c>
      <c r="B782" s="9">
        <v>1</v>
      </c>
      <c r="C782" s="9">
        <v>6</v>
      </c>
      <c r="D782" s="9">
        <v>480010006</v>
      </c>
      <c r="E782" s="41" t="s">
        <v>824</v>
      </c>
      <c r="F782" s="41"/>
      <c r="G782" s="41"/>
      <c r="H782" s="9" t="s">
        <v>616</v>
      </c>
      <c r="I782" s="39" t="s">
        <v>773</v>
      </c>
      <c r="J782" s="9">
        <v>102</v>
      </c>
      <c r="K782" s="14">
        <v>5</v>
      </c>
      <c r="L782" s="14">
        <v>2</v>
      </c>
      <c r="M782" s="14" t="str">
        <f t="shared" si="30"/>
        <v>0502</v>
      </c>
      <c r="N782" s="19" t="s">
        <v>824</v>
      </c>
      <c r="O782" s="19"/>
      <c r="P782" s="14" t="str">
        <f t="shared" si="31"/>
        <v>9500000</v>
      </c>
    </row>
    <row r="783" spans="1:16" ht="19.149999999999999" customHeight="1">
      <c r="A783" s="8">
        <v>30</v>
      </c>
      <c r="B783" s="9">
        <v>1</v>
      </c>
      <c r="C783" s="9">
        <v>471</v>
      </c>
      <c r="D783" s="9">
        <v>300010471</v>
      </c>
      <c r="E783" s="41" t="s">
        <v>824</v>
      </c>
      <c r="F783" s="41"/>
      <c r="G783" s="41"/>
      <c r="H783" s="9" t="s">
        <v>604</v>
      </c>
      <c r="I783" s="39" t="s">
        <v>773</v>
      </c>
      <c r="J783" s="9">
        <v>35</v>
      </c>
      <c r="K783" s="14">
        <v>5</v>
      </c>
      <c r="L783" s="14">
        <v>2</v>
      </c>
      <c r="M783" s="14" t="str">
        <f t="shared" si="30"/>
        <v>0502</v>
      </c>
      <c r="N783" s="19" t="s">
        <v>824</v>
      </c>
      <c r="O783" s="19"/>
      <c r="P783" s="14" t="str">
        <f t="shared" si="31"/>
        <v>9500000</v>
      </c>
    </row>
  </sheetData>
  <sortState xmlns:xlrd2="http://schemas.microsoft.com/office/spreadsheetml/2017/richdata2" ref="A2:P783">
    <sortCondition ref="E2:E783"/>
    <sortCondition ref="F2:F783"/>
    <sortCondition ref="G2:G783"/>
    <sortCondition ref="H2:H783"/>
  </sortState>
  <phoneticPr fontId="1" type="noConversion"/>
  <pageMargins left="0.7" right="0.7" top="0.75" bottom="0.75" header="0.3" footer="0.3"/>
  <pageSetup scale="7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9C0D9-EFD0-450C-93EB-4DF622FED6DA}">
  <sheetPr codeName="Hoja3"/>
  <dimension ref="A1:G1929"/>
  <sheetViews>
    <sheetView topLeftCell="A488" workbookViewId="0">
      <selection activeCell="G592" sqref="G592"/>
    </sheetView>
  </sheetViews>
  <sheetFormatPr baseColWidth="10" defaultColWidth="11.59765625" defaultRowHeight="14.25"/>
  <cols>
    <col min="1" max="1" width="41.73046875" bestFit="1" customWidth="1"/>
    <col min="2" max="2" width="7.265625" bestFit="1" customWidth="1"/>
    <col min="3" max="3" width="10.73046875" bestFit="1" customWidth="1"/>
    <col min="4" max="4" width="3.265625" customWidth="1"/>
    <col min="5" max="6" width="3.86328125" customWidth="1"/>
  </cols>
  <sheetData>
    <row r="1" spans="1:3">
      <c r="A1" t="s">
        <v>835</v>
      </c>
      <c r="B1" t="s">
        <v>836</v>
      </c>
      <c r="C1" t="s">
        <v>837</v>
      </c>
    </row>
    <row r="2" spans="1:3" hidden="1">
      <c r="A2" t="s">
        <v>840</v>
      </c>
      <c r="B2">
        <v>2</v>
      </c>
      <c r="C2" t="s">
        <v>839</v>
      </c>
    </row>
    <row r="3" spans="1:3" hidden="1">
      <c r="A3" t="s">
        <v>842</v>
      </c>
      <c r="B3">
        <v>71</v>
      </c>
      <c r="C3" t="s">
        <v>839</v>
      </c>
    </row>
    <row r="4" spans="1:3" hidden="1">
      <c r="A4" t="s">
        <v>844</v>
      </c>
      <c r="B4">
        <v>71</v>
      </c>
      <c r="C4" t="s">
        <v>839</v>
      </c>
    </row>
    <row r="5" spans="1:3" hidden="1">
      <c r="A5" t="s">
        <v>846</v>
      </c>
      <c r="B5">
        <v>72</v>
      </c>
      <c r="C5" t="s">
        <v>839</v>
      </c>
    </row>
    <row r="6" spans="1:3" hidden="1">
      <c r="A6" t="s">
        <v>848</v>
      </c>
      <c r="B6">
        <v>72</v>
      </c>
      <c r="C6" t="s">
        <v>839</v>
      </c>
    </row>
    <row r="7" spans="1:3" hidden="1">
      <c r="A7" t="s">
        <v>850</v>
      </c>
      <c r="B7">
        <v>48</v>
      </c>
      <c r="C7" t="s">
        <v>839</v>
      </c>
    </row>
    <row r="8" spans="1:3" hidden="1">
      <c r="A8" t="s">
        <v>852</v>
      </c>
      <c r="B8">
        <v>72</v>
      </c>
      <c r="C8" t="s">
        <v>839</v>
      </c>
    </row>
    <row r="9" spans="1:3" hidden="1">
      <c r="A9" t="s">
        <v>854</v>
      </c>
      <c r="B9">
        <v>65</v>
      </c>
      <c r="C9" t="s">
        <v>839</v>
      </c>
    </row>
    <row r="10" spans="1:3" hidden="1">
      <c r="A10" t="s">
        <v>856</v>
      </c>
      <c r="B10">
        <v>68</v>
      </c>
      <c r="C10" t="s">
        <v>839</v>
      </c>
    </row>
    <row r="11" spans="1:3" hidden="1">
      <c r="A11" t="s">
        <v>858</v>
      </c>
      <c r="B11">
        <v>71</v>
      </c>
      <c r="C11" t="s">
        <v>839</v>
      </c>
    </row>
    <row r="12" spans="1:3" hidden="1">
      <c r="A12" t="s">
        <v>860</v>
      </c>
      <c r="B12">
        <v>71</v>
      </c>
      <c r="C12" t="s">
        <v>839</v>
      </c>
    </row>
    <row r="13" spans="1:3" hidden="1">
      <c r="A13" t="s">
        <v>862</v>
      </c>
      <c r="B13">
        <v>72</v>
      </c>
      <c r="C13" t="s">
        <v>839</v>
      </c>
    </row>
    <row r="14" spans="1:3" hidden="1">
      <c r="A14" t="s">
        <v>864</v>
      </c>
      <c r="B14">
        <v>72</v>
      </c>
      <c r="C14" t="s">
        <v>839</v>
      </c>
    </row>
    <row r="15" spans="1:3" hidden="1">
      <c r="A15" t="s">
        <v>866</v>
      </c>
      <c r="B15">
        <v>72</v>
      </c>
      <c r="C15" t="s">
        <v>839</v>
      </c>
    </row>
    <row r="16" spans="1:3" hidden="1">
      <c r="A16" t="s">
        <v>868</v>
      </c>
      <c r="B16">
        <v>72</v>
      </c>
      <c r="C16" t="s">
        <v>839</v>
      </c>
    </row>
    <row r="17" spans="1:3" hidden="1">
      <c r="A17" t="s">
        <v>870</v>
      </c>
      <c r="B17">
        <v>66</v>
      </c>
      <c r="C17" t="s">
        <v>839</v>
      </c>
    </row>
    <row r="18" spans="1:3" hidden="1">
      <c r="A18" t="s">
        <v>872</v>
      </c>
      <c r="B18">
        <v>72</v>
      </c>
      <c r="C18" t="s">
        <v>839</v>
      </c>
    </row>
    <row r="19" spans="1:3" hidden="1">
      <c r="A19" t="s">
        <v>874</v>
      </c>
      <c r="B19">
        <v>66</v>
      </c>
      <c r="C19" t="s">
        <v>839</v>
      </c>
    </row>
    <row r="20" spans="1:3" hidden="1">
      <c r="A20" t="s">
        <v>876</v>
      </c>
      <c r="B20">
        <v>66</v>
      </c>
      <c r="C20" t="s">
        <v>839</v>
      </c>
    </row>
    <row r="21" spans="1:3" hidden="1">
      <c r="A21" t="s">
        <v>878</v>
      </c>
      <c r="B21">
        <v>72</v>
      </c>
      <c r="C21" t="s">
        <v>839</v>
      </c>
    </row>
    <row r="22" spans="1:3" hidden="1">
      <c r="A22" t="s">
        <v>880</v>
      </c>
      <c r="B22">
        <v>11</v>
      </c>
      <c r="C22" t="s">
        <v>839</v>
      </c>
    </row>
    <row r="23" spans="1:3" hidden="1">
      <c r="A23" t="s">
        <v>882</v>
      </c>
      <c r="B23">
        <v>89</v>
      </c>
      <c r="C23" t="s">
        <v>839</v>
      </c>
    </row>
    <row r="24" spans="1:3" hidden="1">
      <c r="A24" t="s">
        <v>884</v>
      </c>
      <c r="B24">
        <v>72</v>
      </c>
      <c r="C24" t="s">
        <v>839</v>
      </c>
    </row>
    <row r="25" spans="1:3" hidden="1">
      <c r="A25" t="s">
        <v>886</v>
      </c>
      <c r="B25">
        <v>90</v>
      </c>
      <c r="C25" t="s">
        <v>839</v>
      </c>
    </row>
    <row r="26" spans="1:3" hidden="1">
      <c r="A26" t="s">
        <v>888</v>
      </c>
      <c r="B26">
        <v>90</v>
      </c>
      <c r="C26" t="s">
        <v>839</v>
      </c>
    </row>
    <row r="27" spans="1:3" hidden="1">
      <c r="A27" t="s">
        <v>890</v>
      </c>
      <c r="B27">
        <v>95</v>
      </c>
      <c r="C27" t="s">
        <v>839</v>
      </c>
    </row>
    <row r="28" spans="1:3" hidden="1">
      <c r="A28" t="s">
        <v>892</v>
      </c>
      <c r="B28">
        <v>1</v>
      </c>
      <c r="C28" t="s">
        <v>839</v>
      </c>
    </row>
    <row r="29" spans="1:3" hidden="1">
      <c r="A29" t="s">
        <v>894</v>
      </c>
      <c r="B29">
        <v>1</v>
      </c>
      <c r="C29" t="s">
        <v>839</v>
      </c>
    </row>
    <row r="30" spans="1:3" hidden="1">
      <c r="A30" t="s">
        <v>896</v>
      </c>
      <c r="B30">
        <v>1</v>
      </c>
      <c r="C30" t="s">
        <v>839</v>
      </c>
    </row>
    <row r="31" spans="1:3" hidden="1">
      <c r="A31" t="s">
        <v>898</v>
      </c>
      <c r="B31">
        <v>93</v>
      </c>
      <c r="C31" t="s">
        <v>839</v>
      </c>
    </row>
    <row r="32" spans="1:3" hidden="1">
      <c r="A32" t="s">
        <v>900</v>
      </c>
      <c r="B32">
        <v>1</v>
      </c>
      <c r="C32" t="s">
        <v>839</v>
      </c>
    </row>
    <row r="33" spans="1:3" hidden="1">
      <c r="A33" t="s">
        <v>902</v>
      </c>
      <c r="B33">
        <v>1</v>
      </c>
      <c r="C33" t="s">
        <v>839</v>
      </c>
    </row>
    <row r="34" spans="1:3" hidden="1">
      <c r="A34" t="s">
        <v>904</v>
      </c>
      <c r="B34">
        <v>95</v>
      </c>
      <c r="C34" t="s">
        <v>839</v>
      </c>
    </row>
    <row r="35" spans="1:3" hidden="1">
      <c r="A35" t="s">
        <v>906</v>
      </c>
      <c r="B35">
        <v>3</v>
      </c>
      <c r="C35" t="s">
        <v>839</v>
      </c>
    </row>
    <row r="36" spans="1:3" hidden="1">
      <c r="A36" t="s">
        <v>908</v>
      </c>
      <c r="B36">
        <v>3</v>
      </c>
      <c r="C36" t="s">
        <v>839</v>
      </c>
    </row>
    <row r="37" spans="1:3" hidden="1">
      <c r="A37" t="s">
        <v>910</v>
      </c>
      <c r="B37">
        <v>3</v>
      </c>
      <c r="C37" t="s">
        <v>839</v>
      </c>
    </row>
    <row r="38" spans="1:3" hidden="1">
      <c r="A38" t="s">
        <v>912</v>
      </c>
      <c r="B38">
        <v>3</v>
      </c>
      <c r="C38" t="s">
        <v>839</v>
      </c>
    </row>
    <row r="39" spans="1:3" hidden="1">
      <c r="A39" t="s">
        <v>914</v>
      </c>
      <c r="B39">
        <v>3</v>
      </c>
      <c r="C39" t="s">
        <v>839</v>
      </c>
    </row>
    <row r="40" spans="1:3" hidden="1">
      <c r="A40" t="s">
        <v>916</v>
      </c>
      <c r="B40">
        <v>2</v>
      </c>
      <c r="C40" t="s">
        <v>839</v>
      </c>
    </row>
    <row r="41" spans="1:3" hidden="1">
      <c r="A41" t="s">
        <v>918</v>
      </c>
      <c r="B41">
        <v>30</v>
      </c>
      <c r="C41" t="s">
        <v>839</v>
      </c>
    </row>
    <row r="42" spans="1:3" hidden="1">
      <c r="A42" t="s">
        <v>920</v>
      </c>
      <c r="B42">
        <v>2</v>
      </c>
      <c r="C42" t="s">
        <v>839</v>
      </c>
    </row>
    <row r="43" spans="1:3" hidden="1">
      <c r="A43" t="s">
        <v>922</v>
      </c>
      <c r="B43">
        <v>2</v>
      </c>
      <c r="C43" t="s">
        <v>839</v>
      </c>
    </row>
    <row r="44" spans="1:3" hidden="1">
      <c r="A44" t="s">
        <v>924</v>
      </c>
      <c r="B44">
        <v>2</v>
      </c>
      <c r="C44" t="s">
        <v>839</v>
      </c>
    </row>
    <row r="45" spans="1:3" hidden="1">
      <c r="A45" t="s">
        <v>926</v>
      </c>
      <c r="B45">
        <v>93</v>
      </c>
      <c r="C45" t="s">
        <v>839</v>
      </c>
    </row>
    <row r="46" spans="1:3" hidden="1">
      <c r="A46" t="s">
        <v>928</v>
      </c>
      <c r="B46">
        <v>93</v>
      </c>
      <c r="C46" t="s">
        <v>839</v>
      </c>
    </row>
    <row r="47" spans="1:3" hidden="1">
      <c r="A47" t="s">
        <v>930</v>
      </c>
      <c r="B47">
        <v>65</v>
      </c>
      <c r="C47" t="s">
        <v>839</v>
      </c>
    </row>
    <row r="48" spans="1:3" hidden="1">
      <c r="A48" t="s">
        <v>932</v>
      </c>
      <c r="B48">
        <v>88</v>
      </c>
      <c r="C48" t="s">
        <v>839</v>
      </c>
    </row>
    <row r="49" spans="1:3" hidden="1">
      <c r="A49" t="s">
        <v>934</v>
      </c>
      <c r="B49">
        <v>71</v>
      </c>
      <c r="C49" t="s">
        <v>839</v>
      </c>
    </row>
    <row r="50" spans="1:3" hidden="1">
      <c r="A50" t="s">
        <v>936</v>
      </c>
      <c r="B50">
        <v>65</v>
      </c>
      <c r="C50" t="s">
        <v>839</v>
      </c>
    </row>
    <row r="51" spans="1:3" hidden="1">
      <c r="A51" t="s">
        <v>938</v>
      </c>
      <c r="B51">
        <v>2</v>
      </c>
      <c r="C51" t="s">
        <v>839</v>
      </c>
    </row>
    <row r="52" spans="1:3" hidden="1">
      <c r="A52" t="s">
        <v>940</v>
      </c>
      <c r="B52">
        <v>81</v>
      </c>
      <c r="C52" t="s">
        <v>839</v>
      </c>
    </row>
    <row r="53" spans="1:3" hidden="1">
      <c r="A53" t="s">
        <v>942</v>
      </c>
      <c r="B53">
        <v>81</v>
      </c>
      <c r="C53" t="s">
        <v>839</v>
      </c>
    </row>
    <row r="54" spans="1:3" hidden="1">
      <c r="A54" t="s">
        <v>944</v>
      </c>
      <c r="B54">
        <v>81</v>
      </c>
      <c r="C54" t="s">
        <v>839</v>
      </c>
    </row>
    <row r="55" spans="1:3" hidden="1">
      <c r="A55" t="s">
        <v>946</v>
      </c>
      <c r="B55">
        <v>81</v>
      </c>
      <c r="C55" t="s">
        <v>839</v>
      </c>
    </row>
    <row r="56" spans="1:3" hidden="1">
      <c r="A56" t="s">
        <v>948</v>
      </c>
      <c r="B56">
        <v>81</v>
      </c>
      <c r="C56" t="s">
        <v>839</v>
      </c>
    </row>
    <row r="57" spans="1:3" hidden="1">
      <c r="A57" t="s">
        <v>950</v>
      </c>
      <c r="B57">
        <v>81</v>
      </c>
      <c r="C57" t="s">
        <v>839</v>
      </c>
    </row>
    <row r="58" spans="1:3" hidden="1">
      <c r="A58" t="s">
        <v>838</v>
      </c>
      <c r="B58">
        <v>81</v>
      </c>
      <c r="C58" t="s">
        <v>839</v>
      </c>
    </row>
    <row r="59" spans="1:3" hidden="1">
      <c r="A59" t="s">
        <v>841</v>
      </c>
      <c r="B59">
        <v>81</v>
      </c>
      <c r="C59" t="s">
        <v>839</v>
      </c>
    </row>
    <row r="60" spans="1:3" hidden="1">
      <c r="A60" t="s">
        <v>843</v>
      </c>
      <c r="B60">
        <v>81</v>
      </c>
      <c r="C60" t="s">
        <v>839</v>
      </c>
    </row>
    <row r="61" spans="1:3" hidden="1">
      <c r="A61" t="s">
        <v>845</v>
      </c>
      <c r="B61">
        <v>81</v>
      </c>
      <c r="C61" t="s">
        <v>839</v>
      </c>
    </row>
    <row r="62" spans="1:3" hidden="1">
      <c r="A62" t="s">
        <v>847</v>
      </c>
      <c r="B62">
        <v>81</v>
      </c>
      <c r="C62" t="s">
        <v>839</v>
      </c>
    </row>
    <row r="63" spans="1:3" hidden="1">
      <c r="A63" t="s">
        <v>849</v>
      </c>
      <c r="B63">
        <v>4</v>
      </c>
      <c r="C63" t="s">
        <v>839</v>
      </c>
    </row>
    <row r="64" spans="1:3" hidden="1">
      <c r="A64" t="s">
        <v>851</v>
      </c>
      <c r="B64">
        <v>17</v>
      </c>
      <c r="C64" t="s">
        <v>839</v>
      </c>
    </row>
    <row r="65" spans="1:3" hidden="1">
      <c r="A65" t="s">
        <v>853</v>
      </c>
      <c r="B65">
        <v>38</v>
      </c>
      <c r="C65" t="s">
        <v>839</v>
      </c>
    </row>
    <row r="66" spans="1:3" hidden="1">
      <c r="A66" t="s">
        <v>855</v>
      </c>
      <c r="B66">
        <v>38</v>
      </c>
      <c r="C66" t="s">
        <v>839</v>
      </c>
    </row>
    <row r="67" spans="1:3" hidden="1">
      <c r="A67" t="s">
        <v>857</v>
      </c>
      <c r="B67">
        <v>95</v>
      </c>
      <c r="C67" t="s">
        <v>839</v>
      </c>
    </row>
    <row r="68" spans="1:3" hidden="1">
      <c r="A68" t="s">
        <v>859</v>
      </c>
      <c r="B68">
        <v>95</v>
      </c>
      <c r="C68" t="s">
        <v>839</v>
      </c>
    </row>
    <row r="69" spans="1:3" hidden="1">
      <c r="A69" t="s">
        <v>861</v>
      </c>
      <c r="B69">
        <v>4</v>
      </c>
      <c r="C69" t="s">
        <v>839</v>
      </c>
    </row>
    <row r="70" spans="1:3" hidden="1">
      <c r="A70" t="s">
        <v>863</v>
      </c>
      <c r="B70">
        <v>5</v>
      </c>
      <c r="C70" t="s">
        <v>839</v>
      </c>
    </row>
    <row r="71" spans="1:3" hidden="1">
      <c r="A71" t="s">
        <v>865</v>
      </c>
      <c r="B71">
        <v>93</v>
      </c>
      <c r="C71" t="s">
        <v>839</v>
      </c>
    </row>
    <row r="72" spans="1:3" hidden="1">
      <c r="A72" t="s">
        <v>867</v>
      </c>
      <c r="B72">
        <v>95</v>
      </c>
      <c r="C72" t="s">
        <v>839</v>
      </c>
    </row>
    <row r="73" spans="1:3" hidden="1">
      <c r="A73" t="s">
        <v>869</v>
      </c>
      <c r="B73">
        <v>11</v>
      </c>
      <c r="C73" t="s">
        <v>839</v>
      </c>
    </row>
    <row r="74" spans="1:3" hidden="1">
      <c r="A74" t="s">
        <v>871</v>
      </c>
      <c r="B74">
        <v>11</v>
      </c>
      <c r="C74" t="s">
        <v>839</v>
      </c>
    </row>
    <row r="75" spans="1:3" hidden="1">
      <c r="A75" t="s">
        <v>873</v>
      </c>
      <c r="B75">
        <v>11</v>
      </c>
      <c r="C75" t="s">
        <v>839</v>
      </c>
    </row>
    <row r="76" spans="1:3" hidden="1">
      <c r="A76" t="s">
        <v>875</v>
      </c>
      <c r="B76">
        <v>11</v>
      </c>
      <c r="C76" t="s">
        <v>839</v>
      </c>
    </row>
    <row r="77" spans="1:3" hidden="1">
      <c r="A77" t="s">
        <v>877</v>
      </c>
      <c r="B77">
        <v>11</v>
      </c>
      <c r="C77" t="s">
        <v>839</v>
      </c>
    </row>
    <row r="78" spans="1:3" hidden="1">
      <c r="A78" t="s">
        <v>879</v>
      </c>
      <c r="B78">
        <v>30</v>
      </c>
      <c r="C78" t="s">
        <v>839</v>
      </c>
    </row>
    <row r="79" spans="1:3" hidden="1">
      <c r="A79" t="s">
        <v>881</v>
      </c>
      <c r="B79">
        <v>11</v>
      </c>
      <c r="C79" t="s">
        <v>839</v>
      </c>
    </row>
    <row r="80" spans="1:3" hidden="1">
      <c r="A80" t="s">
        <v>883</v>
      </c>
      <c r="B80">
        <v>60</v>
      </c>
      <c r="C80" t="s">
        <v>839</v>
      </c>
    </row>
    <row r="81" spans="1:3" hidden="1">
      <c r="A81" t="s">
        <v>885</v>
      </c>
      <c r="B81">
        <v>2</v>
      </c>
      <c r="C81" t="s">
        <v>839</v>
      </c>
    </row>
    <row r="82" spans="1:3" hidden="1">
      <c r="A82" t="s">
        <v>887</v>
      </c>
      <c r="B82">
        <v>2</v>
      </c>
      <c r="C82" t="s">
        <v>839</v>
      </c>
    </row>
    <row r="83" spans="1:3" hidden="1">
      <c r="A83" t="s">
        <v>889</v>
      </c>
      <c r="B83">
        <v>82</v>
      </c>
      <c r="C83" t="s">
        <v>839</v>
      </c>
    </row>
    <row r="84" spans="1:3" hidden="1">
      <c r="A84" t="s">
        <v>891</v>
      </c>
      <c r="B84">
        <v>6</v>
      </c>
      <c r="C84" t="s">
        <v>839</v>
      </c>
    </row>
    <row r="85" spans="1:3" hidden="1">
      <c r="A85" t="s">
        <v>893</v>
      </c>
      <c r="B85">
        <v>6</v>
      </c>
      <c r="C85" t="s">
        <v>839</v>
      </c>
    </row>
    <row r="86" spans="1:3" hidden="1">
      <c r="A86" t="s">
        <v>895</v>
      </c>
      <c r="B86">
        <v>2</v>
      </c>
      <c r="C86" t="s">
        <v>839</v>
      </c>
    </row>
    <row r="87" spans="1:3" hidden="1">
      <c r="A87" t="s">
        <v>897</v>
      </c>
      <c r="B87">
        <v>2</v>
      </c>
      <c r="C87" t="s">
        <v>839</v>
      </c>
    </row>
    <row r="88" spans="1:3" hidden="1">
      <c r="A88" t="s">
        <v>899</v>
      </c>
      <c r="B88">
        <v>2</v>
      </c>
      <c r="C88" t="s">
        <v>839</v>
      </c>
    </row>
    <row r="89" spans="1:3" hidden="1">
      <c r="A89" t="s">
        <v>901</v>
      </c>
      <c r="B89">
        <v>2</v>
      </c>
      <c r="C89" t="s">
        <v>839</v>
      </c>
    </row>
    <row r="90" spans="1:3" hidden="1">
      <c r="A90" t="s">
        <v>903</v>
      </c>
      <c r="B90">
        <v>2</v>
      </c>
      <c r="C90" t="s">
        <v>839</v>
      </c>
    </row>
    <row r="91" spans="1:3" hidden="1">
      <c r="A91" t="s">
        <v>905</v>
      </c>
      <c r="B91">
        <v>6</v>
      </c>
      <c r="C91" t="s">
        <v>839</v>
      </c>
    </row>
    <row r="92" spans="1:3" hidden="1">
      <c r="A92" t="s">
        <v>907</v>
      </c>
      <c r="B92">
        <v>30</v>
      </c>
      <c r="C92" t="s">
        <v>839</v>
      </c>
    </row>
    <row r="93" spans="1:3" hidden="1">
      <c r="A93" t="s">
        <v>909</v>
      </c>
      <c r="B93">
        <v>82</v>
      </c>
      <c r="C93" t="s">
        <v>839</v>
      </c>
    </row>
    <row r="94" spans="1:3" hidden="1">
      <c r="A94" t="s">
        <v>911</v>
      </c>
      <c r="B94">
        <v>82</v>
      </c>
      <c r="C94" t="s">
        <v>839</v>
      </c>
    </row>
    <row r="95" spans="1:3" hidden="1">
      <c r="A95" t="s">
        <v>913</v>
      </c>
      <c r="B95">
        <v>8</v>
      </c>
      <c r="C95" t="s">
        <v>839</v>
      </c>
    </row>
    <row r="96" spans="1:3" hidden="1">
      <c r="A96" t="s">
        <v>915</v>
      </c>
      <c r="B96">
        <v>8</v>
      </c>
      <c r="C96" t="s">
        <v>839</v>
      </c>
    </row>
    <row r="97" spans="1:3" hidden="1">
      <c r="A97" t="s">
        <v>917</v>
      </c>
      <c r="B97">
        <v>7</v>
      </c>
      <c r="C97" t="s">
        <v>839</v>
      </c>
    </row>
    <row r="98" spans="1:3" hidden="1">
      <c r="A98" t="s">
        <v>919</v>
      </c>
      <c r="B98">
        <v>7</v>
      </c>
      <c r="C98" t="s">
        <v>839</v>
      </c>
    </row>
    <row r="99" spans="1:3" hidden="1">
      <c r="A99" t="s">
        <v>921</v>
      </c>
      <c r="B99">
        <v>7</v>
      </c>
      <c r="C99" t="s">
        <v>839</v>
      </c>
    </row>
    <row r="100" spans="1:3" hidden="1">
      <c r="A100" t="s">
        <v>923</v>
      </c>
      <c r="B100">
        <v>7</v>
      </c>
      <c r="C100" t="s">
        <v>839</v>
      </c>
    </row>
    <row r="101" spans="1:3" hidden="1">
      <c r="A101" t="s">
        <v>925</v>
      </c>
      <c r="B101">
        <v>7</v>
      </c>
      <c r="C101" t="s">
        <v>839</v>
      </c>
    </row>
    <row r="102" spans="1:3" hidden="1">
      <c r="A102" t="s">
        <v>927</v>
      </c>
      <c r="B102">
        <v>7</v>
      </c>
      <c r="C102" t="s">
        <v>839</v>
      </c>
    </row>
    <row r="103" spans="1:3" hidden="1">
      <c r="A103" t="s">
        <v>929</v>
      </c>
      <c r="B103">
        <v>7</v>
      </c>
      <c r="C103" t="s">
        <v>839</v>
      </c>
    </row>
    <row r="104" spans="1:3" hidden="1">
      <c r="A104" t="s">
        <v>931</v>
      </c>
      <c r="B104">
        <v>7</v>
      </c>
      <c r="C104" t="s">
        <v>839</v>
      </c>
    </row>
    <row r="105" spans="1:3" hidden="1">
      <c r="A105" t="s">
        <v>933</v>
      </c>
      <c r="B105">
        <v>8</v>
      </c>
      <c r="C105" t="s">
        <v>839</v>
      </c>
    </row>
    <row r="106" spans="1:3" hidden="1">
      <c r="A106" t="s">
        <v>935</v>
      </c>
      <c r="B106">
        <v>2</v>
      </c>
      <c r="C106" t="s">
        <v>839</v>
      </c>
    </row>
    <row r="107" spans="1:3" hidden="1">
      <c r="A107" t="s">
        <v>937</v>
      </c>
      <c r="B107">
        <v>2</v>
      </c>
      <c r="C107" t="s">
        <v>839</v>
      </c>
    </row>
    <row r="108" spans="1:3" hidden="1">
      <c r="A108" t="s">
        <v>939</v>
      </c>
      <c r="B108">
        <v>95</v>
      </c>
      <c r="C108" t="s">
        <v>839</v>
      </c>
    </row>
    <row r="109" spans="1:3" hidden="1">
      <c r="A109" t="s">
        <v>941</v>
      </c>
      <c r="B109">
        <v>9</v>
      </c>
      <c r="C109" t="s">
        <v>839</v>
      </c>
    </row>
    <row r="110" spans="1:3" hidden="1">
      <c r="A110" t="s">
        <v>943</v>
      </c>
      <c r="B110">
        <v>9</v>
      </c>
      <c r="C110" t="s">
        <v>839</v>
      </c>
    </row>
    <row r="111" spans="1:3" hidden="1">
      <c r="A111" t="s">
        <v>945</v>
      </c>
      <c r="B111">
        <v>9</v>
      </c>
      <c r="C111" t="s">
        <v>839</v>
      </c>
    </row>
    <row r="112" spans="1:3" hidden="1">
      <c r="A112" t="s">
        <v>947</v>
      </c>
      <c r="B112">
        <v>9</v>
      </c>
      <c r="C112" t="s">
        <v>839</v>
      </c>
    </row>
    <row r="113" spans="1:3" hidden="1">
      <c r="A113" t="s">
        <v>949</v>
      </c>
      <c r="B113">
        <v>2</v>
      </c>
      <c r="C113" t="s">
        <v>839</v>
      </c>
    </row>
    <row r="114" spans="1:3" hidden="1">
      <c r="A114" t="s">
        <v>951</v>
      </c>
      <c r="B114">
        <v>93</v>
      </c>
      <c r="C114" t="s">
        <v>839</v>
      </c>
    </row>
    <row r="115" spans="1:3" hidden="1">
      <c r="A115" t="s">
        <v>952</v>
      </c>
      <c r="B115">
        <v>26</v>
      </c>
      <c r="C115" t="s">
        <v>839</v>
      </c>
    </row>
    <row r="116" spans="1:3" hidden="1">
      <c r="A116" t="s">
        <v>953</v>
      </c>
      <c r="B116">
        <v>93</v>
      </c>
      <c r="C116" t="s">
        <v>839</v>
      </c>
    </row>
    <row r="117" spans="1:3" hidden="1">
      <c r="A117" t="s">
        <v>954</v>
      </c>
      <c r="B117">
        <v>37</v>
      </c>
      <c r="C117" t="s">
        <v>839</v>
      </c>
    </row>
    <row r="118" spans="1:3" hidden="1">
      <c r="A118" t="s">
        <v>955</v>
      </c>
      <c r="B118">
        <v>48</v>
      </c>
      <c r="C118" t="s">
        <v>839</v>
      </c>
    </row>
    <row r="119" spans="1:3" hidden="1">
      <c r="A119" t="s">
        <v>956</v>
      </c>
      <c r="B119">
        <v>93</v>
      </c>
      <c r="C119" t="s">
        <v>839</v>
      </c>
    </row>
    <row r="120" spans="1:3" hidden="1">
      <c r="A120" t="s">
        <v>957</v>
      </c>
      <c r="B120">
        <v>93</v>
      </c>
      <c r="C120" t="s">
        <v>839</v>
      </c>
    </row>
    <row r="121" spans="1:3" hidden="1">
      <c r="A121" t="s">
        <v>958</v>
      </c>
      <c r="B121">
        <v>13</v>
      </c>
      <c r="C121" t="s">
        <v>839</v>
      </c>
    </row>
    <row r="122" spans="1:3" hidden="1">
      <c r="A122" t="s">
        <v>959</v>
      </c>
      <c r="B122">
        <v>95</v>
      </c>
      <c r="C122" t="s">
        <v>839</v>
      </c>
    </row>
    <row r="123" spans="1:3" hidden="1">
      <c r="A123" t="s">
        <v>960</v>
      </c>
      <c r="B123">
        <v>49</v>
      </c>
      <c r="C123" t="s">
        <v>839</v>
      </c>
    </row>
    <row r="124" spans="1:3" hidden="1">
      <c r="A124" t="s">
        <v>961</v>
      </c>
      <c r="B124">
        <v>48</v>
      </c>
      <c r="C124" t="s">
        <v>839</v>
      </c>
    </row>
    <row r="125" spans="1:3" hidden="1">
      <c r="A125" t="s">
        <v>962</v>
      </c>
      <c r="B125">
        <v>30</v>
      </c>
      <c r="C125" t="s">
        <v>839</v>
      </c>
    </row>
    <row r="126" spans="1:3" hidden="1">
      <c r="A126" t="s">
        <v>963</v>
      </c>
      <c r="B126">
        <v>95</v>
      </c>
      <c r="C126" t="s">
        <v>839</v>
      </c>
    </row>
    <row r="127" spans="1:3" hidden="1">
      <c r="A127" t="s">
        <v>964</v>
      </c>
      <c r="B127">
        <v>2</v>
      </c>
      <c r="C127" t="s">
        <v>839</v>
      </c>
    </row>
    <row r="128" spans="1:3" hidden="1">
      <c r="A128" t="s">
        <v>965</v>
      </c>
      <c r="B128">
        <v>2</v>
      </c>
      <c r="C128" t="s">
        <v>839</v>
      </c>
    </row>
    <row r="129" spans="1:3" hidden="1">
      <c r="A129" t="s">
        <v>966</v>
      </c>
      <c r="B129">
        <v>2</v>
      </c>
      <c r="C129" t="s">
        <v>839</v>
      </c>
    </row>
    <row r="130" spans="1:3" hidden="1">
      <c r="A130" t="s">
        <v>967</v>
      </c>
      <c r="B130">
        <v>30</v>
      </c>
      <c r="C130" t="s">
        <v>839</v>
      </c>
    </row>
    <row r="131" spans="1:3" hidden="1">
      <c r="A131" t="s">
        <v>968</v>
      </c>
      <c r="B131">
        <v>94</v>
      </c>
      <c r="C131" t="s">
        <v>839</v>
      </c>
    </row>
    <row r="132" spans="1:3" hidden="1">
      <c r="A132" t="s">
        <v>969</v>
      </c>
      <c r="B132">
        <v>94</v>
      </c>
      <c r="C132" t="s">
        <v>839</v>
      </c>
    </row>
    <row r="133" spans="1:3" hidden="1">
      <c r="A133" t="s">
        <v>970</v>
      </c>
      <c r="B133">
        <v>95</v>
      </c>
      <c r="C133" t="s">
        <v>839</v>
      </c>
    </row>
    <row r="134" spans="1:3" hidden="1">
      <c r="A134" t="s">
        <v>971</v>
      </c>
      <c r="B134">
        <v>28</v>
      </c>
      <c r="C134" t="s">
        <v>839</v>
      </c>
    </row>
    <row r="135" spans="1:3" hidden="1">
      <c r="A135" t="s">
        <v>972</v>
      </c>
      <c r="B135">
        <v>28</v>
      </c>
      <c r="C135" t="s">
        <v>839</v>
      </c>
    </row>
    <row r="136" spans="1:3" hidden="1">
      <c r="A136" t="s">
        <v>973</v>
      </c>
      <c r="B136">
        <v>51</v>
      </c>
      <c r="C136" t="s">
        <v>839</v>
      </c>
    </row>
    <row r="137" spans="1:3" hidden="1">
      <c r="A137" t="s">
        <v>974</v>
      </c>
      <c r="B137">
        <v>52</v>
      </c>
      <c r="C137" t="s">
        <v>839</v>
      </c>
    </row>
    <row r="138" spans="1:3" hidden="1">
      <c r="A138" t="s">
        <v>975</v>
      </c>
      <c r="B138">
        <v>85</v>
      </c>
      <c r="C138" t="s">
        <v>839</v>
      </c>
    </row>
    <row r="139" spans="1:3" hidden="1">
      <c r="A139" t="s">
        <v>976</v>
      </c>
      <c r="B139">
        <v>10</v>
      </c>
      <c r="C139" t="s">
        <v>839</v>
      </c>
    </row>
    <row r="140" spans="1:3" hidden="1">
      <c r="A140" t="s">
        <v>977</v>
      </c>
      <c r="B140">
        <v>66</v>
      </c>
      <c r="C140" t="s">
        <v>839</v>
      </c>
    </row>
    <row r="141" spans="1:3" hidden="1">
      <c r="A141" t="s">
        <v>978</v>
      </c>
      <c r="B141">
        <v>66</v>
      </c>
      <c r="C141" t="s">
        <v>839</v>
      </c>
    </row>
    <row r="142" spans="1:3" hidden="1">
      <c r="A142" t="s">
        <v>979</v>
      </c>
      <c r="B142">
        <v>66</v>
      </c>
      <c r="C142" t="s">
        <v>839</v>
      </c>
    </row>
    <row r="143" spans="1:3" hidden="1">
      <c r="A143" t="s">
        <v>980</v>
      </c>
      <c r="B143">
        <v>66</v>
      </c>
      <c r="C143" t="s">
        <v>839</v>
      </c>
    </row>
    <row r="144" spans="1:3" hidden="1">
      <c r="A144" t="s">
        <v>981</v>
      </c>
      <c r="B144">
        <v>95</v>
      </c>
      <c r="C144" t="s">
        <v>839</v>
      </c>
    </row>
    <row r="145" spans="1:3" hidden="1">
      <c r="A145" t="s">
        <v>982</v>
      </c>
      <c r="B145">
        <v>86</v>
      </c>
      <c r="C145" t="s">
        <v>839</v>
      </c>
    </row>
    <row r="146" spans="1:3" hidden="1">
      <c r="A146" t="s">
        <v>983</v>
      </c>
      <c r="B146">
        <v>10</v>
      </c>
      <c r="C146" t="s">
        <v>839</v>
      </c>
    </row>
    <row r="147" spans="1:3" hidden="1">
      <c r="A147" t="s">
        <v>984</v>
      </c>
      <c r="B147">
        <v>48</v>
      </c>
      <c r="C147" t="s">
        <v>839</v>
      </c>
    </row>
    <row r="148" spans="1:3" hidden="1">
      <c r="A148" t="s">
        <v>985</v>
      </c>
      <c r="B148">
        <v>30</v>
      </c>
      <c r="C148" t="s">
        <v>839</v>
      </c>
    </row>
    <row r="149" spans="1:3" hidden="1">
      <c r="A149" t="s">
        <v>986</v>
      </c>
      <c r="B149">
        <v>2</v>
      </c>
      <c r="C149" t="s">
        <v>839</v>
      </c>
    </row>
    <row r="150" spans="1:3" hidden="1">
      <c r="A150" t="s">
        <v>987</v>
      </c>
      <c r="B150">
        <v>93</v>
      </c>
      <c r="C150" t="s">
        <v>839</v>
      </c>
    </row>
    <row r="151" spans="1:3" hidden="1">
      <c r="A151" t="s">
        <v>988</v>
      </c>
      <c r="B151">
        <v>2</v>
      </c>
      <c r="C151" t="s">
        <v>839</v>
      </c>
    </row>
    <row r="152" spans="1:3" hidden="1">
      <c r="A152" t="s">
        <v>989</v>
      </c>
      <c r="B152">
        <v>2</v>
      </c>
      <c r="C152" t="s">
        <v>839</v>
      </c>
    </row>
    <row r="153" spans="1:3" hidden="1">
      <c r="A153" t="s">
        <v>990</v>
      </c>
      <c r="B153">
        <v>93</v>
      </c>
      <c r="C153" t="s">
        <v>839</v>
      </c>
    </row>
    <row r="154" spans="1:3" hidden="1">
      <c r="A154" t="s">
        <v>991</v>
      </c>
      <c r="B154">
        <v>4</v>
      </c>
      <c r="C154" t="s">
        <v>839</v>
      </c>
    </row>
    <row r="155" spans="1:3" hidden="1">
      <c r="A155" t="s">
        <v>992</v>
      </c>
      <c r="B155">
        <v>37</v>
      </c>
      <c r="C155" t="s">
        <v>839</v>
      </c>
    </row>
    <row r="156" spans="1:3" hidden="1">
      <c r="A156" t="s">
        <v>993</v>
      </c>
      <c r="B156">
        <v>4</v>
      </c>
      <c r="C156" t="s">
        <v>839</v>
      </c>
    </row>
    <row r="157" spans="1:3" hidden="1">
      <c r="A157" t="s">
        <v>994</v>
      </c>
      <c r="B157">
        <v>4</v>
      </c>
      <c r="C157" t="s">
        <v>839</v>
      </c>
    </row>
    <row r="158" spans="1:3" hidden="1">
      <c r="A158" t="s">
        <v>995</v>
      </c>
      <c r="B158">
        <v>4</v>
      </c>
      <c r="C158" t="s">
        <v>839</v>
      </c>
    </row>
    <row r="159" spans="1:3" hidden="1">
      <c r="A159" t="s">
        <v>996</v>
      </c>
      <c r="B159">
        <v>4</v>
      </c>
      <c r="C159" t="s">
        <v>839</v>
      </c>
    </row>
    <row r="160" spans="1:3" hidden="1">
      <c r="A160" t="s">
        <v>997</v>
      </c>
      <c r="B160">
        <v>2</v>
      </c>
      <c r="C160" t="s">
        <v>839</v>
      </c>
    </row>
    <row r="161" spans="1:3">
      <c r="A161" t="s">
        <v>998</v>
      </c>
      <c r="B161">
        <v>83</v>
      </c>
      <c r="C161" t="s">
        <v>839</v>
      </c>
    </row>
    <row r="162" spans="1:3" hidden="1">
      <c r="A162" t="s">
        <v>999</v>
      </c>
      <c r="B162">
        <v>11</v>
      </c>
      <c r="C162" t="s">
        <v>839</v>
      </c>
    </row>
    <row r="163" spans="1:3" hidden="1">
      <c r="A163" t="s">
        <v>1000</v>
      </c>
      <c r="B163">
        <v>11</v>
      </c>
      <c r="C163" t="s">
        <v>839</v>
      </c>
    </row>
    <row r="164" spans="1:3" hidden="1">
      <c r="A164" t="s">
        <v>1001</v>
      </c>
      <c r="B164">
        <v>11</v>
      </c>
      <c r="C164" t="s">
        <v>839</v>
      </c>
    </row>
    <row r="165" spans="1:3" hidden="1">
      <c r="A165" t="s">
        <v>1002</v>
      </c>
      <c r="B165">
        <v>12</v>
      </c>
      <c r="C165" t="s">
        <v>839</v>
      </c>
    </row>
    <row r="166" spans="1:3" hidden="1">
      <c r="A166" t="s">
        <v>1003</v>
      </c>
      <c r="B166">
        <v>12</v>
      </c>
      <c r="C166" t="s">
        <v>839</v>
      </c>
    </row>
    <row r="167" spans="1:3" hidden="1">
      <c r="A167" t="s">
        <v>1004</v>
      </c>
      <c r="B167">
        <v>12</v>
      </c>
      <c r="C167" t="s">
        <v>839</v>
      </c>
    </row>
    <row r="168" spans="1:3" hidden="1">
      <c r="A168" t="s">
        <v>1005</v>
      </c>
      <c r="B168">
        <v>11</v>
      </c>
      <c r="C168" t="s">
        <v>839</v>
      </c>
    </row>
    <row r="169" spans="1:3" hidden="1">
      <c r="A169" t="s">
        <v>1006</v>
      </c>
      <c r="B169">
        <v>95</v>
      </c>
      <c r="C169" t="s">
        <v>839</v>
      </c>
    </row>
    <row r="170" spans="1:3" hidden="1">
      <c r="A170" t="s">
        <v>1007</v>
      </c>
      <c r="B170">
        <v>13</v>
      </c>
      <c r="C170" t="s">
        <v>839</v>
      </c>
    </row>
    <row r="171" spans="1:3" hidden="1">
      <c r="A171" t="s">
        <v>1008</v>
      </c>
      <c r="B171">
        <v>13</v>
      </c>
      <c r="C171" t="s">
        <v>839</v>
      </c>
    </row>
    <row r="172" spans="1:3" hidden="1">
      <c r="A172" t="s">
        <v>1009</v>
      </c>
      <c r="B172">
        <v>13</v>
      </c>
      <c r="C172" t="s">
        <v>839</v>
      </c>
    </row>
    <row r="173" spans="1:3" hidden="1">
      <c r="A173" t="s">
        <v>1010</v>
      </c>
      <c r="B173">
        <v>13</v>
      </c>
      <c r="C173" t="s">
        <v>839</v>
      </c>
    </row>
    <row r="174" spans="1:3" hidden="1">
      <c r="A174" t="s">
        <v>1011</v>
      </c>
      <c r="B174">
        <v>13</v>
      </c>
      <c r="C174" t="s">
        <v>839</v>
      </c>
    </row>
    <row r="175" spans="1:3" hidden="1">
      <c r="A175" t="s">
        <v>1012</v>
      </c>
      <c r="B175">
        <v>13</v>
      </c>
      <c r="C175" t="s">
        <v>839</v>
      </c>
    </row>
    <row r="176" spans="1:3" hidden="1">
      <c r="A176" t="s">
        <v>1013</v>
      </c>
      <c r="B176">
        <v>10</v>
      </c>
      <c r="C176" t="s">
        <v>839</v>
      </c>
    </row>
    <row r="177" spans="1:3" hidden="1">
      <c r="A177" t="s">
        <v>1014</v>
      </c>
      <c r="B177">
        <v>10</v>
      </c>
      <c r="C177" t="s">
        <v>839</v>
      </c>
    </row>
    <row r="178" spans="1:3" hidden="1">
      <c r="A178" t="s">
        <v>1015</v>
      </c>
      <c r="B178">
        <v>47</v>
      </c>
      <c r="C178" t="s">
        <v>839</v>
      </c>
    </row>
    <row r="179" spans="1:3" hidden="1">
      <c r="A179" t="s">
        <v>1016</v>
      </c>
      <c r="B179">
        <v>72</v>
      </c>
      <c r="C179" t="s">
        <v>839</v>
      </c>
    </row>
    <row r="180" spans="1:3" hidden="1">
      <c r="A180" t="s">
        <v>1017</v>
      </c>
      <c r="B180">
        <v>48</v>
      </c>
      <c r="C180" t="s">
        <v>839</v>
      </c>
    </row>
    <row r="181" spans="1:3" hidden="1">
      <c r="A181" t="s">
        <v>1018</v>
      </c>
      <c r="B181">
        <v>48</v>
      </c>
      <c r="C181" t="s">
        <v>839</v>
      </c>
    </row>
    <row r="182" spans="1:3" hidden="1">
      <c r="A182" t="s">
        <v>1019</v>
      </c>
      <c r="B182">
        <v>49</v>
      </c>
      <c r="C182" t="s">
        <v>839</v>
      </c>
    </row>
    <row r="183" spans="1:3" hidden="1">
      <c r="A183" t="s">
        <v>1020</v>
      </c>
      <c r="B183">
        <v>49</v>
      </c>
      <c r="C183" t="s">
        <v>839</v>
      </c>
    </row>
    <row r="184" spans="1:3" hidden="1">
      <c r="A184" t="s">
        <v>1021</v>
      </c>
      <c r="B184">
        <v>47</v>
      </c>
      <c r="C184" t="s">
        <v>839</v>
      </c>
    </row>
    <row r="185" spans="1:3" hidden="1">
      <c r="A185" t="s">
        <v>1022</v>
      </c>
      <c r="B185">
        <v>24</v>
      </c>
      <c r="C185" t="s">
        <v>839</v>
      </c>
    </row>
    <row r="186" spans="1:3" hidden="1">
      <c r="A186" t="s">
        <v>1023</v>
      </c>
      <c r="B186">
        <v>37</v>
      </c>
      <c r="C186" t="s">
        <v>839</v>
      </c>
    </row>
    <row r="187" spans="1:3" hidden="1">
      <c r="A187" t="s">
        <v>1024</v>
      </c>
      <c r="B187">
        <v>95</v>
      </c>
      <c r="C187" t="s">
        <v>839</v>
      </c>
    </row>
    <row r="188" spans="1:3" hidden="1">
      <c r="A188" t="s">
        <v>1025</v>
      </c>
      <c r="B188">
        <v>37</v>
      </c>
      <c r="C188" t="s">
        <v>839</v>
      </c>
    </row>
    <row r="189" spans="1:3" hidden="1">
      <c r="A189" t="s">
        <v>1026</v>
      </c>
      <c r="B189">
        <v>37</v>
      </c>
      <c r="C189" t="s">
        <v>839</v>
      </c>
    </row>
    <row r="190" spans="1:3" hidden="1">
      <c r="A190" t="s">
        <v>1027</v>
      </c>
      <c r="B190">
        <v>14</v>
      </c>
      <c r="C190" t="s">
        <v>839</v>
      </c>
    </row>
    <row r="191" spans="1:3" hidden="1">
      <c r="A191" t="s">
        <v>1028</v>
      </c>
      <c r="B191">
        <v>14</v>
      </c>
      <c r="C191" t="s">
        <v>839</v>
      </c>
    </row>
    <row r="192" spans="1:3" hidden="1">
      <c r="A192" t="s">
        <v>1029</v>
      </c>
      <c r="B192">
        <v>16</v>
      </c>
      <c r="C192" t="s">
        <v>839</v>
      </c>
    </row>
    <row r="193" spans="1:3" hidden="1">
      <c r="A193" t="s">
        <v>1030</v>
      </c>
      <c r="B193">
        <v>79</v>
      </c>
      <c r="C193" t="s">
        <v>839</v>
      </c>
    </row>
    <row r="194" spans="1:3" hidden="1">
      <c r="A194" t="s">
        <v>1031</v>
      </c>
      <c r="B194">
        <v>14</v>
      </c>
      <c r="C194" t="s">
        <v>839</v>
      </c>
    </row>
    <row r="195" spans="1:3" hidden="1">
      <c r="A195" t="s">
        <v>1032</v>
      </c>
      <c r="B195">
        <v>16</v>
      </c>
      <c r="C195" t="s">
        <v>839</v>
      </c>
    </row>
    <row r="196" spans="1:3" hidden="1">
      <c r="A196" t="s">
        <v>1033</v>
      </c>
      <c r="B196">
        <v>40</v>
      </c>
      <c r="C196" t="s">
        <v>839</v>
      </c>
    </row>
    <row r="197" spans="1:3">
      <c r="A197" t="s">
        <v>1034</v>
      </c>
      <c r="B197">
        <v>83</v>
      </c>
      <c r="C197" t="s">
        <v>839</v>
      </c>
    </row>
    <row r="198" spans="1:3" hidden="1">
      <c r="A198" t="s">
        <v>1035</v>
      </c>
      <c r="B198">
        <v>43</v>
      </c>
      <c r="C198" t="s">
        <v>839</v>
      </c>
    </row>
    <row r="199" spans="1:3" hidden="1">
      <c r="A199" t="s">
        <v>1044</v>
      </c>
      <c r="B199">
        <v>86</v>
      </c>
      <c r="C199" t="s">
        <v>839</v>
      </c>
    </row>
    <row r="200" spans="1:3" hidden="1">
      <c r="A200" t="s">
        <v>1046</v>
      </c>
      <c r="B200">
        <v>86</v>
      </c>
      <c r="C200" t="s">
        <v>839</v>
      </c>
    </row>
    <row r="201" spans="1:3" hidden="1">
      <c r="A201" t="s">
        <v>1036</v>
      </c>
      <c r="B201">
        <v>95</v>
      </c>
      <c r="C201" t="s">
        <v>839</v>
      </c>
    </row>
    <row r="202" spans="1:3" hidden="1">
      <c r="A202" t="s">
        <v>1037</v>
      </c>
      <c r="B202">
        <v>31</v>
      </c>
      <c r="C202" t="s">
        <v>839</v>
      </c>
    </row>
    <row r="203" spans="1:3" hidden="1">
      <c r="A203" t="s">
        <v>1038</v>
      </c>
      <c r="B203">
        <v>60</v>
      </c>
      <c r="C203" t="s">
        <v>839</v>
      </c>
    </row>
    <row r="204" spans="1:3" hidden="1">
      <c r="A204" t="s">
        <v>1039</v>
      </c>
      <c r="B204">
        <v>89</v>
      </c>
      <c r="C204" t="s">
        <v>839</v>
      </c>
    </row>
    <row r="205" spans="1:3" hidden="1">
      <c r="A205" t="s">
        <v>1040</v>
      </c>
      <c r="B205">
        <v>18</v>
      </c>
      <c r="C205" t="s">
        <v>839</v>
      </c>
    </row>
    <row r="206" spans="1:3" hidden="1">
      <c r="A206" t="s">
        <v>1041</v>
      </c>
      <c r="B206">
        <v>85</v>
      </c>
      <c r="C206" t="s">
        <v>839</v>
      </c>
    </row>
    <row r="207" spans="1:3" hidden="1">
      <c r="A207" t="s">
        <v>1042</v>
      </c>
      <c r="B207">
        <v>94</v>
      </c>
      <c r="C207" t="s">
        <v>839</v>
      </c>
    </row>
    <row r="208" spans="1:3" hidden="1">
      <c r="A208" t="s">
        <v>1043</v>
      </c>
      <c r="B208">
        <v>30</v>
      </c>
      <c r="C208" t="s">
        <v>839</v>
      </c>
    </row>
    <row r="209" spans="1:3" hidden="1">
      <c r="A209" t="s">
        <v>1045</v>
      </c>
      <c r="B209">
        <v>86</v>
      </c>
      <c r="C209" t="s">
        <v>839</v>
      </c>
    </row>
    <row r="210" spans="1:3" hidden="1">
      <c r="A210" t="s">
        <v>1047</v>
      </c>
      <c r="B210">
        <v>10</v>
      </c>
      <c r="C210" t="s">
        <v>839</v>
      </c>
    </row>
    <row r="211" spans="1:3" hidden="1">
      <c r="A211" t="s">
        <v>1048</v>
      </c>
      <c r="B211">
        <v>10</v>
      </c>
      <c r="C211" t="s">
        <v>839</v>
      </c>
    </row>
    <row r="212" spans="1:3" hidden="1">
      <c r="A212" t="s">
        <v>1049</v>
      </c>
      <c r="B212">
        <v>26</v>
      </c>
      <c r="C212" t="s">
        <v>839</v>
      </c>
    </row>
    <row r="213" spans="1:3" hidden="1">
      <c r="A213" t="s">
        <v>1050</v>
      </c>
      <c r="B213">
        <v>51</v>
      </c>
      <c r="C213" t="s">
        <v>839</v>
      </c>
    </row>
    <row r="214" spans="1:3" hidden="1">
      <c r="A214" t="s">
        <v>1051</v>
      </c>
      <c r="B214">
        <v>2</v>
      </c>
      <c r="C214" t="s">
        <v>839</v>
      </c>
    </row>
    <row r="215" spans="1:3" hidden="1">
      <c r="A215" t="s">
        <v>1052</v>
      </c>
      <c r="B215">
        <v>6</v>
      </c>
      <c r="C215" t="s">
        <v>839</v>
      </c>
    </row>
    <row r="216" spans="1:3" hidden="1">
      <c r="A216" t="s">
        <v>1053</v>
      </c>
      <c r="B216">
        <v>3</v>
      </c>
      <c r="C216" t="s">
        <v>839</v>
      </c>
    </row>
    <row r="217" spans="1:3" hidden="1">
      <c r="A217" t="s">
        <v>1054</v>
      </c>
      <c r="B217">
        <v>10</v>
      </c>
      <c r="C217" t="s">
        <v>839</v>
      </c>
    </row>
    <row r="218" spans="1:3" hidden="1">
      <c r="A218" t="s">
        <v>1055</v>
      </c>
      <c r="B218">
        <v>37</v>
      </c>
      <c r="C218" t="s">
        <v>839</v>
      </c>
    </row>
    <row r="219" spans="1:3" hidden="1">
      <c r="A219" t="s">
        <v>1056</v>
      </c>
      <c r="B219">
        <v>49</v>
      </c>
      <c r="C219" t="s">
        <v>839</v>
      </c>
    </row>
    <row r="220" spans="1:3" hidden="1">
      <c r="A220" t="s">
        <v>1057</v>
      </c>
      <c r="B220">
        <v>37</v>
      </c>
      <c r="C220" t="s">
        <v>839</v>
      </c>
    </row>
    <row r="221" spans="1:3" hidden="1">
      <c r="A221" t="s">
        <v>1058</v>
      </c>
      <c r="B221">
        <v>31</v>
      </c>
      <c r="C221" t="s">
        <v>839</v>
      </c>
    </row>
    <row r="222" spans="1:3" hidden="1">
      <c r="A222" t="s">
        <v>1059</v>
      </c>
      <c r="B222">
        <v>9</v>
      </c>
      <c r="C222" t="s">
        <v>839</v>
      </c>
    </row>
    <row r="223" spans="1:3">
      <c r="A223" t="s">
        <v>1060</v>
      </c>
      <c r="B223">
        <v>83</v>
      </c>
      <c r="C223" t="s">
        <v>839</v>
      </c>
    </row>
    <row r="224" spans="1:3" hidden="1">
      <c r="A224" t="s">
        <v>1061</v>
      </c>
      <c r="B224">
        <v>4</v>
      </c>
      <c r="C224" t="s">
        <v>839</v>
      </c>
    </row>
    <row r="225" spans="1:3" hidden="1">
      <c r="A225" t="s">
        <v>1062</v>
      </c>
      <c r="B225">
        <v>48</v>
      </c>
      <c r="C225" t="s">
        <v>839</v>
      </c>
    </row>
    <row r="226" spans="1:3" hidden="1">
      <c r="A226" t="s">
        <v>1063</v>
      </c>
      <c r="B226">
        <v>37</v>
      </c>
      <c r="C226" t="s">
        <v>839</v>
      </c>
    </row>
    <row r="227" spans="1:3" hidden="1">
      <c r="A227" t="s">
        <v>1064</v>
      </c>
      <c r="B227">
        <v>95</v>
      </c>
      <c r="C227" t="s">
        <v>839</v>
      </c>
    </row>
    <row r="228" spans="1:3" hidden="1">
      <c r="A228" t="s">
        <v>1065</v>
      </c>
      <c r="B228">
        <v>4</v>
      </c>
      <c r="C228" t="s">
        <v>839</v>
      </c>
    </row>
    <row r="229" spans="1:3" hidden="1">
      <c r="A229" t="s">
        <v>1066</v>
      </c>
      <c r="B229">
        <v>37</v>
      </c>
      <c r="C229" t="s">
        <v>839</v>
      </c>
    </row>
    <row r="230" spans="1:3" hidden="1">
      <c r="A230" t="s">
        <v>1067</v>
      </c>
      <c r="B230">
        <v>10</v>
      </c>
      <c r="C230" t="s">
        <v>839</v>
      </c>
    </row>
    <row r="231" spans="1:3" hidden="1">
      <c r="A231" t="s">
        <v>1068</v>
      </c>
      <c r="B231">
        <v>90</v>
      </c>
      <c r="C231" t="s">
        <v>839</v>
      </c>
    </row>
    <row r="232" spans="1:3" hidden="1">
      <c r="A232" t="s">
        <v>1069</v>
      </c>
      <c r="B232">
        <v>53</v>
      </c>
      <c r="C232" t="s">
        <v>839</v>
      </c>
    </row>
    <row r="233" spans="1:3" hidden="1">
      <c r="A233" t="s">
        <v>1070</v>
      </c>
      <c r="B233">
        <v>90</v>
      </c>
      <c r="C233" t="s">
        <v>839</v>
      </c>
    </row>
    <row r="234" spans="1:3" hidden="1">
      <c r="A234" t="s">
        <v>1071</v>
      </c>
      <c r="B234">
        <v>26</v>
      </c>
      <c r="C234" t="s">
        <v>839</v>
      </c>
    </row>
    <row r="235" spans="1:3" hidden="1">
      <c r="A235" t="s">
        <v>1072</v>
      </c>
      <c r="B235">
        <v>26</v>
      </c>
      <c r="C235" t="s">
        <v>839</v>
      </c>
    </row>
    <row r="236" spans="1:3" hidden="1">
      <c r="A236" t="s">
        <v>1073</v>
      </c>
      <c r="B236">
        <v>26</v>
      </c>
      <c r="C236" t="s">
        <v>839</v>
      </c>
    </row>
    <row r="237" spans="1:3" hidden="1">
      <c r="A237" t="s">
        <v>1074</v>
      </c>
      <c r="B237">
        <v>26</v>
      </c>
      <c r="C237" t="s">
        <v>839</v>
      </c>
    </row>
    <row r="238" spans="1:3" hidden="1">
      <c r="A238" t="s">
        <v>1075</v>
      </c>
      <c r="B238">
        <v>26</v>
      </c>
      <c r="C238" t="s">
        <v>839</v>
      </c>
    </row>
    <row r="239" spans="1:3" hidden="1">
      <c r="A239" t="s">
        <v>1076</v>
      </c>
      <c r="B239">
        <v>26</v>
      </c>
      <c r="C239" t="s">
        <v>839</v>
      </c>
    </row>
    <row r="240" spans="1:3" hidden="1">
      <c r="A240" t="s">
        <v>1077</v>
      </c>
      <c r="B240">
        <v>25</v>
      </c>
      <c r="C240" t="s">
        <v>839</v>
      </c>
    </row>
    <row r="241" spans="1:3" hidden="1">
      <c r="A241" t="s">
        <v>1078</v>
      </c>
      <c r="B241">
        <v>65</v>
      </c>
      <c r="C241" t="s">
        <v>839</v>
      </c>
    </row>
    <row r="242" spans="1:3" hidden="1">
      <c r="A242" t="s">
        <v>1079</v>
      </c>
      <c r="B242">
        <v>18</v>
      </c>
      <c r="C242" t="s">
        <v>839</v>
      </c>
    </row>
    <row r="243" spans="1:3" hidden="1">
      <c r="A243" t="s">
        <v>1080</v>
      </c>
      <c r="B243">
        <v>17</v>
      </c>
      <c r="C243" t="s">
        <v>839</v>
      </c>
    </row>
    <row r="244" spans="1:3" hidden="1">
      <c r="A244" t="s">
        <v>1081</v>
      </c>
      <c r="B244">
        <v>17</v>
      </c>
      <c r="C244" t="s">
        <v>839</v>
      </c>
    </row>
    <row r="245" spans="1:3" hidden="1">
      <c r="A245" t="s">
        <v>1082</v>
      </c>
      <c r="B245">
        <v>17</v>
      </c>
      <c r="C245" t="s">
        <v>839</v>
      </c>
    </row>
    <row r="246" spans="1:3" hidden="1">
      <c r="A246" t="s">
        <v>1083</v>
      </c>
      <c r="B246">
        <v>60</v>
      </c>
      <c r="C246" t="s">
        <v>839</v>
      </c>
    </row>
    <row r="247" spans="1:3" hidden="1">
      <c r="A247" t="s">
        <v>1084</v>
      </c>
      <c r="B247">
        <v>79</v>
      </c>
      <c r="C247" t="s">
        <v>839</v>
      </c>
    </row>
    <row r="248" spans="1:3" hidden="1">
      <c r="A248" t="s">
        <v>1085</v>
      </c>
      <c r="B248">
        <v>93</v>
      </c>
      <c r="C248" t="s">
        <v>839</v>
      </c>
    </row>
    <row r="249" spans="1:3" hidden="1">
      <c r="A249" t="s">
        <v>1086</v>
      </c>
      <c r="B249">
        <v>57</v>
      </c>
      <c r="C249" t="s">
        <v>839</v>
      </c>
    </row>
    <row r="250" spans="1:3">
      <c r="A250" t="s">
        <v>1087</v>
      </c>
      <c r="B250">
        <v>83</v>
      </c>
      <c r="C250" t="s">
        <v>839</v>
      </c>
    </row>
    <row r="251" spans="1:3" hidden="1">
      <c r="A251" t="s">
        <v>1088</v>
      </c>
      <c r="B251">
        <v>95</v>
      </c>
      <c r="C251" t="s">
        <v>839</v>
      </c>
    </row>
    <row r="252" spans="1:3" hidden="1">
      <c r="A252" t="s">
        <v>1089</v>
      </c>
      <c r="B252">
        <v>95</v>
      </c>
      <c r="C252" t="s">
        <v>839</v>
      </c>
    </row>
    <row r="253" spans="1:3" hidden="1">
      <c r="A253" t="s">
        <v>1090</v>
      </c>
      <c r="B253">
        <v>48</v>
      </c>
      <c r="C253" t="s">
        <v>839</v>
      </c>
    </row>
    <row r="254" spans="1:3" hidden="1">
      <c r="A254" t="s">
        <v>1091</v>
      </c>
      <c r="B254">
        <v>95</v>
      </c>
      <c r="C254" t="s">
        <v>839</v>
      </c>
    </row>
    <row r="255" spans="1:3" hidden="1">
      <c r="A255" t="s">
        <v>1092</v>
      </c>
      <c r="B255">
        <v>95</v>
      </c>
      <c r="C255" t="s">
        <v>839</v>
      </c>
    </row>
    <row r="256" spans="1:3" hidden="1">
      <c r="A256" t="s">
        <v>1093</v>
      </c>
      <c r="B256">
        <v>95</v>
      </c>
      <c r="C256" t="s">
        <v>839</v>
      </c>
    </row>
    <row r="257" spans="1:7" hidden="1">
      <c r="A257" t="s">
        <v>1094</v>
      </c>
      <c r="B257">
        <v>95</v>
      </c>
      <c r="C257" t="s">
        <v>839</v>
      </c>
    </row>
    <row r="258" spans="1:7" hidden="1">
      <c r="A258" t="s">
        <v>1095</v>
      </c>
      <c r="B258">
        <v>49</v>
      </c>
      <c r="C258" t="s">
        <v>839</v>
      </c>
    </row>
    <row r="259" spans="1:7" hidden="1">
      <c r="A259" t="s">
        <v>1096</v>
      </c>
      <c r="B259">
        <v>49</v>
      </c>
      <c r="C259" t="s">
        <v>839</v>
      </c>
    </row>
    <row r="260" spans="1:7" hidden="1">
      <c r="A260" t="s">
        <v>1097</v>
      </c>
      <c r="B260">
        <v>95</v>
      </c>
      <c r="C260" t="s">
        <v>839</v>
      </c>
    </row>
    <row r="261" spans="1:7" hidden="1">
      <c r="A261" t="s">
        <v>1098</v>
      </c>
      <c r="B261">
        <v>95</v>
      </c>
      <c r="C261" t="s">
        <v>839</v>
      </c>
    </row>
    <row r="262" spans="1:7" hidden="1">
      <c r="A262" t="s">
        <v>1099</v>
      </c>
      <c r="B262">
        <v>49</v>
      </c>
      <c r="C262" t="s">
        <v>839</v>
      </c>
    </row>
    <row r="263" spans="1:7" hidden="1">
      <c r="A263" t="s">
        <v>1100</v>
      </c>
      <c r="B263">
        <v>95</v>
      </c>
      <c r="C263" t="s">
        <v>839</v>
      </c>
    </row>
    <row r="264" spans="1:7" hidden="1">
      <c r="A264" t="s">
        <v>1101</v>
      </c>
      <c r="B264">
        <v>95</v>
      </c>
      <c r="C264" t="s">
        <v>839</v>
      </c>
    </row>
    <row r="265" spans="1:7" hidden="1">
      <c r="A265" t="s">
        <v>1103</v>
      </c>
      <c r="B265">
        <v>6</v>
      </c>
      <c r="C265" t="s">
        <v>839</v>
      </c>
    </row>
    <row r="266" spans="1:7" hidden="1">
      <c r="A266" t="s">
        <v>1104</v>
      </c>
      <c r="B266">
        <v>6</v>
      </c>
      <c r="C266" t="s">
        <v>839</v>
      </c>
    </row>
    <row r="267" spans="1:7" hidden="1">
      <c r="A267" t="s">
        <v>1102</v>
      </c>
      <c r="B267">
        <v>47</v>
      </c>
      <c r="C267" t="s">
        <v>839</v>
      </c>
    </row>
    <row r="268" spans="1:7">
      <c r="A268" t="s">
        <v>1105</v>
      </c>
      <c r="B268">
        <v>83</v>
      </c>
      <c r="C268" t="s">
        <v>839</v>
      </c>
    </row>
    <row r="269" spans="1:7" hidden="1">
      <c r="A269" t="s">
        <v>1106</v>
      </c>
      <c r="B269">
        <v>49</v>
      </c>
      <c r="C269" t="s">
        <v>839</v>
      </c>
    </row>
    <row r="270" spans="1:7">
      <c r="A270" t="s">
        <v>1107</v>
      </c>
      <c r="B270">
        <v>83</v>
      </c>
      <c r="C270" t="s">
        <v>839</v>
      </c>
    </row>
    <row r="271" spans="1:7">
      <c r="A271" t="s">
        <v>1108</v>
      </c>
      <c r="B271">
        <v>83</v>
      </c>
      <c r="C271" t="s">
        <v>839</v>
      </c>
      <c r="G271" s="57" t="s">
        <v>3013</v>
      </c>
    </row>
    <row r="272" spans="1:7" hidden="1">
      <c r="A272" t="s">
        <v>1109</v>
      </c>
      <c r="B272">
        <v>12</v>
      </c>
      <c r="C272" t="s">
        <v>839</v>
      </c>
    </row>
    <row r="273" spans="1:3">
      <c r="A273" t="s">
        <v>1110</v>
      </c>
      <c r="B273">
        <v>83</v>
      </c>
      <c r="C273" t="s">
        <v>839</v>
      </c>
    </row>
    <row r="274" spans="1:3" hidden="1">
      <c r="A274" t="s">
        <v>1111</v>
      </c>
      <c r="B274">
        <v>12</v>
      </c>
      <c r="C274" t="s">
        <v>839</v>
      </c>
    </row>
    <row r="275" spans="1:3" hidden="1">
      <c r="A275" t="s">
        <v>1112</v>
      </c>
      <c r="B275">
        <v>13</v>
      </c>
      <c r="C275" t="s">
        <v>839</v>
      </c>
    </row>
    <row r="276" spans="1:3" hidden="1">
      <c r="A276" t="s">
        <v>1113</v>
      </c>
      <c r="B276">
        <v>13</v>
      </c>
      <c r="C276" t="s">
        <v>839</v>
      </c>
    </row>
    <row r="277" spans="1:3" hidden="1">
      <c r="A277" t="s">
        <v>1114</v>
      </c>
      <c r="B277">
        <v>13</v>
      </c>
      <c r="C277" t="s">
        <v>839</v>
      </c>
    </row>
    <row r="278" spans="1:3" hidden="1">
      <c r="A278" t="s">
        <v>1115</v>
      </c>
      <c r="B278">
        <v>24</v>
      </c>
      <c r="C278" t="s">
        <v>839</v>
      </c>
    </row>
    <row r="279" spans="1:3" hidden="1">
      <c r="A279" t="s">
        <v>1116</v>
      </c>
      <c r="B279">
        <v>56</v>
      </c>
      <c r="C279" t="s">
        <v>839</v>
      </c>
    </row>
    <row r="280" spans="1:3" hidden="1">
      <c r="A280" t="s">
        <v>1117</v>
      </c>
      <c r="B280">
        <v>56</v>
      </c>
      <c r="C280" t="s">
        <v>839</v>
      </c>
    </row>
    <row r="281" spans="1:3" hidden="1">
      <c r="A281" t="s">
        <v>1118</v>
      </c>
      <c r="B281">
        <v>56</v>
      </c>
      <c r="C281" t="s">
        <v>839</v>
      </c>
    </row>
    <row r="282" spans="1:3" hidden="1">
      <c r="A282" t="s">
        <v>1119</v>
      </c>
      <c r="B282">
        <v>56</v>
      </c>
      <c r="C282" t="s">
        <v>839</v>
      </c>
    </row>
    <row r="283" spans="1:3" hidden="1">
      <c r="A283" t="s">
        <v>1120</v>
      </c>
      <c r="B283">
        <v>71</v>
      </c>
      <c r="C283" t="s">
        <v>839</v>
      </c>
    </row>
    <row r="284" spans="1:3" hidden="1">
      <c r="A284" t="s">
        <v>1121</v>
      </c>
      <c r="B284">
        <v>37</v>
      </c>
      <c r="C284" t="s">
        <v>839</v>
      </c>
    </row>
    <row r="285" spans="1:3" hidden="1">
      <c r="A285" t="s">
        <v>1122</v>
      </c>
      <c r="B285">
        <v>37</v>
      </c>
      <c r="C285" t="s">
        <v>839</v>
      </c>
    </row>
    <row r="286" spans="1:3" hidden="1">
      <c r="A286" t="s">
        <v>1123</v>
      </c>
      <c r="B286">
        <v>68</v>
      </c>
      <c r="C286" t="s">
        <v>839</v>
      </c>
    </row>
    <row r="287" spans="1:3" hidden="1">
      <c r="A287" t="s">
        <v>1124</v>
      </c>
      <c r="B287">
        <v>72</v>
      </c>
      <c r="C287" t="s">
        <v>839</v>
      </c>
    </row>
    <row r="288" spans="1:3" hidden="1">
      <c r="A288" t="s">
        <v>1125</v>
      </c>
      <c r="B288">
        <v>48</v>
      </c>
      <c r="C288" t="s">
        <v>839</v>
      </c>
    </row>
    <row r="289" spans="1:3" hidden="1">
      <c r="A289" t="s">
        <v>1126</v>
      </c>
      <c r="B289">
        <v>95</v>
      </c>
      <c r="C289" t="s">
        <v>839</v>
      </c>
    </row>
    <row r="290" spans="1:3" hidden="1">
      <c r="A290" t="s">
        <v>1127</v>
      </c>
      <c r="B290">
        <v>65</v>
      </c>
      <c r="C290" t="s">
        <v>839</v>
      </c>
    </row>
    <row r="291" spans="1:3" hidden="1">
      <c r="A291" t="s">
        <v>1128</v>
      </c>
      <c r="B291">
        <v>65</v>
      </c>
      <c r="C291" t="s">
        <v>839</v>
      </c>
    </row>
    <row r="292" spans="1:3" hidden="1">
      <c r="A292" t="s">
        <v>1129</v>
      </c>
      <c r="B292">
        <v>72</v>
      </c>
      <c r="C292" t="s">
        <v>839</v>
      </c>
    </row>
    <row r="293" spans="1:3" hidden="1">
      <c r="A293" t="s">
        <v>1130</v>
      </c>
      <c r="B293">
        <v>72</v>
      </c>
      <c r="C293" t="s">
        <v>839</v>
      </c>
    </row>
    <row r="294" spans="1:3" hidden="1">
      <c r="A294" t="s">
        <v>1131</v>
      </c>
      <c r="B294">
        <v>31</v>
      </c>
      <c r="C294" t="s">
        <v>839</v>
      </c>
    </row>
    <row r="295" spans="1:3" hidden="1">
      <c r="A295" t="s">
        <v>1132</v>
      </c>
      <c r="B295">
        <v>31</v>
      </c>
      <c r="C295" t="s">
        <v>839</v>
      </c>
    </row>
    <row r="296" spans="1:3" hidden="1">
      <c r="A296" t="s">
        <v>1133</v>
      </c>
      <c r="B296">
        <v>56</v>
      </c>
      <c r="C296" t="s">
        <v>839</v>
      </c>
    </row>
    <row r="297" spans="1:3" hidden="1">
      <c r="A297" t="s">
        <v>1134</v>
      </c>
      <c r="B297">
        <v>95</v>
      </c>
      <c r="C297" t="s">
        <v>839</v>
      </c>
    </row>
    <row r="298" spans="1:3" hidden="1">
      <c r="A298" t="s">
        <v>1135</v>
      </c>
      <c r="B298">
        <v>43</v>
      </c>
      <c r="C298" t="s">
        <v>839</v>
      </c>
    </row>
    <row r="299" spans="1:3" hidden="1">
      <c r="A299" t="s">
        <v>1136</v>
      </c>
      <c r="B299">
        <v>18</v>
      </c>
      <c r="C299" t="s">
        <v>839</v>
      </c>
    </row>
    <row r="300" spans="1:3" hidden="1">
      <c r="A300" t="s">
        <v>1137</v>
      </c>
      <c r="B300">
        <v>18</v>
      </c>
      <c r="C300" t="s">
        <v>839</v>
      </c>
    </row>
    <row r="301" spans="1:3" hidden="1">
      <c r="A301" t="s">
        <v>1138</v>
      </c>
      <c r="B301">
        <v>30</v>
      </c>
      <c r="C301" t="s">
        <v>839</v>
      </c>
    </row>
    <row r="302" spans="1:3" hidden="1">
      <c r="A302" t="s">
        <v>1139</v>
      </c>
      <c r="B302">
        <v>6</v>
      </c>
      <c r="C302" t="s">
        <v>839</v>
      </c>
    </row>
    <row r="303" spans="1:3" hidden="1">
      <c r="A303" t="s">
        <v>1140</v>
      </c>
      <c r="B303">
        <v>30</v>
      </c>
      <c r="C303" t="s">
        <v>839</v>
      </c>
    </row>
    <row r="304" spans="1:3" hidden="1">
      <c r="A304" t="s">
        <v>1141</v>
      </c>
      <c r="B304">
        <v>6</v>
      </c>
      <c r="C304" t="s">
        <v>839</v>
      </c>
    </row>
    <row r="305" spans="1:3" hidden="1">
      <c r="A305" t="s">
        <v>1142</v>
      </c>
      <c r="B305">
        <v>18</v>
      </c>
      <c r="C305" t="s">
        <v>839</v>
      </c>
    </row>
    <row r="306" spans="1:3" hidden="1">
      <c r="A306" t="s">
        <v>1143</v>
      </c>
      <c r="B306">
        <v>18</v>
      </c>
      <c r="C306" t="s">
        <v>839</v>
      </c>
    </row>
    <row r="307" spans="1:3" hidden="1">
      <c r="A307" t="s">
        <v>1144</v>
      </c>
      <c r="B307">
        <v>82</v>
      </c>
      <c r="C307" t="s">
        <v>839</v>
      </c>
    </row>
    <row r="308" spans="1:3" hidden="1">
      <c r="A308" t="s">
        <v>1145</v>
      </c>
      <c r="B308">
        <v>18</v>
      </c>
      <c r="C308" t="s">
        <v>839</v>
      </c>
    </row>
    <row r="309" spans="1:3" hidden="1">
      <c r="A309" t="s">
        <v>1146</v>
      </c>
      <c r="B309">
        <v>18</v>
      </c>
      <c r="C309" t="s">
        <v>839</v>
      </c>
    </row>
    <row r="310" spans="1:3" hidden="1">
      <c r="A310" t="s">
        <v>1147</v>
      </c>
      <c r="B310">
        <v>18</v>
      </c>
      <c r="C310" t="s">
        <v>839</v>
      </c>
    </row>
    <row r="311" spans="1:3" hidden="1">
      <c r="A311" t="s">
        <v>1148</v>
      </c>
      <c r="B311">
        <v>18</v>
      </c>
      <c r="C311" t="s">
        <v>839</v>
      </c>
    </row>
    <row r="312" spans="1:3" hidden="1">
      <c r="A312" t="s">
        <v>1149</v>
      </c>
      <c r="B312">
        <v>18</v>
      </c>
      <c r="C312" t="s">
        <v>839</v>
      </c>
    </row>
    <row r="313" spans="1:3" hidden="1">
      <c r="A313" t="s">
        <v>1150</v>
      </c>
      <c r="B313">
        <v>18</v>
      </c>
      <c r="C313" t="s">
        <v>839</v>
      </c>
    </row>
    <row r="314" spans="1:3" hidden="1">
      <c r="A314" t="s">
        <v>1151</v>
      </c>
      <c r="B314">
        <v>18</v>
      </c>
      <c r="C314" t="s">
        <v>839</v>
      </c>
    </row>
    <row r="315" spans="1:3" hidden="1">
      <c r="A315" t="s">
        <v>1152</v>
      </c>
      <c r="B315">
        <v>19</v>
      </c>
      <c r="C315" t="s">
        <v>839</v>
      </c>
    </row>
    <row r="316" spans="1:3" hidden="1">
      <c r="A316" t="s">
        <v>1153</v>
      </c>
      <c r="B316">
        <v>19</v>
      </c>
      <c r="C316" t="s">
        <v>839</v>
      </c>
    </row>
    <row r="317" spans="1:3" hidden="1">
      <c r="A317" t="s">
        <v>1154</v>
      </c>
      <c r="B317">
        <v>19</v>
      </c>
      <c r="C317" t="s">
        <v>839</v>
      </c>
    </row>
    <row r="318" spans="1:3" hidden="1">
      <c r="A318" t="s">
        <v>1155</v>
      </c>
      <c r="B318">
        <v>19</v>
      </c>
      <c r="C318" t="s">
        <v>839</v>
      </c>
    </row>
    <row r="319" spans="1:3" hidden="1">
      <c r="A319" t="s">
        <v>1156</v>
      </c>
      <c r="B319">
        <v>19</v>
      </c>
      <c r="C319" t="s">
        <v>839</v>
      </c>
    </row>
    <row r="320" spans="1:3" hidden="1">
      <c r="A320" t="s">
        <v>1157</v>
      </c>
      <c r="B320">
        <v>19</v>
      </c>
      <c r="C320" t="s">
        <v>839</v>
      </c>
    </row>
    <row r="321" spans="1:3" hidden="1">
      <c r="A321" t="s">
        <v>1158</v>
      </c>
      <c r="B321">
        <v>19</v>
      </c>
      <c r="C321" t="s">
        <v>839</v>
      </c>
    </row>
    <row r="322" spans="1:3" hidden="1">
      <c r="A322" t="s">
        <v>1159</v>
      </c>
      <c r="B322">
        <v>18</v>
      </c>
      <c r="C322" t="s">
        <v>839</v>
      </c>
    </row>
    <row r="323" spans="1:3" hidden="1">
      <c r="A323" t="s">
        <v>1160</v>
      </c>
      <c r="B323">
        <v>18</v>
      </c>
      <c r="C323" t="s">
        <v>839</v>
      </c>
    </row>
    <row r="324" spans="1:3" hidden="1">
      <c r="A324" t="s">
        <v>1161</v>
      </c>
      <c r="B324">
        <v>18</v>
      </c>
      <c r="C324" t="s">
        <v>839</v>
      </c>
    </row>
    <row r="325" spans="1:3" hidden="1">
      <c r="A325" t="s">
        <v>1162</v>
      </c>
      <c r="B325">
        <v>18</v>
      </c>
      <c r="C325" t="s">
        <v>839</v>
      </c>
    </row>
    <row r="326" spans="1:3" hidden="1">
      <c r="A326" t="s">
        <v>1163</v>
      </c>
      <c r="B326">
        <v>18</v>
      </c>
      <c r="C326" t="s">
        <v>839</v>
      </c>
    </row>
    <row r="327" spans="1:3" hidden="1">
      <c r="A327" t="s">
        <v>1164</v>
      </c>
      <c r="B327">
        <v>18</v>
      </c>
      <c r="C327" t="s">
        <v>839</v>
      </c>
    </row>
    <row r="328" spans="1:3" hidden="1">
      <c r="A328" t="s">
        <v>1165</v>
      </c>
      <c r="B328">
        <v>18</v>
      </c>
      <c r="C328" t="s">
        <v>839</v>
      </c>
    </row>
    <row r="329" spans="1:3" hidden="1">
      <c r="A329" t="s">
        <v>1166</v>
      </c>
      <c r="B329">
        <v>18</v>
      </c>
      <c r="C329" t="s">
        <v>839</v>
      </c>
    </row>
    <row r="330" spans="1:3" hidden="1">
      <c r="A330" t="s">
        <v>1167</v>
      </c>
      <c r="B330">
        <v>18</v>
      </c>
      <c r="C330" t="s">
        <v>839</v>
      </c>
    </row>
    <row r="331" spans="1:3" hidden="1">
      <c r="A331" t="s">
        <v>1168</v>
      </c>
      <c r="B331">
        <v>30</v>
      </c>
      <c r="C331" t="s">
        <v>839</v>
      </c>
    </row>
    <row r="332" spans="1:3" hidden="1">
      <c r="A332" t="s">
        <v>1169</v>
      </c>
      <c r="B332">
        <v>7</v>
      </c>
      <c r="C332" t="s">
        <v>839</v>
      </c>
    </row>
    <row r="333" spans="1:3" hidden="1">
      <c r="A333" t="s">
        <v>1170</v>
      </c>
      <c r="B333">
        <v>18</v>
      </c>
      <c r="C333" t="s">
        <v>839</v>
      </c>
    </row>
    <row r="334" spans="1:3" hidden="1">
      <c r="A334" t="s">
        <v>1171</v>
      </c>
      <c r="B334">
        <v>8</v>
      </c>
      <c r="C334" t="s">
        <v>839</v>
      </c>
    </row>
    <row r="335" spans="1:3" hidden="1">
      <c r="A335" t="s">
        <v>1172</v>
      </c>
      <c r="B335">
        <v>18</v>
      </c>
      <c r="C335" t="s">
        <v>839</v>
      </c>
    </row>
    <row r="336" spans="1:3" hidden="1">
      <c r="A336" t="s">
        <v>1173</v>
      </c>
      <c r="B336">
        <v>93</v>
      </c>
      <c r="C336" t="s">
        <v>839</v>
      </c>
    </row>
    <row r="337" spans="1:3" hidden="1">
      <c r="A337" t="s">
        <v>1174</v>
      </c>
      <c r="B337">
        <v>94</v>
      </c>
      <c r="C337" t="s">
        <v>839</v>
      </c>
    </row>
    <row r="338" spans="1:3">
      <c r="A338" t="s">
        <v>1175</v>
      </c>
      <c r="B338">
        <v>83</v>
      </c>
      <c r="C338" t="s">
        <v>839</v>
      </c>
    </row>
    <row r="339" spans="1:3">
      <c r="A339" t="s">
        <v>1176</v>
      </c>
      <c r="B339">
        <v>83</v>
      </c>
      <c r="C339" t="s">
        <v>839</v>
      </c>
    </row>
    <row r="340" spans="1:3" hidden="1">
      <c r="A340" t="s">
        <v>1177</v>
      </c>
      <c r="B340">
        <v>2</v>
      </c>
      <c r="C340" t="s">
        <v>839</v>
      </c>
    </row>
    <row r="341" spans="1:3" hidden="1">
      <c r="A341" t="s">
        <v>1178</v>
      </c>
      <c r="B341">
        <v>2</v>
      </c>
      <c r="C341" t="s">
        <v>839</v>
      </c>
    </row>
    <row r="342" spans="1:3" hidden="1">
      <c r="A342" t="s">
        <v>1179</v>
      </c>
      <c r="B342">
        <v>12</v>
      </c>
      <c r="C342" t="s">
        <v>839</v>
      </c>
    </row>
    <row r="343" spans="1:3" hidden="1">
      <c r="A343" t="s">
        <v>1180</v>
      </c>
      <c r="B343">
        <v>12</v>
      </c>
      <c r="C343" t="s">
        <v>839</v>
      </c>
    </row>
    <row r="344" spans="1:3" hidden="1">
      <c r="A344" t="s">
        <v>1181</v>
      </c>
      <c r="B344">
        <v>12</v>
      </c>
      <c r="C344" t="s">
        <v>839</v>
      </c>
    </row>
    <row r="345" spans="1:3" hidden="1">
      <c r="A345" t="s">
        <v>1182</v>
      </c>
      <c r="B345">
        <v>31</v>
      </c>
      <c r="C345" t="s">
        <v>839</v>
      </c>
    </row>
    <row r="346" spans="1:3" hidden="1">
      <c r="A346" t="s">
        <v>1183</v>
      </c>
      <c r="B346">
        <v>50</v>
      </c>
      <c r="C346" t="s">
        <v>839</v>
      </c>
    </row>
    <row r="347" spans="1:3" hidden="1">
      <c r="A347" t="s">
        <v>1184</v>
      </c>
      <c r="B347">
        <v>12</v>
      </c>
      <c r="C347" t="s">
        <v>839</v>
      </c>
    </row>
    <row r="348" spans="1:3" hidden="1">
      <c r="A348" t="s">
        <v>1185</v>
      </c>
      <c r="B348">
        <v>37</v>
      </c>
      <c r="C348" t="s">
        <v>839</v>
      </c>
    </row>
    <row r="349" spans="1:3" hidden="1">
      <c r="A349" t="s">
        <v>1186</v>
      </c>
      <c r="B349">
        <v>12</v>
      </c>
      <c r="C349" t="s">
        <v>839</v>
      </c>
    </row>
    <row r="350" spans="1:3" hidden="1">
      <c r="A350" t="s">
        <v>1187</v>
      </c>
      <c r="B350">
        <v>61</v>
      </c>
      <c r="C350" t="s">
        <v>839</v>
      </c>
    </row>
    <row r="351" spans="1:3" hidden="1">
      <c r="A351" t="s">
        <v>1188</v>
      </c>
      <c r="B351">
        <v>72</v>
      </c>
      <c r="C351" t="s">
        <v>839</v>
      </c>
    </row>
    <row r="352" spans="1:3" hidden="1">
      <c r="A352" t="s">
        <v>1189</v>
      </c>
      <c r="B352">
        <v>31</v>
      </c>
      <c r="C352" t="s">
        <v>839</v>
      </c>
    </row>
    <row r="353" spans="1:3" hidden="1">
      <c r="A353" t="s">
        <v>1190</v>
      </c>
      <c r="B353">
        <v>31</v>
      </c>
      <c r="C353" t="s">
        <v>839</v>
      </c>
    </row>
    <row r="354" spans="1:3" hidden="1">
      <c r="A354" t="s">
        <v>1191</v>
      </c>
      <c r="B354">
        <v>31</v>
      </c>
      <c r="C354" t="s">
        <v>839</v>
      </c>
    </row>
    <row r="355" spans="1:3" hidden="1">
      <c r="A355" t="s">
        <v>1192</v>
      </c>
      <c r="B355">
        <v>12</v>
      </c>
      <c r="C355" t="s">
        <v>839</v>
      </c>
    </row>
    <row r="356" spans="1:3" hidden="1">
      <c r="A356" t="s">
        <v>1193</v>
      </c>
      <c r="B356">
        <v>61</v>
      </c>
      <c r="C356" t="s">
        <v>839</v>
      </c>
    </row>
    <row r="357" spans="1:3" hidden="1">
      <c r="A357" t="s">
        <v>1194</v>
      </c>
      <c r="B357">
        <v>12</v>
      </c>
      <c r="C357" t="s">
        <v>839</v>
      </c>
    </row>
    <row r="358" spans="1:3" hidden="1">
      <c r="A358" t="s">
        <v>1195</v>
      </c>
      <c r="B358">
        <v>12</v>
      </c>
      <c r="C358" t="s">
        <v>839</v>
      </c>
    </row>
    <row r="359" spans="1:3" hidden="1">
      <c r="A359" t="s">
        <v>1196</v>
      </c>
      <c r="B359">
        <v>50</v>
      </c>
      <c r="C359" t="s">
        <v>839</v>
      </c>
    </row>
    <row r="360" spans="1:3" hidden="1">
      <c r="A360" t="s">
        <v>1197</v>
      </c>
      <c r="B360">
        <v>50</v>
      </c>
      <c r="C360" t="s">
        <v>839</v>
      </c>
    </row>
    <row r="361" spans="1:3" hidden="1">
      <c r="A361" t="s">
        <v>1198</v>
      </c>
      <c r="B361">
        <v>12</v>
      </c>
      <c r="C361" t="s">
        <v>839</v>
      </c>
    </row>
    <row r="362" spans="1:3" hidden="1">
      <c r="A362" t="s">
        <v>1199</v>
      </c>
      <c r="B362">
        <v>12</v>
      </c>
      <c r="C362" t="s">
        <v>839</v>
      </c>
    </row>
    <row r="363" spans="1:3" hidden="1">
      <c r="A363" t="s">
        <v>1200</v>
      </c>
      <c r="B363">
        <v>31</v>
      </c>
      <c r="C363" t="s">
        <v>839</v>
      </c>
    </row>
    <row r="364" spans="1:3" hidden="1">
      <c r="A364" t="s">
        <v>1201</v>
      </c>
      <c r="B364">
        <v>31</v>
      </c>
      <c r="C364" t="s">
        <v>839</v>
      </c>
    </row>
    <row r="365" spans="1:3" hidden="1">
      <c r="A365" t="s">
        <v>1202</v>
      </c>
      <c r="B365">
        <v>31</v>
      </c>
      <c r="C365" t="s">
        <v>839</v>
      </c>
    </row>
    <row r="366" spans="1:3" hidden="1">
      <c r="A366" t="s">
        <v>1203</v>
      </c>
      <c r="B366">
        <v>12</v>
      </c>
      <c r="C366" t="s">
        <v>839</v>
      </c>
    </row>
    <row r="367" spans="1:3" hidden="1">
      <c r="A367" t="s">
        <v>1204</v>
      </c>
      <c r="B367">
        <v>31</v>
      </c>
      <c r="C367" t="s">
        <v>839</v>
      </c>
    </row>
    <row r="368" spans="1:3" hidden="1">
      <c r="A368" t="s">
        <v>1205</v>
      </c>
      <c r="B368">
        <v>31</v>
      </c>
      <c r="C368" t="s">
        <v>839</v>
      </c>
    </row>
    <row r="369" spans="1:3" hidden="1">
      <c r="A369" t="s">
        <v>1206</v>
      </c>
      <c r="B369">
        <v>12</v>
      </c>
      <c r="C369" t="s">
        <v>839</v>
      </c>
    </row>
    <row r="370" spans="1:3" hidden="1">
      <c r="A370" t="s">
        <v>1207</v>
      </c>
      <c r="B370">
        <v>88</v>
      </c>
      <c r="C370" t="s">
        <v>839</v>
      </c>
    </row>
    <row r="371" spans="1:3" hidden="1">
      <c r="A371" t="s">
        <v>1208</v>
      </c>
      <c r="B371">
        <v>21</v>
      </c>
      <c r="C371" t="s">
        <v>839</v>
      </c>
    </row>
    <row r="372" spans="1:3" hidden="1">
      <c r="A372" t="s">
        <v>1209</v>
      </c>
      <c r="B372">
        <v>52</v>
      </c>
      <c r="C372" t="s">
        <v>839</v>
      </c>
    </row>
    <row r="373" spans="1:3" hidden="1">
      <c r="A373" t="s">
        <v>1210</v>
      </c>
      <c r="B373">
        <v>56</v>
      </c>
      <c r="C373" t="s">
        <v>839</v>
      </c>
    </row>
    <row r="374" spans="1:3" hidden="1">
      <c r="A374" t="s">
        <v>1211</v>
      </c>
      <c r="B374">
        <v>49</v>
      </c>
      <c r="C374" t="s">
        <v>839</v>
      </c>
    </row>
    <row r="375" spans="1:3" hidden="1">
      <c r="A375" t="s">
        <v>1212</v>
      </c>
      <c r="B375">
        <v>49</v>
      </c>
      <c r="C375" t="s">
        <v>839</v>
      </c>
    </row>
    <row r="376" spans="1:3" hidden="1">
      <c r="A376" t="s">
        <v>1213</v>
      </c>
      <c r="B376">
        <v>95</v>
      </c>
      <c r="C376" t="s">
        <v>839</v>
      </c>
    </row>
    <row r="377" spans="1:3" hidden="1">
      <c r="A377" t="s">
        <v>1214</v>
      </c>
      <c r="B377">
        <v>95</v>
      </c>
      <c r="C377" t="s">
        <v>839</v>
      </c>
    </row>
    <row r="378" spans="1:3" hidden="1">
      <c r="A378" t="s">
        <v>1215</v>
      </c>
      <c r="B378">
        <v>37</v>
      </c>
      <c r="C378" t="s">
        <v>839</v>
      </c>
    </row>
    <row r="379" spans="1:3" hidden="1">
      <c r="A379" t="s">
        <v>1216</v>
      </c>
      <c r="B379">
        <v>95</v>
      </c>
      <c r="C379" t="s">
        <v>839</v>
      </c>
    </row>
    <row r="380" spans="1:3" hidden="1">
      <c r="A380" t="s">
        <v>1217</v>
      </c>
      <c r="B380">
        <v>95</v>
      </c>
      <c r="C380" t="s">
        <v>839</v>
      </c>
    </row>
    <row r="381" spans="1:3" hidden="1">
      <c r="A381" t="s">
        <v>1218</v>
      </c>
      <c r="B381">
        <v>95</v>
      </c>
      <c r="C381" t="s">
        <v>839</v>
      </c>
    </row>
    <row r="382" spans="1:3" hidden="1">
      <c r="A382" t="s">
        <v>1219</v>
      </c>
      <c r="B382">
        <v>93</v>
      </c>
      <c r="C382" t="s">
        <v>839</v>
      </c>
    </row>
    <row r="383" spans="1:3" hidden="1">
      <c r="A383" t="s">
        <v>1220</v>
      </c>
      <c r="B383">
        <v>95</v>
      </c>
      <c r="C383" t="s">
        <v>839</v>
      </c>
    </row>
    <row r="384" spans="1:3" hidden="1">
      <c r="A384" t="s">
        <v>1221</v>
      </c>
      <c r="B384">
        <v>95</v>
      </c>
      <c r="C384" t="s">
        <v>839</v>
      </c>
    </row>
    <row r="385" spans="1:7">
      <c r="A385" t="s">
        <v>1222</v>
      </c>
      <c r="B385">
        <v>83</v>
      </c>
      <c r="C385" t="s">
        <v>839</v>
      </c>
      <c r="G385" s="57" t="s">
        <v>3013</v>
      </c>
    </row>
    <row r="386" spans="1:7" hidden="1">
      <c r="A386" t="s">
        <v>1223</v>
      </c>
      <c r="B386">
        <v>49</v>
      </c>
      <c r="C386" t="s">
        <v>839</v>
      </c>
    </row>
    <row r="387" spans="1:7" hidden="1">
      <c r="A387" t="s">
        <v>1224</v>
      </c>
      <c r="B387">
        <v>49</v>
      </c>
      <c r="C387" t="s">
        <v>839</v>
      </c>
    </row>
    <row r="388" spans="1:7" hidden="1">
      <c r="A388" t="s">
        <v>1225</v>
      </c>
      <c r="B388">
        <v>49</v>
      </c>
      <c r="C388" t="s">
        <v>839</v>
      </c>
    </row>
    <row r="389" spans="1:7" hidden="1">
      <c r="A389" t="s">
        <v>1226</v>
      </c>
      <c r="B389">
        <v>49</v>
      </c>
      <c r="C389" t="s">
        <v>839</v>
      </c>
    </row>
    <row r="390" spans="1:7" hidden="1">
      <c r="A390" t="s">
        <v>1227</v>
      </c>
      <c r="B390">
        <v>49</v>
      </c>
      <c r="C390" t="s">
        <v>839</v>
      </c>
    </row>
    <row r="391" spans="1:7" hidden="1">
      <c r="A391" t="s">
        <v>1228</v>
      </c>
      <c r="B391">
        <v>49</v>
      </c>
      <c r="C391" t="s">
        <v>839</v>
      </c>
    </row>
    <row r="392" spans="1:7" hidden="1">
      <c r="A392" t="s">
        <v>1229</v>
      </c>
      <c r="B392">
        <v>49</v>
      </c>
      <c r="C392" t="s">
        <v>839</v>
      </c>
    </row>
    <row r="393" spans="1:7" hidden="1">
      <c r="A393" t="s">
        <v>1230</v>
      </c>
      <c r="B393">
        <v>49</v>
      </c>
      <c r="C393" t="s">
        <v>839</v>
      </c>
    </row>
    <row r="394" spans="1:7" hidden="1">
      <c r="A394" t="s">
        <v>1231</v>
      </c>
      <c r="B394">
        <v>49</v>
      </c>
      <c r="C394" t="s">
        <v>839</v>
      </c>
    </row>
    <row r="395" spans="1:7" hidden="1">
      <c r="A395" t="s">
        <v>1232</v>
      </c>
      <c r="B395">
        <v>49</v>
      </c>
      <c r="C395" t="s">
        <v>839</v>
      </c>
    </row>
    <row r="396" spans="1:7" hidden="1">
      <c r="A396" t="s">
        <v>1233</v>
      </c>
      <c r="B396">
        <v>95</v>
      </c>
      <c r="C396" t="s">
        <v>839</v>
      </c>
    </row>
    <row r="397" spans="1:7" hidden="1">
      <c r="A397" t="s">
        <v>1234</v>
      </c>
      <c r="B397">
        <v>12</v>
      </c>
      <c r="C397" t="s">
        <v>839</v>
      </c>
    </row>
    <row r="398" spans="1:7" hidden="1">
      <c r="A398" t="s">
        <v>1235</v>
      </c>
      <c r="B398">
        <v>12</v>
      </c>
      <c r="C398" t="s">
        <v>839</v>
      </c>
    </row>
    <row r="399" spans="1:7" hidden="1">
      <c r="A399" t="s">
        <v>1236</v>
      </c>
      <c r="B399">
        <v>51</v>
      </c>
      <c r="C399" t="s">
        <v>839</v>
      </c>
    </row>
    <row r="400" spans="1:7" hidden="1">
      <c r="A400" t="s">
        <v>1237</v>
      </c>
      <c r="B400">
        <v>52</v>
      </c>
      <c r="C400" t="s">
        <v>839</v>
      </c>
    </row>
    <row r="401" spans="1:3" hidden="1">
      <c r="A401" t="s">
        <v>1238</v>
      </c>
      <c r="B401">
        <v>31</v>
      </c>
      <c r="C401" t="s">
        <v>839</v>
      </c>
    </row>
    <row r="402" spans="1:3" hidden="1">
      <c r="A402" t="s">
        <v>1239</v>
      </c>
      <c r="B402">
        <v>89</v>
      </c>
      <c r="C402" t="s">
        <v>839</v>
      </c>
    </row>
    <row r="403" spans="1:3" hidden="1">
      <c r="A403" t="s">
        <v>1240</v>
      </c>
      <c r="B403">
        <v>51</v>
      </c>
      <c r="C403" t="s">
        <v>839</v>
      </c>
    </row>
    <row r="404" spans="1:3" hidden="1">
      <c r="A404" t="s">
        <v>1241</v>
      </c>
      <c r="B404">
        <v>52</v>
      </c>
      <c r="C404" t="s">
        <v>839</v>
      </c>
    </row>
    <row r="405" spans="1:3" hidden="1">
      <c r="A405" t="s">
        <v>1242</v>
      </c>
      <c r="B405">
        <v>72</v>
      </c>
      <c r="C405" t="s">
        <v>839</v>
      </c>
    </row>
    <row r="406" spans="1:3" hidden="1">
      <c r="A406" t="s">
        <v>1243</v>
      </c>
      <c r="B406">
        <v>59</v>
      </c>
      <c r="C406" t="s">
        <v>839</v>
      </c>
    </row>
    <row r="407" spans="1:3" hidden="1">
      <c r="A407" t="s">
        <v>1244</v>
      </c>
      <c r="B407">
        <v>61</v>
      </c>
      <c r="C407" t="s">
        <v>839</v>
      </c>
    </row>
    <row r="408" spans="1:3" hidden="1">
      <c r="A408" t="s">
        <v>1245</v>
      </c>
      <c r="B408">
        <v>56</v>
      </c>
      <c r="C408" t="s">
        <v>839</v>
      </c>
    </row>
    <row r="409" spans="1:3" hidden="1">
      <c r="A409" t="s">
        <v>1246</v>
      </c>
      <c r="B409">
        <v>59</v>
      </c>
      <c r="C409" t="s">
        <v>839</v>
      </c>
    </row>
    <row r="410" spans="1:3" hidden="1">
      <c r="A410" t="s">
        <v>1247</v>
      </c>
      <c r="B410">
        <v>77</v>
      </c>
      <c r="C410" t="s">
        <v>839</v>
      </c>
    </row>
    <row r="411" spans="1:3" hidden="1">
      <c r="A411" t="s">
        <v>1248</v>
      </c>
      <c r="B411">
        <v>77</v>
      </c>
      <c r="C411" t="s">
        <v>839</v>
      </c>
    </row>
    <row r="412" spans="1:3" hidden="1">
      <c r="A412" t="s">
        <v>1249</v>
      </c>
      <c r="B412">
        <v>72</v>
      </c>
      <c r="C412" t="s">
        <v>839</v>
      </c>
    </row>
    <row r="413" spans="1:3" hidden="1">
      <c r="A413" t="s">
        <v>1250</v>
      </c>
      <c r="B413">
        <v>26</v>
      </c>
      <c r="C413" t="s">
        <v>839</v>
      </c>
    </row>
    <row r="414" spans="1:3" hidden="1">
      <c r="A414" t="s">
        <v>1251</v>
      </c>
      <c r="B414">
        <v>48</v>
      </c>
      <c r="C414" t="s">
        <v>839</v>
      </c>
    </row>
    <row r="415" spans="1:3" hidden="1">
      <c r="A415" t="s">
        <v>1252</v>
      </c>
      <c r="B415">
        <v>10</v>
      </c>
      <c r="C415" t="s">
        <v>839</v>
      </c>
    </row>
    <row r="416" spans="1:3" hidden="1">
      <c r="A416" t="s">
        <v>1253</v>
      </c>
      <c r="B416">
        <v>5</v>
      </c>
      <c r="C416" t="s">
        <v>839</v>
      </c>
    </row>
    <row r="417" spans="1:3" hidden="1">
      <c r="A417" t="s">
        <v>1254</v>
      </c>
      <c r="B417">
        <v>51</v>
      </c>
      <c r="C417" t="s">
        <v>839</v>
      </c>
    </row>
    <row r="418" spans="1:3" hidden="1">
      <c r="A418" t="s">
        <v>1255</v>
      </c>
      <c r="B418">
        <v>52</v>
      </c>
      <c r="C418" t="s">
        <v>839</v>
      </c>
    </row>
    <row r="419" spans="1:3" hidden="1">
      <c r="A419" t="s">
        <v>1256</v>
      </c>
      <c r="B419">
        <v>72</v>
      </c>
      <c r="C419" t="s">
        <v>839</v>
      </c>
    </row>
    <row r="420" spans="1:3" hidden="1">
      <c r="A420" t="s">
        <v>1257</v>
      </c>
      <c r="B420">
        <v>43</v>
      </c>
      <c r="C420" t="s">
        <v>839</v>
      </c>
    </row>
    <row r="421" spans="1:3" hidden="1">
      <c r="A421" t="s">
        <v>1258</v>
      </c>
      <c r="B421">
        <v>93</v>
      </c>
      <c r="C421" t="s">
        <v>839</v>
      </c>
    </row>
    <row r="422" spans="1:3" hidden="1">
      <c r="A422" t="s">
        <v>1259</v>
      </c>
      <c r="B422">
        <v>47</v>
      </c>
      <c r="C422" t="s">
        <v>839</v>
      </c>
    </row>
    <row r="423" spans="1:3">
      <c r="A423" t="s">
        <v>1260</v>
      </c>
      <c r="B423">
        <v>83</v>
      </c>
      <c r="C423" t="s">
        <v>839</v>
      </c>
    </row>
    <row r="424" spans="1:3" hidden="1">
      <c r="A424" t="s">
        <v>1261</v>
      </c>
      <c r="B424">
        <v>5</v>
      </c>
      <c r="C424" t="s">
        <v>839</v>
      </c>
    </row>
    <row r="425" spans="1:3" hidden="1">
      <c r="A425" t="s">
        <v>1262</v>
      </c>
      <c r="B425">
        <v>43</v>
      </c>
      <c r="C425" t="s">
        <v>839</v>
      </c>
    </row>
    <row r="426" spans="1:3" hidden="1">
      <c r="A426" t="s">
        <v>1263</v>
      </c>
      <c r="B426">
        <v>49</v>
      </c>
      <c r="C426" t="s">
        <v>839</v>
      </c>
    </row>
    <row r="427" spans="1:3" hidden="1">
      <c r="A427" t="s">
        <v>1264</v>
      </c>
      <c r="B427">
        <v>49</v>
      </c>
      <c r="C427" t="s">
        <v>839</v>
      </c>
    </row>
    <row r="428" spans="1:3" hidden="1">
      <c r="A428" t="s">
        <v>1265</v>
      </c>
      <c r="B428">
        <v>49</v>
      </c>
      <c r="C428" t="s">
        <v>839</v>
      </c>
    </row>
    <row r="429" spans="1:3" hidden="1">
      <c r="A429" t="s">
        <v>1266</v>
      </c>
      <c r="B429">
        <v>49</v>
      </c>
      <c r="C429" t="s">
        <v>839</v>
      </c>
    </row>
    <row r="430" spans="1:3" hidden="1">
      <c r="A430" t="s">
        <v>1267</v>
      </c>
      <c r="B430">
        <v>37</v>
      </c>
      <c r="C430" t="s">
        <v>839</v>
      </c>
    </row>
    <row r="431" spans="1:3" hidden="1">
      <c r="A431" t="s">
        <v>1268</v>
      </c>
      <c r="B431">
        <v>93</v>
      </c>
      <c r="C431" t="s">
        <v>839</v>
      </c>
    </row>
    <row r="432" spans="1:3">
      <c r="A432" t="s">
        <v>1269</v>
      </c>
      <c r="B432">
        <v>83</v>
      </c>
      <c r="C432" t="s">
        <v>839</v>
      </c>
    </row>
    <row r="433" spans="1:3">
      <c r="A433" t="s">
        <v>1270</v>
      </c>
      <c r="B433">
        <v>83</v>
      </c>
      <c r="C433" t="s">
        <v>839</v>
      </c>
    </row>
    <row r="434" spans="1:3" hidden="1">
      <c r="A434" t="s">
        <v>1271</v>
      </c>
      <c r="B434">
        <v>17</v>
      </c>
      <c r="C434" t="s">
        <v>839</v>
      </c>
    </row>
    <row r="435" spans="1:3" hidden="1">
      <c r="A435" t="s">
        <v>1272</v>
      </c>
      <c r="B435">
        <v>17</v>
      </c>
      <c r="C435" t="s">
        <v>839</v>
      </c>
    </row>
    <row r="436" spans="1:3" hidden="1">
      <c r="A436" t="s">
        <v>1273</v>
      </c>
      <c r="B436">
        <v>12</v>
      </c>
      <c r="C436" t="s">
        <v>839</v>
      </c>
    </row>
    <row r="437" spans="1:3" hidden="1">
      <c r="A437" t="s">
        <v>1274</v>
      </c>
      <c r="B437">
        <v>86</v>
      </c>
      <c r="C437" t="s">
        <v>839</v>
      </c>
    </row>
    <row r="438" spans="1:3" hidden="1">
      <c r="A438" t="s">
        <v>1275</v>
      </c>
      <c r="B438">
        <v>48</v>
      </c>
      <c r="C438" t="s">
        <v>839</v>
      </c>
    </row>
    <row r="439" spans="1:3" hidden="1">
      <c r="A439" t="s">
        <v>1276</v>
      </c>
      <c r="B439">
        <v>95</v>
      </c>
      <c r="C439" t="s">
        <v>839</v>
      </c>
    </row>
    <row r="440" spans="1:3" hidden="1">
      <c r="A440" t="s">
        <v>1277</v>
      </c>
      <c r="B440">
        <v>20</v>
      </c>
      <c r="C440" t="s">
        <v>839</v>
      </c>
    </row>
    <row r="441" spans="1:3" hidden="1">
      <c r="A441" t="s">
        <v>1278</v>
      </c>
      <c r="B441">
        <v>21</v>
      </c>
      <c r="C441" t="s">
        <v>839</v>
      </c>
    </row>
    <row r="442" spans="1:3" hidden="1">
      <c r="A442" t="s">
        <v>1279</v>
      </c>
      <c r="B442">
        <v>21</v>
      </c>
      <c r="C442" t="s">
        <v>839</v>
      </c>
    </row>
    <row r="443" spans="1:3" hidden="1">
      <c r="A443" t="s">
        <v>1280</v>
      </c>
      <c r="B443">
        <v>81</v>
      </c>
      <c r="C443" t="s">
        <v>839</v>
      </c>
    </row>
    <row r="444" spans="1:3" hidden="1">
      <c r="A444" t="s">
        <v>1281</v>
      </c>
      <c r="B444">
        <v>81</v>
      </c>
      <c r="C444" t="s">
        <v>839</v>
      </c>
    </row>
    <row r="445" spans="1:3" hidden="1">
      <c r="A445" t="s">
        <v>1282</v>
      </c>
      <c r="B445">
        <v>21</v>
      </c>
      <c r="C445" t="s">
        <v>839</v>
      </c>
    </row>
    <row r="446" spans="1:3" hidden="1">
      <c r="A446" t="s">
        <v>1283</v>
      </c>
      <c r="B446">
        <v>21</v>
      </c>
      <c r="C446" t="s">
        <v>839</v>
      </c>
    </row>
    <row r="447" spans="1:3" hidden="1">
      <c r="A447" t="s">
        <v>1284</v>
      </c>
      <c r="B447">
        <v>21</v>
      </c>
      <c r="C447" t="s">
        <v>839</v>
      </c>
    </row>
    <row r="448" spans="1:3" hidden="1">
      <c r="A448" t="s">
        <v>1285</v>
      </c>
      <c r="B448">
        <v>21</v>
      </c>
      <c r="C448" t="s">
        <v>839</v>
      </c>
    </row>
    <row r="449" spans="1:3" hidden="1">
      <c r="A449" t="s">
        <v>1286</v>
      </c>
      <c r="B449">
        <v>21</v>
      </c>
      <c r="C449" t="s">
        <v>839</v>
      </c>
    </row>
    <row r="450" spans="1:3" hidden="1">
      <c r="A450" t="s">
        <v>1287</v>
      </c>
      <c r="B450">
        <v>21</v>
      </c>
      <c r="C450" t="s">
        <v>839</v>
      </c>
    </row>
    <row r="451" spans="1:3" hidden="1">
      <c r="A451" t="s">
        <v>1288</v>
      </c>
      <c r="B451">
        <v>21</v>
      </c>
      <c r="C451" t="s">
        <v>839</v>
      </c>
    </row>
    <row r="452" spans="1:3" hidden="1">
      <c r="A452" t="s">
        <v>1289</v>
      </c>
      <c r="B452">
        <v>21</v>
      </c>
      <c r="C452" t="s">
        <v>839</v>
      </c>
    </row>
    <row r="453" spans="1:3" hidden="1">
      <c r="A453" t="s">
        <v>1290</v>
      </c>
      <c r="B453">
        <v>21</v>
      </c>
      <c r="C453" t="s">
        <v>839</v>
      </c>
    </row>
    <row r="454" spans="1:3" hidden="1">
      <c r="A454" t="s">
        <v>1291</v>
      </c>
      <c r="B454">
        <v>21</v>
      </c>
      <c r="C454" t="s">
        <v>839</v>
      </c>
    </row>
    <row r="455" spans="1:3" hidden="1">
      <c r="A455" t="s">
        <v>1292</v>
      </c>
      <c r="B455">
        <v>21</v>
      </c>
      <c r="C455" t="s">
        <v>839</v>
      </c>
    </row>
    <row r="456" spans="1:3" hidden="1">
      <c r="A456" t="s">
        <v>1293</v>
      </c>
      <c r="B456">
        <v>21</v>
      </c>
      <c r="C456" t="s">
        <v>839</v>
      </c>
    </row>
    <row r="457" spans="1:3" hidden="1">
      <c r="A457" t="s">
        <v>1294</v>
      </c>
      <c r="B457">
        <v>21</v>
      </c>
      <c r="C457" t="s">
        <v>839</v>
      </c>
    </row>
    <row r="458" spans="1:3" hidden="1">
      <c r="A458" t="s">
        <v>1295</v>
      </c>
      <c r="B458">
        <v>21</v>
      </c>
      <c r="C458" t="s">
        <v>839</v>
      </c>
    </row>
    <row r="459" spans="1:3" hidden="1">
      <c r="A459" t="s">
        <v>1296</v>
      </c>
      <c r="B459">
        <v>21</v>
      </c>
      <c r="C459" t="s">
        <v>839</v>
      </c>
    </row>
    <row r="460" spans="1:3" hidden="1">
      <c r="A460" t="s">
        <v>1297</v>
      </c>
      <c r="B460">
        <v>21</v>
      </c>
      <c r="C460" t="s">
        <v>839</v>
      </c>
    </row>
    <row r="461" spans="1:3" hidden="1">
      <c r="A461" t="s">
        <v>1298</v>
      </c>
      <c r="B461">
        <v>21</v>
      </c>
      <c r="C461" t="s">
        <v>839</v>
      </c>
    </row>
    <row r="462" spans="1:3" hidden="1">
      <c r="A462" t="s">
        <v>1299</v>
      </c>
      <c r="B462">
        <v>95</v>
      </c>
      <c r="C462" t="s">
        <v>839</v>
      </c>
    </row>
    <row r="463" spans="1:3" hidden="1">
      <c r="A463" t="s">
        <v>1300</v>
      </c>
      <c r="B463">
        <v>48</v>
      </c>
      <c r="C463" t="s">
        <v>839</v>
      </c>
    </row>
    <row r="464" spans="1:3" hidden="1">
      <c r="A464" t="s">
        <v>1301</v>
      </c>
      <c r="B464">
        <v>48</v>
      </c>
      <c r="C464" t="s">
        <v>839</v>
      </c>
    </row>
    <row r="465" spans="1:3" hidden="1">
      <c r="A465" t="s">
        <v>1302</v>
      </c>
      <c r="B465">
        <v>37</v>
      </c>
      <c r="C465" t="s">
        <v>839</v>
      </c>
    </row>
    <row r="466" spans="1:3" hidden="1">
      <c r="A466" t="s">
        <v>1303</v>
      </c>
      <c r="B466">
        <v>93</v>
      </c>
      <c r="C466" t="s">
        <v>839</v>
      </c>
    </row>
    <row r="467" spans="1:3" hidden="1">
      <c r="A467" t="s">
        <v>1304</v>
      </c>
      <c r="B467">
        <v>24</v>
      </c>
      <c r="C467" t="s">
        <v>839</v>
      </c>
    </row>
    <row r="468" spans="1:3" hidden="1">
      <c r="A468" t="s">
        <v>1305</v>
      </c>
      <c r="B468">
        <v>24</v>
      </c>
      <c r="C468" t="s">
        <v>839</v>
      </c>
    </row>
    <row r="469" spans="1:3" hidden="1">
      <c r="A469" t="s">
        <v>1306</v>
      </c>
      <c r="B469">
        <v>24</v>
      </c>
      <c r="C469" t="s">
        <v>839</v>
      </c>
    </row>
    <row r="470" spans="1:3" hidden="1">
      <c r="A470" t="s">
        <v>1307</v>
      </c>
      <c r="B470">
        <v>24</v>
      </c>
      <c r="C470" t="s">
        <v>839</v>
      </c>
    </row>
    <row r="471" spans="1:3" hidden="1">
      <c r="A471" t="s">
        <v>1308</v>
      </c>
      <c r="B471">
        <v>24</v>
      </c>
      <c r="C471" t="s">
        <v>839</v>
      </c>
    </row>
    <row r="472" spans="1:3" hidden="1">
      <c r="A472" t="s">
        <v>1309</v>
      </c>
      <c r="B472">
        <v>26</v>
      </c>
      <c r="C472" t="s">
        <v>839</v>
      </c>
    </row>
    <row r="473" spans="1:3" hidden="1">
      <c r="A473" t="s">
        <v>1310</v>
      </c>
      <c r="B473">
        <v>26</v>
      </c>
      <c r="C473" t="s">
        <v>839</v>
      </c>
    </row>
    <row r="474" spans="1:3" hidden="1">
      <c r="A474" t="s">
        <v>1311</v>
      </c>
      <c r="B474">
        <v>26</v>
      </c>
      <c r="C474" t="s">
        <v>839</v>
      </c>
    </row>
    <row r="475" spans="1:3" hidden="1">
      <c r="A475" t="s">
        <v>1312</v>
      </c>
      <c r="B475">
        <v>26</v>
      </c>
      <c r="C475" t="s">
        <v>839</v>
      </c>
    </row>
    <row r="476" spans="1:3" hidden="1">
      <c r="A476" t="s">
        <v>1313</v>
      </c>
      <c r="B476">
        <v>26</v>
      </c>
      <c r="C476" t="s">
        <v>839</v>
      </c>
    </row>
    <row r="477" spans="1:3" hidden="1">
      <c r="A477" t="s">
        <v>1314</v>
      </c>
      <c r="B477">
        <v>26</v>
      </c>
      <c r="C477" t="s">
        <v>839</v>
      </c>
    </row>
    <row r="478" spans="1:3" hidden="1">
      <c r="A478" t="s">
        <v>1315</v>
      </c>
      <c r="B478">
        <v>95</v>
      </c>
      <c r="C478" t="s">
        <v>839</v>
      </c>
    </row>
    <row r="479" spans="1:3" hidden="1">
      <c r="A479" t="s">
        <v>1316</v>
      </c>
      <c r="B479">
        <v>26</v>
      </c>
      <c r="C479" t="s">
        <v>839</v>
      </c>
    </row>
    <row r="480" spans="1:3" hidden="1">
      <c r="A480" t="s">
        <v>1317</v>
      </c>
      <c r="B480">
        <v>26</v>
      </c>
      <c r="C480" t="s">
        <v>839</v>
      </c>
    </row>
    <row r="481" spans="1:3" hidden="1">
      <c r="A481" t="s">
        <v>1318</v>
      </c>
      <c r="B481">
        <v>26</v>
      </c>
      <c r="C481" t="s">
        <v>839</v>
      </c>
    </row>
    <row r="482" spans="1:3" hidden="1">
      <c r="A482" t="s">
        <v>1319</v>
      </c>
      <c r="B482">
        <v>26</v>
      </c>
      <c r="C482" t="s">
        <v>839</v>
      </c>
    </row>
    <row r="483" spans="1:3" hidden="1">
      <c r="A483" t="s">
        <v>1320</v>
      </c>
      <c r="B483">
        <v>26</v>
      </c>
      <c r="C483" t="s">
        <v>839</v>
      </c>
    </row>
    <row r="484" spans="1:3" hidden="1">
      <c r="A484" t="s">
        <v>1321</v>
      </c>
      <c r="B484">
        <v>26</v>
      </c>
      <c r="C484" t="s">
        <v>839</v>
      </c>
    </row>
    <row r="485" spans="1:3" hidden="1">
      <c r="A485" t="s">
        <v>1322</v>
      </c>
      <c r="B485">
        <v>26</v>
      </c>
      <c r="C485" t="s">
        <v>839</v>
      </c>
    </row>
    <row r="486" spans="1:3" hidden="1">
      <c r="A486" t="s">
        <v>1323</v>
      </c>
      <c r="B486">
        <v>93</v>
      </c>
      <c r="C486" t="s">
        <v>839</v>
      </c>
    </row>
    <row r="487" spans="1:3" hidden="1">
      <c r="A487" t="s">
        <v>1324</v>
      </c>
      <c r="B487">
        <v>48</v>
      </c>
      <c r="C487" t="s">
        <v>839</v>
      </c>
    </row>
    <row r="488" spans="1:3">
      <c r="A488" t="s">
        <v>1325</v>
      </c>
      <c r="B488">
        <v>83</v>
      </c>
      <c r="C488" t="s">
        <v>839</v>
      </c>
    </row>
    <row r="489" spans="1:3" hidden="1">
      <c r="A489" t="s">
        <v>1326</v>
      </c>
      <c r="B489">
        <v>49</v>
      </c>
      <c r="C489" t="s">
        <v>839</v>
      </c>
    </row>
    <row r="490" spans="1:3" hidden="1">
      <c r="A490" t="s">
        <v>1327</v>
      </c>
      <c r="B490">
        <v>49</v>
      </c>
      <c r="C490" t="s">
        <v>839</v>
      </c>
    </row>
    <row r="491" spans="1:3" hidden="1">
      <c r="A491" t="s">
        <v>1328</v>
      </c>
      <c r="B491">
        <v>26</v>
      </c>
      <c r="C491" t="s">
        <v>839</v>
      </c>
    </row>
    <row r="492" spans="1:3" hidden="1">
      <c r="A492" t="s">
        <v>1329</v>
      </c>
      <c r="B492">
        <v>26</v>
      </c>
      <c r="C492" t="s">
        <v>839</v>
      </c>
    </row>
    <row r="493" spans="1:3" hidden="1">
      <c r="A493" t="s">
        <v>1330</v>
      </c>
      <c r="B493">
        <v>26</v>
      </c>
      <c r="C493" t="s">
        <v>839</v>
      </c>
    </row>
    <row r="494" spans="1:3" hidden="1">
      <c r="A494" t="s">
        <v>1331</v>
      </c>
      <c r="B494">
        <v>49</v>
      </c>
      <c r="C494" t="s">
        <v>839</v>
      </c>
    </row>
    <row r="495" spans="1:3" hidden="1">
      <c r="A495" t="s">
        <v>1332</v>
      </c>
      <c r="B495">
        <v>49</v>
      </c>
      <c r="C495" t="s">
        <v>839</v>
      </c>
    </row>
    <row r="496" spans="1:3" hidden="1">
      <c r="A496" t="s">
        <v>1333</v>
      </c>
      <c r="B496">
        <v>26</v>
      </c>
      <c r="C496" t="s">
        <v>839</v>
      </c>
    </row>
    <row r="497" spans="1:3" hidden="1">
      <c r="A497" t="s">
        <v>1334</v>
      </c>
      <c r="B497">
        <v>37</v>
      </c>
      <c r="C497" t="s">
        <v>839</v>
      </c>
    </row>
    <row r="498" spans="1:3" hidden="1">
      <c r="A498" t="s">
        <v>1335</v>
      </c>
      <c r="B498">
        <v>31</v>
      </c>
      <c r="C498" t="s">
        <v>839</v>
      </c>
    </row>
    <row r="499" spans="1:3" hidden="1">
      <c r="A499" t="s">
        <v>1336</v>
      </c>
      <c r="B499">
        <v>94</v>
      </c>
      <c r="C499" t="s">
        <v>839</v>
      </c>
    </row>
    <row r="500" spans="1:3" hidden="1">
      <c r="A500" t="s">
        <v>1337</v>
      </c>
      <c r="B500">
        <v>37</v>
      </c>
      <c r="C500" t="s">
        <v>839</v>
      </c>
    </row>
    <row r="501" spans="1:3" hidden="1">
      <c r="A501" t="s">
        <v>1338</v>
      </c>
      <c r="B501">
        <v>37</v>
      </c>
      <c r="C501" t="s">
        <v>839</v>
      </c>
    </row>
    <row r="502" spans="1:3" hidden="1">
      <c r="A502" t="s">
        <v>1339</v>
      </c>
      <c r="B502">
        <v>37</v>
      </c>
      <c r="C502" t="s">
        <v>839</v>
      </c>
    </row>
    <row r="503" spans="1:3">
      <c r="A503" t="s">
        <v>1340</v>
      </c>
      <c r="B503">
        <v>83</v>
      </c>
      <c r="C503" t="s">
        <v>839</v>
      </c>
    </row>
    <row r="504" spans="1:3" hidden="1">
      <c r="A504" t="s">
        <v>1341</v>
      </c>
      <c r="B504">
        <v>59</v>
      </c>
      <c r="C504" t="s">
        <v>839</v>
      </c>
    </row>
    <row r="505" spans="1:3" hidden="1">
      <c r="A505" t="s">
        <v>1342</v>
      </c>
      <c r="B505">
        <v>59</v>
      </c>
      <c r="C505" t="s">
        <v>839</v>
      </c>
    </row>
    <row r="506" spans="1:3">
      <c r="A506" t="s">
        <v>1343</v>
      </c>
      <c r="B506">
        <v>83</v>
      </c>
      <c r="C506" t="s">
        <v>839</v>
      </c>
    </row>
    <row r="507" spans="1:3" hidden="1">
      <c r="A507" t="s">
        <v>1344</v>
      </c>
      <c r="B507">
        <v>72</v>
      </c>
      <c r="C507" t="s">
        <v>839</v>
      </c>
    </row>
    <row r="508" spans="1:3" hidden="1">
      <c r="A508" t="s">
        <v>2947</v>
      </c>
      <c r="B508">
        <v>90</v>
      </c>
      <c r="C508" t="s">
        <v>839</v>
      </c>
    </row>
    <row r="509" spans="1:3" hidden="1">
      <c r="A509" t="s">
        <v>1345</v>
      </c>
      <c r="B509">
        <v>37</v>
      </c>
      <c r="C509" t="s">
        <v>839</v>
      </c>
    </row>
    <row r="510" spans="1:3" hidden="1">
      <c r="A510" t="s">
        <v>1346</v>
      </c>
      <c r="B510">
        <v>2</v>
      </c>
      <c r="C510" t="s">
        <v>839</v>
      </c>
    </row>
    <row r="511" spans="1:3" hidden="1">
      <c r="A511" t="s">
        <v>1347</v>
      </c>
      <c r="B511">
        <v>2</v>
      </c>
      <c r="C511" t="s">
        <v>839</v>
      </c>
    </row>
    <row r="512" spans="1:3" hidden="1">
      <c r="A512" t="s">
        <v>1348</v>
      </c>
      <c r="B512">
        <v>2</v>
      </c>
      <c r="C512" t="s">
        <v>839</v>
      </c>
    </row>
    <row r="513" spans="1:3" hidden="1">
      <c r="A513" t="s">
        <v>1349</v>
      </c>
      <c r="B513">
        <v>2</v>
      </c>
      <c r="C513" t="s">
        <v>839</v>
      </c>
    </row>
    <row r="514" spans="1:3" hidden="1">
      <c r="A514" t="s">
        <v>1350</v>
      </c>
      <c r="B514">
        <v>2</v>
      </c>
      <c r="C514" t="s">
        <v>839</v>
      </c>
    </row>
    <row r="515" spans="1:3" hidden="1">
      <c r="A515" t="s">
        <v>1351</v>
      </c>
      <c r="B515">
        <v>93</v>
      </c>
      <c r="C515" t="s">
        <v>839</v>
      </c>
    </row>
    <row r="516" spans="1:3" hidden="1">
      <c r="A516" t="s">
        <v>1352</v>
      </c>
      <c r="B516">
        <v>6</v>
      </c>
      <c r="C516" t="s">
        <v>839</v>
      </c>
    </row>
    <row r="517" spans="1:3" hidden="1">
      <c r="A517" t="s">
        <v>1353</v>
      </c>
      <c r="B517">
        <v>49</v>
      </c>
      <c r="C517" t="s">
        <v>839</v>
      </c>
    </row>
    <row r="518" spans="1:3" hidden="1">
      <c r="A518" t="s">
        <v>1354</v>
      </c>
      <c r="B518">
        <v>49</v>
      </c>
      <c r="C518" t="s">
        <v>839</v>
      </c>
    </row>
    <row r="519" spans="1:3" hidden="1">
      <c r="A519" t="s">
        <v>1355</v>
      </c>
      <c r="B519">
        <v>72</v>
      </c>
      <c r="C519" t="s">
        <v>839</v>
      </c>
    </row>
    <row r="520" spans="1:3" hidden="1">
      <c r="A520" t="s">
        <v>1356</v>
      </c>
      <c r="B520">
        <v>65</v>
      </c>
      <c r="C520" t="s">
        <v>839</v>
      </c>
    </row>
    <row r="521" spans="1:3" hidden="1">
      <c r="A521" t="s">
        <v>1357</v>
      </c>
      <c r="B521">
        <v>68</v>
      </c>
      <c r="C521" t="s">
        <v>839</v>
      </c>
    </row>
    <row r="522" spans="1:3" hidden="1">
      <c r="A522" t="s">
        <v>1358</v>
      </c>
      <c r="B522">
        <v>71</v>
      </c>
      <c r="C522" t="s">
        <v>839</v>
      </c>
    </row>
    <row r="523" spans="1:3" hidden="1">
      <c r="A523" t="s">
        <v>1359</v>
      </c>
      <c r="B523">
        <v>65</v>
      </c>
      <c r="C523" t="s">
        <v>839</v>
      </c>
    </row>
    <row r="524" spans="1:3" hidden="1">
      <c r="A524" t="s">
        <v>1360</v>
      </c>
      <c r="B524">
        <v>71</v>
      </c>
      <c r="C524" t="s">
        <v>839</v>
      </c>
    </row>
    <row r="525" spans="1:3" hidden="1">
      <c r="A525" t="s">
        <v>1361</v>
      </c>
      <c r="B525">
        <v>90</v>
      </c>
      <c r="C525" t="s">
        <v>839</v>
      </c>
    </row>
    <row r="526" spans="1:3" hidden="1">
      <c r="A526" t="s">
        <v>1362</v>
      </c>
      <c r="B526">
        <v>72</v>
      </c>
      <c r="C526" t="s">
        <v>839</v>
      </c>
    </row>
    <row r="527" spans="1:3" hidden="1">
      <c r="A527" t="s">
        <v>1363</v>
      </c>
      <c r="B527">
        <v>72</v>
      </c>
      <c r="C527" t="s">
        <v>839</v>
      </c>
    </row>
    <row r="528" spans="1:3" hidden="1">
      <c r="A528" t="s">
        <v>1364</v>
      </c>
      <c r="B528">
        <v>72</v>
      </c>
      <c r="C528" t="s">
        <v>839</v>
      </c>
    </row>
    <row r="529" spans="1:7" hidden="1">
      <c r="A529" t="s">
        <v>1365</v>
      </c>
      <c r="B529">
        <v>72</v>
      </c>
      <c r="C529" t="s">
        <v>839</v>
      </c>
    </row>
    <row r="530" spans="1:7" hidden="1">
      <c r="A530" t="s">
        <v>1366</v>
      </c>
      <c r="B530">
        <v>72</v>
      </c>
      <c r="C530" t="s">
        <v>839</v>
      </c>
    </row>
    <row r="531" spans="1:7" hidden="1">
      <c r="A531" t="s">
        <v>1367</v>
      </c>
      <c r="B531">
        <v>66</v>
      </c>
      <c r="C531" t="s">
        <v>839</v>
      </c>
    </row>
    <row r="532" spans="1:7" hidden="1">
      <c r="A532" t="s">
        <v>1368</v>
      </c>
      <c r="B532">
        <v>72</v>
      </c>
      <c r="C532" t="s">
        <v>839</v>
      </c>
    </row>
    <row r="533" spans="1:7" hidden="1">
      <c r="A533" t="s">
        <v>1369</v>
      </c>
      <c r="B533">
        <v>72</v>
      </c>
      <c r="C533" t="s">
        <v>839</v>
      </c>
    </row>
    <row r="534" spans="1:7" hidden="1">
      <c r="A534" t="s">
        <v>1370</v>
      </c>
      <c r="B534">
        <v>93</v>
      </c>
      <c r="C534" t="s">
        <v>839</v>
      </c>
    </row>
    <row r="535" spans="1:7" hidden="1">
      <c r="A535" t="s">
        <v>1371</v>
      </c>
      <c r="B535">
        <v>93</v>
      </c>
      <c r="C535" t="s">
        <v>839</v>
      </c>
    </row>
    <row r="536" spans="1:7" hidden="1">
      <c r="A536" t="s">
        <v>1372</v>
      </c>
      <c r="B536">
        <v>71</v>
      </c>
      <c r="C536" t="s">
        <v>839</v>
      </c>
    </row>
    <row r="537" spans="1:7">
      <c r="A537" t="s">
        <v>1373</v>
      </c>
      <c r="B537">
        <v>83</v>
      </c>
      <c r="C537" t="s">
        <v>839</v>
      </c>
      <c r="G537" s="57" t="s">
        <v>3013</v>
      </c>
    </row>
    <row r="538" spans="1:7" hidden="1">
      <c r="A538" t="s">
        <v>1374</v>
      </c>
      <c r="B538">
        <v>95</v>
      </c>
      <c r="C538" t="s">
        <v>839</v>
      </c>
    </row>
    <row r="539" spans="1:7" hidden="1">
      <c r="A539" t="s">
        <v>1432</v>
      </c>
      <c r="B539">
        <v>94</v>
      </c>
      <c r="C539" t="s">
        <v>839</v>
      </c>
    </row>
    <row r="540" spans="1:7" hidden="1">
      <c r="A540" t="s">
        <v>1375</v>
      </c>
      <c r="B540">
        <v>37</v>
      </c>
      <c r="C540" t="s">
        <v>839</v>
      </c>
    </row>
    <row r="541" spans="1:7" hidden="1">
      <c r="A541" t="s">
        <v>1376</v>
      </c>
      <c r="B541">
        <v>49</v>
      </c>
      <c r="C541" t="s">
        <v>839</v>
      </c>
    </row>
    <row r="542" spans="1:7" hidden="1">
      <c r="A542" t="s">
        <v>1377</v>
      </c>
      <c r="B542">
        <v>95</v>
      </c>
      <c r="C542" t="s">
        <v>839</v>
      </c>
    </row>
    <row r="543" spans="1:7" hidden="1">
      <c r="A543" t="s">
        <v>1378</v>
      </c>
      <c r="B543">
        <v>37</v>
      </c>
      <c r="C543" t="s">
        <v>839</v>
      </c>
    </row>
    <row r="544" spans="1:7" hidden="1">
      <c r="A544" t="s">
        <v>1379</v>
      </c>
      <c r="B544">
        <v>49</v>
      </c>
      <c r="C544" t="s">
        <v>839</v>
      </c>
    </row>
    <row r="545" spans="1:3" hidden="1">
      <c r="A545" t="s">
        <v>1380</v>
      </c>
      <c r="B545">
        <v>49</v>
      </c>
      <c r="C545" t="s">
        <v>839</v>
      </c>
    </row>
    <row r="546" spans="1:3" hidden="1">
      <c r="A546" t="s">
        <v>1381</v>
      </c>
      <c r="B546">
        <v>93</v>
      </c>
      <c r="C546" t="s">
        <v>839</v>
      </c>
    </row>
    <row r="547" spans="1:3" hidden="1">
      <c r="A547" t="s">
        <v>1382</v>
      </c>
      <c r="B547">
        <v>48</v>
      </c>
      <c r="C547" t="s">
        <v>839</v>
      </c>
    </row>
    <row r="548" spans="1:3" hidden="1">
      <c r="A548" t="s">
        <v>1383</v>
      </c>
      <c r="B548">
        <v>49</v>
      </c>
      <c r="C548" t="s">
        <v>839</v>
      </c>
    </row>
    <row r="549" spans="1:3" hidden="1">
      <c r="A549" t="s">
        <v>1384</v>
      </c>
      <c r="B549">
        <v>48</v>
      </c>
      <c r="C549" t="s">
        <v>839</v>
      </c>
    </row>
    <row r="550" spans="1:3" hidden="1">
      <c r="A550" t="s">
        <v>1385</v>
      </c>
      <c r="B550">
        <v>49</v>
      </c>
      <c r="C550" t="s">
        <v>839</v>
      </c>
    </row>
    <row r="551" spans="1:3" hidden="1">
      <c r="A551" t="s">
        <v>1386</v>
      </c>
      <c r="B551">
        <v>89</v>
      </c>
      <c r="C551" t="s">
        <v>839</v>
      </c>
    </row>
    <row r="552" spans="1:3" hidden="1">
      <c r="A552" t="s">
        <v>1387</v>
      </c>
      <c r="B552">
        <v>9</v>
      </c>
      <c r="C552" t="s">
        <v>839</v>
      </c>
    </row>
    <row r="553" spans="1:3" hidden="1">
      <c r="A553" t="s">
        <v>1388</v>
      </c>
      <c r="B553">
        <v>95</v>
      </c>
      <c r="C553" t="s">
        <v>839</v>
      </c>
    </row>
    <row r="554" spans="1:3" hidden="1">
      <c r="A554" t="s">
        <v>1389</v>
      </c>
      <c r="B554">
        <v>80</v>
      </c>
      <c r="C554" t="s">
        <v>839</v>
      </c>
    </row>
    <row r="555" spans="1:3" hidden="1">
      <c r="A555" t="s">
        <v>1390</v>
      </c>
      <c r="B555">
        <v>80</v>
      </c>
      <c r="C555" t="s">
        <v>839</v>
      </c>
    </row>
    <row r="556" spans="1:3" hidden="1">
      <c r="A556" t="s">
        <v>1391</v>
      </c>
      <c r="B556">
        <v>80</v>
      </c>
      <c r="C556" t="s">
        <v>839</v>
      </c>
    </row>
    <row r="557" spans="1:3" hidden="1">
      <c r="A557" t="s">
        <v>1392</v>
      </c>
      <c r="B557">
        <v>11</v>
      </c>
      <c r="C557" t="s">
        <v>839</v>
      </c>
    </row>
    <row r="558" spans="1:3" hidden="1">
      <c r="A558" t="s">
        <v>1393</v>
      </c>
      <c r="B558">
        <v>82</v>
      </c>
      <c r="C558" t="s">
        <v>839</v>
      </c>
    </row>
    <row r="559" spans="1:3" hidden="1">
      <c r="A559" t="s">
        <v>1394</v>
      </c>
      <c r="B559">
        <v>82</v>
      </c>
      <c r="C559" t="s">
        <v>839</v>
      </c>
    </row>
    <row r="560" spans="1:3" hidden="1">
      <c r="A560" t="s">
        <v>1395</v>
      </c>
      <c r="B560">
        <v>82</v>
      </c>
      <c r="C560" t="s">
        <v>839</v>
      </c>
    </row>
    <row r="561" spans="1:3" hidden="1">
      <c r="A561" t="s">
        <v>1396</v>
      </c>
      <c r="B561">
        <v>82</v>
      </c>
      <c r="C561" t="s">
        <v>839</v>
      </c>
    </row>
    <row r="562" spans="1:3" hidden="1">
      <c r="A562" t="s">
        <v>1397</v>
      </c>
      <c r="B562">
        <v>6</v>
      </c>
      <c r="C562" t="s">
        <v>839</v>
      </c>
    </row>
    <row r="563" spans="1:3" hidden="1">
      <c r="A563" t="s">
        <v>1398</v>
      </c>
      <c r="B563">
        <v>82</v>
      </c>
      <c r="C563" t="s">
        <v>839</v>
      </c>
    </row>
    <row r="564" spans="1:3" hidden="1">
      <c r="A564" t="s">
        <v>1399</v>
      </c>
      <c r="B564">
        <v>19</v>
      </c>
      <c r="C564" t="s">
        <v>839</v>
      </c>
    </row>
    <row r="565" spans="1:3" hidden="1">
      <c r="A565" t="s">
        <v>1400</v>
      </c>
      <c r="B565">
        <v>6</v>
      </c>
      <c r="C565" t="s">
        <v>839</v>
      </c>
    </row>
    <row r="566" spans="1:3" hidden="1">
      <c r="A566" t="s">
        <v>1401</v>
      </c>
      <c r="B566">
        <v>6</v>
      </c>
      <c r="C566" t="s">
        <v>839</v>
      </c>
    </row>
    <row r="567" spans="1:3" hidden="1">
      <c r="A567" t="s">
        <v>1402</v>
      </c>
      <c r="B567">
        <v>27</v>
      </c>
      <c r="C567" t="s">
        <v>839</v>
      </c>
    </row>
    <row r="568" spans="1:3" hidden="1">
      <c r="A568" t="s">
        <v>1403</v>
      </c>
      <c r="B568">
        <v>72</v>
      </c>
      <c r="C568" t="s">
        <v>839</v>
      </c>
    </row>
    <row r="569" spans="1:3" hidden="1">
      <c r="A569" t="s">
        <v>1404</v>
      </c>
      <c r="B569">
        <v>72</v>
      </c>
      <c r="C569" t="s">
        <v>839</v>
      </c>
    </row>
    <row r="570" spans="1:3" hidden="1">
      <c r="A570" t="s">
        <v>1405</v>
      </c>
      <c r="B570">
        <v>18</v>
      </c>
      <c r="C570" t="s">
        <v>839</v>
      </c>
    </row>
    <row r="571" spans="1:3" hidden="1">
      <c r="A571" t="s">
        <v>1406</v>
      </c>
      <c r="B571">
        <v>72</v>
      </c>
      <c r="C571" t="s">
        <v>839</v>
      </c>
    </row>
    <row r="572" spans="1:3" hidden="1">
      <c r="A572" t="s">
        <v>1407</v>
      </c>
      <c r="B572">
        <v>5</v>
      </c>
      <c r="C572" t="s">
        <v>839</v>
      </c>
    </row>
    <row r="573" spans="1:3" hidden="1">
      <c r="A573" t="s">
        <v>1408</v>
      </c>
      <c r="B573">
        <v>17</v>
      </c>
      <c r="C573" t="s">
        <v>839</v>
      </c>
    </row>
    <row r="574" spans="1:3" hidden="1">
      <c r="A574" t="s">
        <v>1409</v>
      </c>
      <c r="B574">
        <v>17</v>
      </c>
      <c r="C574" t="s">
        <v>839</v>
      </c>
    </row>
    <row r="575" spans="1:3" hidden="1">
      <c r="A575" t="s">
        <v>1410</v>
      </c>
      <c r="B575">
        <v>12</v>
      </c>
      <c r="C575" t="s">
        <v>839</v>
      </c>
    </row>
    <row r="576" spans="1:3">
      <c r="A576" t="s">
        <v>1411</v>
      </c>
      <c r="B576">
        <v>83</v>
      </c>
      <c r="C576" t="s">
        <v>839</v>
      </c>
    </row>
    <row r="577" spans="1:3" hidden="1">
      <c r="A577" t="s">
        <v>1412</v>
      </c>
      <c r="B577">
        <v>12</v>
      </c>
      <c r="C577" t="s">
        <v>839</v>
      </c>
    </row>
    <row r="578" spans="1:3" hidden="1">
      <c r="A578" t="s">
        <v>1413</v>
      </c>
      <c r="B578">
        <v>89</v>
      </c>
      <c r="C578" t="s">
        <v>839</v>
      </c>
    </row>
    <row r="579" spans="1:3" hidden="1">
      <c r="A579" t="s">
        <v>1414</v>
      </c>
      <c r="B579">
        <v>51</v>
      </c>
      <c r="C579" t="s">
        <v>839</v>
      </c>
    </row>
    <row r="580" spans="1:3" hidden="1">
      <c r="A580" t="s">
        <v>1415</v>
      </c>
      <c r="B580">
        <v>41</v>
      </c>
      <c r="C580" t="s">
        <v>839</v>
      </c>
    </row>
    <row r="581" spans="1:3" hidden="1">
      <c r="A581" t="s">
        <v>1416</v>
      </c>
      <c r="B581">
        <v>52</v>
      </c>
      <c r="C581" t="s">
        <v>839</v>
      </c>
    </row>
    <row r="582" spans="1:3" hidden="1">
      <c r="A582" t="s">
        <v>1417</v>
      </c>
      <c r="B582">
        <v>24</v>
      </c>
      <c r="C582" t="s">
        <v>839</v>
      </c>
    </row>
    <row r="583" spans="1:3" hidden="1">
      <c r="A583" t="s">
        <v>1418</v>
      </c>
      <c r="B583">
        <v>41</v>
      </c>
      <c r="C583" t="s">
        <v>839</v>
      </c>
    </row>
    <row r="584" spans="1:3" hidden="1">
      <c r="A584" t="s">
        <v>1419</v>
      </c>
      <c r="B584">
        <v>16</v>
      </c>
      <c r="C584" t="s">
        <v>839</v>
      </c>
    </row>
    <row r="585" spans="1:3" hidden="1">
      <c r="A585" t="s">
        <v>1420</v>
      </c>
      <c r="B585">
        <v>16</v>
      </c>
      <c r="C585" t="s">
        <v>839</v>
      </c>
    </row>
    <row r="586" spans="1:3" hidden="1">
      <c r="A586" t="s">
        <v>1421</v>
      </c>
      <c r="B586">
        <v>84</v>
      </c>
      <c r="C586" t="s">
        <v>839</v>
      </c>
    </row>
    <row r="587" spans="1:3" hidden="1">
      <c r="A587" t="s">
        <v>1422</v>
      </c>
      <c r="B587">
        <v>40</v>
      </c>
      <c r="C587" t="s">
        <v>839</v>
      </c>
    </row>
    <row r="588" spans="1:3" hidden="1">
      <c r="A588" t="s">
        <v>1423</v>
      </c>
      <c r="B588">
        <v>40</v>
      </c>
      <c r="C588" t="s">
        <v>839</v>
      </c>
    </row>
    <row r="589" spans="1:3" hidden="1">
      <c r="A589" t="s">
        <v>1424</v>
      </c>
      <c r="B589">
        <v>40</v>
      </c>
      <c r="C589" t="s">
        <v>839</v>
      </c>
    </row>
    <row r="590" spans="1:3" hidden="1">
      <c r="A590" t="s">
        <v>1425</v>
      </c>
      <c r="B590">
        <v>95</v>
      </c>
      <c r="C590" t="s">
        <v>839</v>
      </c>
    </row>
    <row r="591" spans="1:3" hidden="1">
      <c r="A591" t="s">
        <v>1426</v>
      </c>
      <c r="B591">
        <v>95</v>
      </c>
      <c r="C591" t="s">
        <v>839</v>
      </c>
    </row>
    <row r="592" spans="1:3">
      <c r="A592" t="s">
        <v>1427</v>
      </c>
      <c r="B592">
        <v>83</v>
      </c>
      <c r="C592" t="s">
        <v>839</v>
      </c>
    </row>
    <row r="593" spans="1:3" hidden="1">
      <c r="A593" t="s">
        <v>1428</v>
      </c>
      <c r="B593">
        <v>37</v>
      </c>
      <c r="C593" t="s">
        <v>839</v>
      </c>
    </row>
    <row r="594" spans="1:3" hidden="1">
      <c r="A594" t="s">
        <v>1429</v>
      </c>
      <c r="B594">
        <v>27</v>
      </c>
      <c r="C594" t="s">
        <v>839</v>
      </c>
    </row>
    <row r="595" spans="1:3" hidden="1">
      <c r="A595" t="s">
        <v>1430</v>
      </c>
      <c r="B595">
        <v>60</v>
      </c>
      <c r="C595" t="s">
        <v>839</v>
      </c>
    </row>
    <row r="596" spans="1:3" hidden="1">
      <c r="A596" t="s">
        <v>1431</v>
      </c>
      <c r="B596">
        <v>27</v>
      </c>
      <c r="C596" t="s">
        <v>839</v>
      </c>
    </row>
    <row r="597" spans="1:3" hidden="1">
      <c r="A597" t="s">
        <v>1433</v>
      </c>
      <c r="B597">
        <v>51</v>
      </c>
      <c r="C597" t="s">
        <v>839</v>
      </c>
    </row>
    <row r="598" spans="1:3" hidden="1">
      <c r="A598" t="s">
        <v>1434</v>
      </c>
      <c r="B598">
        <v>48</v>
      </c>
      <c r="C598" t="s">
        <v>839</v>
      </c>
    </row>
    <row r="599" spans="1:3" hidden="1">
      <c r="A599" t="s">
        <v>1435</v>
      </c>
      <c r="B599">
        <v>37</v>
      </c>
      <c r="C599" t="s">
        <v>839</v>
      </c>
    </row>
    <row r="600" spans="1:3" hidden="1">
      <c r="A600" t="s">
        <v>1436</v>
      </c>
      <c r="B600">
        <v>37</v>
      </c>
      <c r="C600" t="s">
        <v>839</v>
      </c>
    </row>
    <row r="601" spans="1:3" hidden="1">
      <c r="A601" t="s">
        <v>1437</v>
      </c>
      <c r="B601">
        <v>48</v>
      </c>
      <c r="C601" t="s">
        <v>839</v>
      </c>
    </row>
    <row r="602" spans="1:3" hidden="1">
      <c r="A602" t="s">
        <v>1438</v>
      </c>
      <c r="B602">
        <v>93</v>
      </c>
      <c r="C602" t="s">
        <v>839</v>
      </c>
    </row>
    <row r="603" spans="1:3" hidden="1">
      <c r="A603" t="s">
        <v>1439</v>
      </c>
      <c r="B603">
        <v>93</v>
      </c>
      <c r="C603" t="s">
        <v>839</v>
      </c>
    </row>
    <row r="604" spans="1:3" hidden="1">
      <c r="A604" t="s">
        <v>1440</v>
      </c>
      <c r="B604">
        <v>49</v>
      </c>
      <c r="C604" t="s">
        <v>839</v>
      </c>
    </row>
    <row r="605" spans="1:3" hidden="1">
      <c r="A605" t="s">
        <v>1441</v>
      </c>
      <c r="B605">
        <v>37</v>
      </c>
      <c r="C605" t="s">
        <v>839</v>
      </c>
    </row>
    <row r="606" spans="1:3" hidden="1">
      <c r="A606" t="s">
        <v>1442</v>
      </c>
      <c r="B606">
        <v>79</v>
      </c>
      <c r="C606" t="s">
        <v>839</v>
      </c>
    </row>
    <row r="607" spans="1:3" hidden="1">
      <c r="A607" t="s">
        <v>1443</v>
      </c>
      <c r="B607">
        <v>95</v>
      </c>
      <c r="C607" t="s">
        <v>839</v>
      </c>
    </row>
    <row r="608" spans="1:3" hidden="1">
      <c r="A608" t="s">
        <v>1444</v>
      </c>
      <c r="B608">
        <v>62</v>
      </c>
      <c r="C608" t="s">
        <v>839</v>
      </c>
    </row>
    <row r="609" spans="1:3" hidden="1">
      <c r="A609" t="s">
        <v>1445</v>
      </c>
      <c r="B609">
        <v>62</v>
      </c>
      <c r="C609" t="s">
        <v>839</v>
      </c>
    </row>
    <row r="610" spans="1:3" hidden="1">
      <c r="A610" t="s">
        <v>1446</v>
      </c>
      <c r="B610">
        <v>41</v>
      </c>
      <c r="C610" t="s">
        <v>839</v>
      </c>
    </row>
    <row r="611" spans="1:3" hidden="1">
      <c r="A611" t="s">
        <v>1447</v>
      </c>
      <c r="B611">
        <v>37</v>
      </c>
      <c r="C611" t="s">
        <v>839</v>
      </c>
    </row>
    <row r="612" spans="1:3" hidden="1">
      <c r="A612" t="s">
        <v>1448</v>
      </c>
      <c r="B612">
        <v>62</v>
      </c>
      <c r="C612" t="s">
        <v>839</v>
      </c>
    </row>
    <row r="613" spans="1:3" hidden="1">
      <c r="A613" t="s">
        <v>1449</v>
      </c>
      <c r="B613">
        <v>94</v>
      </c>
      <c r="C613" t="s">
        <v>839</v>
      </c>
    </row>
    <row r="614" spans="1:3" hidden="1">
      <c r="A614" t="s">
        <v>1450</v>
      </c>
      <c r="B614">
        <v>71</v>
      </c>
      <c r="C614" t="s">
        <v>839</v>
      </c>
    </row>
    <row r="615" spans="1:3" hidden="1">
      <c r="A615" t="s">
        <v>1451</v>
      </c>
      <c r="B615">
        <v>65</v>
      </c>
      <c r="C615" t="s">
        <v>839</v>
      </c>
    </row>
    <row r="616" spans="1:3" hidden="1">
      <c r="A616" t="s">
        <v>1452</v>
      </c>
      <c r="B616">
        <v>72</v>
      </c>
      <c r="C616" t="s">
        <v>839</v>
      </c>
    </row>
    <row r="617" spans="1:3" hidden="1">
      <c r="A617" t="s">
        <v>1453</v>
      </c>
      <c r="B617">
        <v>5</v>
      </c>
      <c r="C617" t="s">
        <v>839</v>
      </c>
    </row>
    <row r="618" spans="1:3" hidden="1">
      <c r="A618" t="s">
        <v>1454</v>
      </c>
      <c r="B618">
        <v>95</v>
      </c>
      <c r="C618" t="s">
        <v>839</v>
      </c>
    </row>
    <row r="619" spans="1:3" hidden="1">
      <c r="A619" t="s">
        <v>1455</v>
      </c>
      <c r="B619">
        <v>37</v>
      </c>
      <c r="C619" t="s">
        <v>839</v>
      </c>
    </row>
    <row r="620" spans="1:3" hidden="1">
      <c r="A620" t="s">
        <v>1456</v>
      </c>
      <c r="B620">
        <v>59</v>
      </c>
      <c r="C620" t="s">
        <v>839</v>
      </c>
    </row>
    <row r="621" spans="1:3" hidden="1">
      <c r="A621" t="s">
        <v>1457</v>
      </c>
      <c r="B621">
        <v>43</v>
      </c>
      <c r="C621" t="s">
        <v>839</v>
      </c>
    </row>
    <row r="622" spans="1:3" hidden="1">
      <c r="A622" t="s">
        <v>1458</v>
      </c>
      <c r="B622">
        <v>72</v>
      </c>
      <c r="C622" t="s">
        <v>839</v>
      </c>
    </row>
    <row r="623" spans="1:3" hidden="1">
      <c r="A623" t="s">
        <v>1459</v>
      </c>
      <c r="B623">
        <v>90</v>
      </c>
      <c r="C623" t="s">
        <v>839</v>
      </c>
    </row>
    <row r="624" spans="1:3" hidden="1">
      <c r="A624" t="s">
        <v>1460</v>
      </c>
      <c r="B624">
        <v>72</v>
      </c>
      <c r="C624" t="s">
        <v>839</v>
      </c>
    </row>
    <row r="625" spans="1:3" hidden="1">
      <c r="A625" t="s">
        <v>1461</v>
      </c>
      <c r="B625">
        <v>72</v>
      </c>
      <c r="C625" t="s">
        <v>839</v>
      </c>
    </row>
    <row r="626" spans="1:3" hidden="1">
      <c r="A626" t="s">
        <v>1462</v>
      </c>
      <c r="B626">
        <v>66</v>
      </c>
      <c r="C626" t="s">
        <v>839</v>
      </c>
    </row>
    <row r="627" spans="1:3" hidden="1">
      <c r="A627" t="s">
        <v>1463</v>
      </c>
      <c r="B627">
        <v>37</v>
      </c>
      <c r="C627" t="s">
        <v>839</v>
      </c>
    </row>
    <row r="628" spans="1:3" hidden="1">
      <c r="A628" t="s">
        <v>1464</v>
      </c>
      <c r="B628">
        <v>95</v>
      </c>
      <c r="C628" t="s">
        <v>839</v>
      </c>
    </row>
    <row r="629" spans="1:3" hidden="1">
      <c r="A629" t="s">
        <v>1465</v>
      </c>
      <c r="B629">
        <v>16</v>
      </c>
      <c r="C629" t="s">
        <v>839</v>
      </c>
    </row>
    <row r="630" spans="1:3" hidden="1">
      <c r="A630" t="s">
        <v>1466</v>
      </c>
      <c r="B630">
        <v>84</v>
      </c>
      <c r="C630" t="s">
        <v>839</v>
      </c>
    </row>
    <row r="631" spans="1:3" hidden="1">
      <c r="A631" t="s">
        <v>1467</v>
      </c>
      <c r="B631">
        <v>84</v>
      </c>
      <c r="C631" t="s">
        <v>839</v>
      </c>
    </row>
    <row r="632" spans="1:3" hidden="1">
      <c r="A632" t="s">
        <v>1468</v>
      </c>
      <c r="B632">
        <v>30</v>
      </c>
      <c r="C632" t="s">
        <v>839</v>
      </c>
    </row>
    <row r="633" spans="1:3" hidden="1">
      <c r="A633" t="s">
        <v>1469</v>
      </c>
      <c r="B633">
        <v>93</v>
      </c>
      <c r="C633" t="s">
        <v>839</v>
      </c>
    </row>
    <row r="634" spans="1:3" hidden="1">
      <c r="A634" t="s">
        <v>1470</v>
      </c>
      <c r="B634">
        <v>93</v>
      </c>
      <c r="C634" t="s">
        <v>839</v>
      </c>
    </row>
    <row r="635" spans="1:3" hidden="1">
      <c r="A635" t="s">
        <v>1471</v>
      </c>
      <c r="B635">
        <v>10</v>
      </c>
      <c r="C635" t="s">
        <v>839</v>
      </c>
    </row>
    <row r="636" spans="1:3" hidden="1">
      <c r="A636" t="s">
        <v>1472</v>
      </c>
      <c r="B636">
        <v>10</v>
      </c>
      <c r="C636" t="s">
        <v>839</v>
      </c>
    </row>
    <row r="637" spans="1:3" hidden="1">
      <c r="A637" t="s">
        <v>1473</v>
      </c>
      <c r="B637">
        <v>95</v>
      </c>
      <c r="C637" t="s">
        <v>839</v>
      </c>
    </row>
    <row r="638" spans="1:3" hidden="1">
      <c r="A638" t="s">
        <v>1474</v>
      </c>
      <c r="B638">
        <v>81</v>
      </c>
      <c r="C638" t="s">
        <v>839</v>
      </c>
    </row>
    <row r="639" spans="1:3" hidden="1">
      <c r="A639" t="s">
        <v>1475</v>
      </c>
      <c r="B639">
        <v>72</v>
      </c>
      <c r="C639" t="s">
        <v>839</v>
      </c>
    </row>
    <row r="640" spans="1:3" hidden="1">
      <c r="A640" t="s">
        <v>1476</v>
      </c>
      <c r="B640">
        <v>37</v>
      </c>
      <c r="C640" t="s">
        <v>839</v>
      </c>
    </row>
    <row r="641" spans="1:3" hidden="1">
      <c r="A641" t="s">
        <v>1477</v>
      </c>
      <c r="B641">
        <v>72</v>
      </c>
      <c r="C641" t="s">
        <v>839</v>
      </c>
    </row>
    <row r="642" spans="1:3" hidden="1">
      <c r="A642" t="s">
        <v>1478</v>
      </c>
      <c r="B642">
        <v>95</v>
      </c>
      <c r="C642" t="s">
        <v>839</v>
      </c>
    </row>
    <row r="643" spans="1:3" hidden="1">
      <c r="A643" t="s">
        <v>1479</v>
      </c>
      <c r="B643">
        <v>95</v>
      </c>
      <c r="C643" t="s">
        <v>839</v>
      </c>
    </row>
    <row r="644" spans="1:3" hidden="1">
      <c r="A644" t="s">
        <v>1480</v>
      </c>
      <c r="B644">
        <v>27</v>
      </c>
      <c r="C644" t="s">
        <v>839</v>
      </c>
    </row>
    <row r="645" spans="1:3" hidden="1">
      <c r="A645" t="s">
        <v>1481</v>
      </c>
      <c r="B645">
        <v>27</v>
      </c>
      <c r="C645" t="s">
        <v>839</v>
      </c>
    </row>
    <row r="646" spans="1:3" hidden="1">
      <c r="A646" t="s">
        <v>1482</v>
      </c>
      <c r="B646">
        <v>27</v>
      </c>
      <c r="C646" t="s">
        <v>839</v>
      </c>
    </row>
    <row r="647" spans="1:3" hidden="1">
      <c r="A647" t="s">
        <v>1483</v>
      </c>
      <c r="B647">
        <v>53</v>
      </c>
      <c r="C647" t="s">
        <v>839</v>
      </c>
    </row>
    <row r="648" spans="1:3" hidden="1">
      <c r="A648" t="s">
        <v>1484</v>
      </c>
      <c r="B648">
        <v>95</v>
      </c>
      <c r="C648" t="s">
        <v>839</v>
      </c>
    </row>
    <row r="649" spans="1:3" hidden="1">
      <c r="A649" t="s">
        <v>1485</v>
      </c>
      <c r="B649">
        <v>95</v>
      </c>
      <c r="C649" t="s">
        <v>839</v>
      </c>
    </row>
    <row r="650" spans="1:3" hidden="1">
      <c r="A650" t="s">
        <v>1486</v>
      </c>
      <c r="B650">
        <v>12</v>
      </c>
      <c r="C650" t="s">
        <v>839</v>
      </c>
    </row>
    <row r="651" spans="1:3" hidden="1">
      <c r="A651" t="s">
        <v>1487</v>
      </c>
      <c r="B651">
        <v>28</v>
      </c>
      <c r="C651" t="s">
        <v>839</v>
      </c>
    </row>
    <row r="652" spans="1:3" hidden="1">
      <c r="A652" t="s">
        <v>1488</v>
      </c>
      <c r="B652">
        <v>28</v>
      </c>
      <c r="C652" t="s">
        <v>839</v>
      </c>
    </row>
    <row r="653" spans="1:3" hidden="1">
      <c r="A653" t="s">
        <v>1489</v>
      </c>
      <c r="B653">
        <v>28</v>
      </c>
      <c r="C653" t="s">
        <v>839</v>
      </c>
    </row>
    <row r="654" spans="1:3" hidden="1">
      <c r="A654" t="s">
        <v>1490</v>
      </c>
      <c r="B654">
        <v>28</v>
      </c>
      <c r="C654" t="s">
        <v>839</v>
      </c>
    </row>
    <row r="655" spans="1:3" hidden="1">
      <c r="A655" t="s">
        <v>1491</v>
      </c>
      <c r="B655">
        <v>95</v>
      </c>
      <c r="C655" t="s">
        <v>839</v>
      </c>
    </row>
    <row r="656" spans="1:3" hidden="1">
      <c r="A656" t="s">
        <v>1492</v>
      </c>
      <c r="B656">
        <v>31</v>
      </c>
      <c r="C656" t="s">
        <v>839</v>
      </c>
    </row>
    <row r="657" spans="1:3" hidden="1">
      <c r="A657" t="s">
        <v>1493</v>
      </c>
      <c r="B657">
        <v>37</v>
      </c>
      <c r="C657" t="s">
        <v>839</v>
      </c>
    </row>
    <row r="658" spans="1:3" hidden="1">
      <c r="A658" t="s">
        <v>1494</v>
      </c>
      <c r="B658">
        <v>37</v>
      </c>
      <c r="C658" t="s">
        <v>839</v>
      </c>
    </row>
    <row r="659" spans="1:3" hidden="1">
      <c r="A659" t="s">
        <v>1495</v>
      </c>
      <c r="B659">
        <v>95</v>
      </c>
      <c r="C659" t="s">
        <v>839</v>
      </c>
    </row>
    <row r="660" spans="1:3" hidden="1">
      <c r="A660" t="s">
        <v>1496</v>
      </c>
      <c r="B660">
        <v>30</v>
      </c>
      <c r="C660" t="s">
        <v>839</v>
      </c>
    </row>
    <row r="661" spans="1:3" hidden="1">
      <c r="A661" t="s">
        <v>1497</v>
      </c>
      <c r="B661">
        <v>86</v>
      </c>
      <c r="C661" t="s">
        <v>839</v>
      </c>
    </row>
    <row r="662" spans="1:3" hidden="1">
      <c r="A662" t="s">
        <v>1498</v>
      </c>
      <c r="B662">
        <v>86</v>
      </c>
      <c r="C662" t="s">
        <v>839</v>
      </c>
    </row>
    <row r="663" spans="1:3" hidden="1">
      <c r="A663" t="s">
        <v>1499</v>
      </c>
      <c r="B663">
        <v>10</v>
      </c>
      <c r="C663" t="s">
        <v>839</v>
      </c>
    </row>
    <row r="664" spans="1:3" hidden="1">
      <c r="A664" t="s">
        <v>1500</v>
      </c>
      <c r="B664">
        <v>10</v>
      </c>
      <c r="C664" t="s">
        <v>839</v>
      </c>
    </row>
    <row r="665" spans="1:3" hidden="1">
      <c r="A665" t="s">
        <v>1501</v>
      </c>
      <c r="B665">
        <v>48</v>
      </c>
      <c r="C665" t="s">
        <v>839</v>
      </c>
    </row>
    <row r="666" spans="1:3" hidden="1">
      <c r="A666" t="s">
        <v>1502</v>
      </c>
      <c r="B666">
        <v>48</v>
      </c>
      <c r="C666" t="s">
        <v>839</v>
      </c>
    </row>
    <row r="667" spans="1:3" hidden="1">
      <c r="A667" t="s">
        <v>1503</v>
      </c>
      <c r="B667">
        <v>30</v>
      </c>
      <c r="C667" t="s">
        <v>839</v>
      </c>
    </row>
    <row r="668" spans="1:3" hidden="1">
      <c r="A668" t="s">
        <v>1504</v>
      </c>
      <c r="B668">
        <v>49</v>
      </c>
      <c r="C668" t="s">
        <v>839</v>
      </c>
    </row>
    <row r="669" spans="1:3" hidden="1">
      <c r="A669" t="s">
        <v>1505</v>
      </c>
      <c r="B669">
        <v>81</v>
      </c>
      <c r="C669" t="s">
        <v>839</v>
      </c>
    </row>
    <row r="670" spans="1:3" hidden="1">
      <c r="A670" t="s">
        <v>1506</v>
      </c>
      <c r="B670">
        <v>3</v>
      </c>
      <c r="C670" t="s">
        <v>839</v>
      </c>
    </row>
    <row r="671" spans="1:3" hidden="1">
      <c r="A671" t="s">
        <v>1507</v>
      </c>
      <c r="B671">
        <v>48</v>
      </c>
      <c r="C671" t="s">
        <v>839</v>
      </c>
    </row>
    <row r="672" spans="1:3" hidden="1">
      <c r="A672" t="s">
        <v>1508</v>
      </c>
      <c r="B672">
        <v>10</v>
      </c>
      <c r="C672" t="s">
        <v>839</v>
      </c>
    </row>
    <row r="673" spans="1:3" hidden="1">
      <c r="A673" t="s">
        <v>1509</v>
      </c>
      <c r="B673">
        <v>10</v>
      </c>
      <c r="C673" t="s">
        <v>839</v>
      </c>
    </row>
    <row r="674" spans="1:3" hidden="1">
      <c r="A674" t="s">
        <v>1510</v>
      </c>
      <c r="B674">
        <v>31</v>
      </c>
      <c r="C674" t="s">
        <v>839</v>
      </c>
    </row>
    <row r="675" spans="1:3" hidden="1">
      <c r="A675" t="s">
        <v>1511</v>
      </c>
      <c r="B675">
        <v>61</v>
      </c>
      <c r="C675" t="s">
        <v>839</v>
      </c>
    </row>
    <row r="676" spans="1:3" hidden="1">
      <c r="A676" t="s">
        <v>1512</v>
      </c>
      <c r="B676">
        <v>61</v>
      </c>
      <c r="C676" t="s">
        <v>839</v>
      </c>
    </row>
    <row r="677" spans="1:3" hidden="1">
      <c r="A677" t="s">
        <v>1513</v>
      </c>
      <c r="B677">
        <v>72</v>
      </c>
      <c r="C677" t="s">
        <v>839</v>
      </c>
    </row>
    <row r="678" spans="1:3" hidden="1">
      <c r="A678" t="s">
        <v>1514</v>
      </c>
      <c r="B678">
        <v>31</v>
      </c>
      <c r="C678" t="s">
        <v>839</v>
      </c>
    </row>
    <row r="679" spans="1:3" hidden="1">
      <c r="A679" t="s">
        <v>1515</v>
      </c>
      <c r="B679">
        <v>43</v>
      </c>
      <c r="C679" t="s">
        <v>839</v>
      </c>
    </row>
    <row r="680" spans="1:3" hidden="1">
      <c r="A680" t="s">
        <v>1516</v>
      </c>
      <c r="B680">
        <v>51</v>
      </c>
      <c r="C680" t="s">
        <v>839</v>
      </c>
    </row>
    <row r="681" spans="1:3" hidden="1">
      <c r="A681" t="s">
        <v>1517</v>
      </c>
      <c r="B681">
        <v>95</v>
      </c>
      <c r="C681" t="s">
        <v>839</v>
      </c>
    </row>
    <row r="682" spans="1:3" hidden="1">
      <c r="A682" t="s">
        <v>1518</v>
      </c>
      <c r="B682">
        <v>95</v>
      </c>
      <c r="C682" t="s">
        <v>839</v>
      </c>
    </row>
    <row r="683" spans="1:3" hidden="1">
      <c r="A683" t="s">
        <v>1519</v>
      </c>
      <c r="B683">
        <v>6</v>
      </c>
      <c r="C683" t="s">
        <v>839</v>
      </c>
    </row>
    <row r="684" spans="1:3" hidden="1">
      <c r="A684" t="s">
        <v>1520</v>
      </c>
      <c r="B684">
        <v>6</v>
      </c>
      <c r="C684" t="s">
        <v>839</v>
      </c>
    </row>
    <row r="685" spans="1:3" hidden="1">
      <c r="A685" t="s">
        <v>1521</v>
      </c>
      <c r="B685">
        <v>6</v>
      </c>
      <c r="C685" t="s">
        <v>839</v>
      </c>
    </row>
    <row r="686" spans="1:3" hidden="1">
      <c r="A686" t="s">
        <v>1522</v>
      </c>
      <c r="B686">
        <v>17</v>
      </c>
      <c r="C686" t="s">
        <v>839</v>
      </c>
    </row>
    <row r="687" spans="1:3" hidden="1">
      <c r="A687" t="s">
        <v>1523</v>
      </c>
      <c r="B687">
        <v>17</v>
      </c>
      <c r="C687" t="s">
        <v>839</v>
      </c>
    </row>
    <row r="688" spans="1:3" hidden="1">
      <c r="A688" t="s">
        <v>1524</v>
      </c>
      <c r="B688">
        <v>59</v>
      </c>
      <c r="C688" t="s">
        <v>839</v>
      </c>
    </row>
    <row r="689" spans="1:3" hidden="1">
      <c r="A689" t="s">
        <v>1525</v>
      </c>
      <c r="B689">
        <v>48</v>
      </c>
      <c r="C689" t="s">
        <v>839</v>
      </c>
    </row>
    <row r="690" spans="1:3" hidden="1">
      <c r="A690" t="s">
        <v>1526</v>
      </c>
      <c r="B690">
        <v>49</v>
      </c>
      <c r="C690" t="s">
        <v>839</v>
      </c>
    </row>
    <row r="691" spans="1:3" hidden="1">
      <c r="A691" t="s">
        <v>1527</v>
      </c>
      <c r="B691">
        <v>86</v>
      </c>
      <c r="C691" t="s">
        <v>839</v>
      </c>
    </row>
    <row r="692" spans="1:3" hidden="1">
      <c r="A692" t="s">
        <v>1528</v>
      </c>
      <c r="B692">
        <v>66</v>
      </c>
      <c r="C692" t="s">
        <v>839</v>
      </c>
    </row>
    <row r="693" spans="1:3" hidden="1">
      <c r="A693" t="s">
        <v>1529</v>
      </c>
      <c r="B693">
        <v>13</v>
      </c>
      <c r="C693" t="s">
        <v>839</v>
      </c>
    </row>
    <row r="694" spans="1:3" hidden="1">
      <c r="A694" t="s">
        <v>1530</v>
      </c>
      <c r="B694">
        <v>28</v>
      </c>
      <c r="C694" t="s">
        <v>839</v>
      </c>
    </row>
    <row r="695" spans="1:3" hidden="1">
      <c r="A695" t="s">
        <v>1531</v>
      </c>
      <c r="B695">
        <v>24</v>
      </c>
      <c r="C695" t="s">
        <v>839</v>
      </c>
    </row>
    <row r="696" spans="1:3" hidden="1">
      <c r="A696" t="s">
        <v>1532</v>
      </c>
      <c r="B696">
        <v>12</v>
      </c>
      <c r="C696" t="s">
        <v>839</v>
      </c>
    </row>
    <row r="697" spans="1:3" hidden="1">
      <c r="A697" t="s">
        <v>1533</v>
      </c>
      <c r="B697">
        <v>94</v>
      </c>
      <c r="C697" t="s">
        <v>839</v>
      </c>
    </row>
    <row r="698" spans="1:3" hidden="1">
      <c r="A698" t="s">
        <v>1534</v>
      </c>
      <c r="B698">
        <v>94</v>
      </c>
      <c r="C698" t="s">
        <v>839</v>
      </c>
    </row>
    <row r="699" spans="1:3" hidden="1">
      <c r="A699" t="s">
        <v>1535</v>
      </c>
      <c r="B699">
        <v>59</v>
      </c>
      <c r="C699" t="s">
        <v>839</v>
      </c>
    </row>
    <row r="700" spans="1:3" hidden="1">
      <c r="A700" t="s">
        <v>1536</v>
      </c>
      <c r="B700">
        <v>81</v>
      </c>
      <c r="C700" t="s">
        <v>839</v>
      </c>
    </row>
    <row r="701" spans="1:3" hidden="1">
      <c r="A701" t="s">
        <v>1537</v>
      </c>
      <c r="B701">
        <v>93</v>
      </c>
      <c r="C701" t="s">
        <v>839</v>
      </c>
    </row>
    <row r="702" spans="1:3" hidden="1">
      <c r="A702" t="s">
        <v>1538</v>
      </c>
      <c r="B702">
        <v>93</v>
      </c>
      <c r="C702" t="s">
        <v>839</v>
      </c>
    </row>
    <row r="703" spans="1:3" hidden="1">
      <c r="A703" t="s">
        <v>1539</v>
      </c>
      <c r="B703">
        <v>86</v>
      </c>
      <c r="C703" t="s">
        <v>839</v>
      </c>
    </row>
    <row r="704" spans="1:3" hidden="1">
      <c r="A704" t="s">
        <v>1540</v>
      </c>
      <c r="B704">
        <v>95</v>
      </c>
      <c r="C704" t="s">
        <v>839</v>
      </c>
    </row>
    <row r="705" spans="1:3" hidden="1">
      <c r="A705" t="s">
        <v>1541</v>
      </c>
      <c r="B705">
        <v>48</v>
      </c>
      <c r="C705" t="s">
        <v>839</v>
      </c>
    </row>
    <row r="706" spans="1:3" hidden="1">
      <c r="A706" t="s">
        <v>1542</v>
      </c>
      <c r="B706">
        <v>48</v>
      </c>
      <c r="C706" t="s">
        <v>839</v>
      </c>
    </row>
    <row r="707" spans="1:3" hidden="1">
      <c r="A707" t="s">
        <v>1543</v>
      </c>
      <c r="B707">
        <v>95</v>
      </c>
      <c r="C707" t="s">
        <v>839</v>
      </c>
    </row>
    <row r="708" spans="1:3">
      <c r="A708" t="s">
        <v>1544</v>
      </c>
      <c r="B708">
        <v>83</v>
      </c>
      <c r="C708" t="s">
        <v>839</v>
      </c>
    </row>
    <row r="709" spans="1:3">
      <c r="A709" t="s">
        <v>1545</v>
      </c>
      <c r="B709">
        <v>83</v>
      </c>
      <c r="C709" t="s">
        <v>839</v>
      </c>
    </row>
    <row r="710" spans="1:3" hidden="1">
      <c r="A710" t="s">
        <v>1546</v>
      </c>
      <c r="B710">
        <v>48</v>
      </c>
      <c r="C710" t="s">
        <v>839</v>
      </c>
    </row>
    <row r="711" spans="1:3" hidden="1">
      <c r="A711" t="s">
        <v>1547</v>
      </c>
      <c r="B711">
        <v>95</v>
      </c>
      <c r="C711" t="s">
        <v>839</v>
      </c>
    </row>
    <row r="712" spans="1:3" hidden="1">
      <c r="A712" t="s">
        <v>1548</v>
      </c>
      <c r="B712">
        <v>37</v>
      </c>
      <c r="C712" t="s">
        <v>839</v>
      </c>
    </row>
    <row r="713" spans="1:3" hidden="1">
      <c r="A713" t="s">
        <v>1549</v>
      </c>
      <c r="B713">
        <v>95</v>
      </c>
      <c r="C713" t="s">
        <v>839</v>
      </c>
    </row>
    <row r="714" spans="1:3" hidden="1">
      <c r="A714" t="s">
        <v>1550</v>
      </c>
      <c r="B714">
        <v>94</v>
      </c>
      <c r="C714" t="s">
        <v>839</v>
      </c>
    </row>
    <row r="715" spans="1:3" hidden="1">
      <c r="A715" t="s">
        <v>1551</v>
      </c>
      <c r="B715">
        <v>37</v>
      </c>
      <c r="C715" t="s">
        <v>839</v>
      </c>
    </row>
    <row r="716" spans="1:3" hidden="1">
      <c r="A716" t="s">
        <v>1552</v>
      </c>
      <c r="B716">
        <v>37</v>
      </c>
      <c r="C716" t="s">
        <v>839</v>
      </c>
    </row>
    <row r="717" spans="1:3" hidden="1">
      <c r="A717" t="s">
        <v>1553</v>
      </c>
      <c r="B717">
        <v>9</v>
      </c>
      <c r="C717" t="s">
        <v>839</v>
      </c>
    </row>
    <row r="718" spans="1:3" hidden="1">
      <c r="A718" t="s">
        <v>1554</v>
      </c>
      <c r="B718">
        <v>9</v>
      </c>
      <c r="C718" t="s">
        <v>839</v>
      </c>
    </row>
    <row r="719" spans="1:3" hidden="1">
      <c r="A719" t="s">
        <v>1555</v>
      </c>
      <c r="B719">
        <v>37</v>
      </c>
      <c r="C719" t="s">
        <v>839</v>
      </c>
    </row>
    <row r="720" spans="1:3" hidden="1">
      <c r="A720" t="s">
        <v>1556</v>
      </c>
      <c r="B720">
        <v>37</v>
      </c>
      <c r="C720" t="s">
        <v>839</v>
      </c>
    </row>
    <row r="721" spans="1:3" hidden="1">
      <c r="A721" t="s">
        <v>1557</v>
      </c>
      <c r="B721">
        <v>86</v>
      </c>
      <c r="C721" t="s">
        <v>839</v>
      </c>
    </row>
    <row r="722" spans="1:3" hidden="1">
      <c r="A722" t="s">
        <v>1558</v>
      </c>
      <c r="B722">
        <v>48</v>
      </c>
      <c r="C722" t="s">
        <v>839</v>
      </c>
    </row>
    <row r="723" spans="1:3" hidden="1">
      <c r="A723" t="s">
        <v>1559</v>
      </c>
      <c r="B723">
        <v>49</v>
      </c>
      <c r="C723" t="s">
        <v>839</v>
      </c>
    </row>
    <row r="724" spans="1:3" hidden="1">
      <c r="A724" t="s">
        <v>1560</v>
      </c>
      <c r="B724">
        <v>49</v>
      </c>
      <c r="C724" t="s">
        <v>839</v>
      </c>
    </row>
    <row r="725" spans="1:3" hidden="1">
      <c r="A725" t="s">
        <v>1561</v>
      </c>
      <c r="B725">
        <v>49</v>
      </c>
      <c r="C725" t="s">
        <v>839</v>
      </c>
    </row>
    <row r="726" spans="1:3" hidden="1">
      <c r="A726" t="s">
        <v>1562</v>
      </c>
      <c r="B726">
        <v>49</v>
      </c>
      <c r="C726" t="s">
        <v>839</v>
      </c>
    </row>
    <row r="727" spans="1:3" hidden="1">
      <c r="A727" t="s">
        <v>1563</v>
      </c>
      <c r="B727">
        <v>37</v>
      </c>
      <c r="C727" t="s">
        <v>839</v>
      </c>
    </row>
    <row r="728" spans="1:3" hidden="1">
      <c r="A728" t="s">
        <v>1564</v>
      </c>
      <c r="B728">
        <v>79</v>
      </c>
      <c r="C728" t="s">
        <v>839</v>
      </c>
    </row>
    <row r="729" spans="1:3" hidden="1">
      <c r="A729" t="s">
        <v>1565</v>
      </c>
      <c r="B729">
        <v>2</v>
      </c>
      <c r="C729" t="s">
        <v>839</v>
      </c>
    </row>
    <row r="730" spans="1:3" hidden="1">
      <c r="A730" t="s">
        <v>1566</v>
      </c>
      <c r="B730">
        <v>95</v>
      </c>
      <c r="C730" t="s">
        <v>839</v>
      </c>
    </row>
    <row r="731" spans="1:3" hidden="1">
      <c r="A731" t="s">
        <v>1567</v>
      </c>
      <c r="B731">
        <v>37</v>
      </c>
      <c r="C731" t="s">
        <v>839</v>
      </c>
    </row>
    <row r="732" spans="1:3" hidden="1">
      <c r="A732" t="s">
        <v>1568</v>
      </c>
      <c r="B732">
        <v>60</v>
      </c>
      <c r="C732" t="s">
        <v>839</v>
      </c>
    </row>
    <row r="733" spans="1:3" hidden="1">
      <c r="A733" t="s">
        <v>1569</v>
      </c>
      <c r="B733">
        <v>10</v>
      </c>
      <c r="C733" t="s">
        <v>839</v>
      </c>
    </row>
    <row r="734" spans="1:3" hidden="1">
      <c r="A734" t="s">
        <v>1570</v>
      </c>
      <c r="B734">
        <v>85</v>
      </c>
      <c r="C734" t="s">
        <v>839</v>
      </c>
    </row>
    <row r="735" spans="1:3" hidden="1">
      <c r="A735" t="s">
        <v>1571</v>
      </c>
      <c r="B735">
        <v>49</v>
      </c>
      <c r="C735" t="s">
        <v>839</v>
      </c>
    </row>
    <row r="736" spans="1:3" hidden="1">
      <c r="A736" t="s">
        <v>1572</v>
      </c>
      <c r="B736">
        <v>43</v>
      </c>
      <c r="C736" t="s">
        <v>839</v>
      </c>
    </row>
    <row r="737" spans="1:3" hidden="1">
      <c r="A737" t="s">
        <v>1573</v>
      </c>
      <c r="B737">
        <v>95</v>
      </c>
      <c r="C737" t="s">
        <v>839</v>
      </c>
    </row>
    <row r="738" spans="1:3" hidden="1">
      <c r="A738" t="s">
        <v>1574</v>
      </c>
      <c r="B738">
        <v>95</v>
      </c>
      <c r="C738" t="s">
        <v>839</v>
      </c>
    </row>
    <row r="739" spans="1:3" hidden="1">
      <c r="A739" t="s">
        <v>1575</v>
      </c>
      <c r="B739">
        <v>48</v>
      </c>
      <c r="C739" t="s">
        <v>839</v>
      </c>
    </row>
    <row r="740" spans="1:3" hidden="1">
      <c r="A740" t="s">
        <v>1576</v>
      </c>
      <c r="B740">
        <v>37</v>
      </c>
      <c r="C740" t="s">
        <v>839</v>
      </c>
    </row>
    <row r="741" spans="1:3" hidden="1">
      <c r="A741" t="s">
        <v>1577</v>
      </c>
      <c r="B741">
        <v>37</v>
      </c>
      <c r="C741" t="s">
        <v>839</v>
      </c>
    </row>
    <row r="742" spans="1:3" hidden="1">
      <c r="A742" t="s">
        <v>1578</v>
      </c>
      <c r="B742">
        <v>2</v>
      </c>
      <c r="C742" t="s">
        <v>839</v>
      </c>
    </row>
    <row r="743" spans="1:3" hidden="1">
      <c r="A743" t="s">
        <v>1579</v>
      </c>
      <c r="B743">
        <v>95</v>
      </c>
      <c r="C743" t="s">
        <v>839</v>
      </c>
    </row>
    <row r="744" spans="1:3" hidden="1">
      <c r="A744" t="s">
        <v>1580</v>
      </c>
      <c r="B744">
        <v>95</v>
      </c>
      <c r="C744" t="s">
        <v>839</v>
      </c>
    </row>
    <row r="745" spans="1:3" hidden="1">
      <c r="A745" t="s">
        <v>1581</v>
      </c>
      <c r="B745">
        <v>43</v>
      </c>
      <c r="C745" t="s">
        <v>839</v>
      </c>
    </row>
    <row r="746" spans="1:3" hidden="1">
      <c r="A746" t="s">
        <v>1582</v>
      </c>
      <c r="B746">
        <v>93</v>
      </c>
      <c r="C746" t="s">
        <v>839</v>
      </c>
    </row>
    <row r="747" spans="1:3" hidden="1">
      <c r="A747" t="s">
        <v>1583</v>
      </c>
      <c r="B747">
        <v>49</v>
      </c>
      <c r="C747" t="s">
        <v>839</v>
      </c>
    </row>
    <row r="748" spans="1:3" hidden="1">
      <c r="A748" t="s">
        <v>1584</v>
      </c>
      <c r="B748">
        <v>49</v>
      </c>
      <c r="C748" t="s">
        <v>839</v>
      </c>
    </row>
    <row r="749" spans="1:3" hidden="1">
      <c r="A749" t="s">
        <v>1585</v>
      </c>
      <c r="B749">
        <v>46</v>
      </c>
      <c r="C749" t="s">
        <v>839</v>
      </c>
    </row>
    <row r="750" spans="1:3" hidden="1">
      <c r="A750" t="s">
        <v>1586</v>
      </c>
      <c r="B750">
        <v>95</v>
      </c>
      <c r="C750" t="s">
        <v>839</v>
      </c>
    </row>
    <row r="751" spans="1:3">
      <c r="A751" t="s">
        <v>1587</v>
      </c>
      <c r="B751">
        <v>83</v>
      </c>
      <c r="C751" t="s">
        <v>839</v>
      </c>
    </row>
    <row r="752" spans="1:3" hidden="1">
      <c r="A752" t="s">
        <v>1588</v>
      </c>
      <c r="B752">
        <v>95</v>
      </c>
      <c r="C752" t="s">
        <v>839</v>
      </c>
    </row>
    <row r="753" spans="1:7" hidden="1">
      <c r="A753" t="s">
        <v>1589</v>
      </c>
      <c r="B753">
        <v>24</v>
      </c>
      <c r="C753" t="s">
        <v>839</v>
      </c>
    </row>
    <row r="754" spans="1:7">
      <c r="A754" t="s">
        <v>1590</v>
      </c>
      <c r="B754">
        <v>83</v>
      </c>
      <c r="C754" t="s">
        <v>839</v>
      </c>
      <c r="G754" s="57" t="s">
        <v>3013</v>
      </c>
    </row>
    <row r="755" spans="1:7" hidden="1">
      <c r="A755" t="s">
        <v>1591</v>
      </c>
      <c r="B755">
        <v>49</v>
      </c>
      <c r="C755" t="s">
        <v>839</v>
      </c>
    </row>
    <row r="756" spans="1:7" hidden="1">
      <c r="A756" t="s">
        <v>1592</v>
      </c>
      <c r="B756">
        <v>11</v>
      </c>
      <c r="C756" t="s">
        <v>839</v>
      </c>
    </row>
    <row r="757" spans="1:7" hidden="1">
      <c r="A757" t="s">
        <v>1593</v>
      </c>
      <c r="B757">
        <v>11</v>
      </c>
      <c r="C757" t="s">
        <v>839</v>
      </c>
    </row>
    <row r="758" spans="1:7" hidden="1">
      <c r="A758" t="s">
        <v>1594</v>
      </c>
      <c r="B758">
        <v>11</v>
      </c>
      <c r="C758" t="s">
        <v>839</v>
      </c>
    </row>
    <row r="759" spans="1:7" hidden="1">
      <c r="A759" t="s">
        <v>1595</v>
      </c>
      <c r="B759">
        <v>93</v>
      </c>
      <c r="C759" t="s">
        <v>839</v>
      </c>
    </row>
    <row r="760" spans="1:7" hidden="1">
      <c r="A760" t="s">
        <v>1596</v>
      </c>
      <c r="B760">
        <v>81</v>
      </c>
      <c r="C760" t="s">
        <v>839</v>
      </c>
    </row>
    <row r="761" spans="1:7" hidden="1">
      <c r="A761" t="s">
        <v>1597</v>
      </c>
      <c r="B761">
        <v>2</v>
      </c>
      <c r="C761" t="s">
        <v>839</v>
      </c>
    </row>
    <row r="762" spans="1:7" hidden="1">
      <c r="A762" t="s">
        <v>1598</v>
      </c>
      <c r="B762">
        <v>89</v>
      </c>
      <c r="C762" t="s">
        <v>839</v>
      </c>
    </row>
    <row r="763" spans="1:7" hidden="1">
      <c r="A763" t="s">
        <v>1599</v>
      </c>
      <c r="B763">
        <v>18</v>
      </c>
      <c r="C763" t="s">
        <v>839</v>
      </c>
    </row>
    <row r="764" spans="1:7" hidden="1">
      <c r="A764" t="s">
        <v>1600</v>
      </c>
      <c r="B764">
        <v>93</v>
      </c>
      <c r="C764" t="s">
        <v>839</v>
      </c>
    </row>
    <row r="765" spans="1:7" hidden="1">
      <c r="A765" t="s">
        <v>1601</v>
      </c>
      <c r="B765">
        <v>3</v>
      </c>
      <c r="C765" t="s">
        <v>839</v>
      </c>
    </row>
    <row r="766" spans="1:7" hidden="1">
      <c r="A766" t="s">
        <v>1602</v>
      </c>
      <c r="B766">
        <v>2</v>
      </c>
      <c r="C766" t="s">
        <v>839</v>
      </c>
    </row>
    <row r="767" spans="1:7" hidden="1">
      <c r="A767" t="s">
        <v>1603</v>
      </c>
      <c r="B767">
        <v>21</v>
      </c>
      <c r="C767" t="s">
        <v>839</v>
      </c>
    </row>
    <row r="768" spans="1:7" hidden="1">
      <c r="A768" t="s">
        <v>1604</v>
      </c>
      <c r="B768">
        <v>95</v>
      </c>
      <c r="C768" t="s">
        <v>839</v>
      </c>
    </row>
    <row r="769" spans="1:3" hidden="1">
      <c r="A769" t="s">
        <v>1605</v>
      </c>
      <c r="B769">
        <v>30</v>
      </c>
      <c r="C769" t="s">
        <v>839</v>
      </c>
    </row>
    <row r="770" spans="1:3" hidden="1">
      <c r="A770" t="s">
        <v>1606</v>
      </c>
      <c r="B770">
        <v>33</v>
      </c>
      <c r="C770" t="s">
        <v>839</v>
      </c>
    </row>
    <row r="771" spans="1:3" hidden="1">
      <c r="A771" t="s">
        <v>1607</v>
      </c>
      <c r="B771">
        <v>92</v>
      </c>
      <c r="C771" t="s">
        <v>839</v>
      </c>
    </row>
    <row r="772" spans="1:3" hidden="1">
      <c r="A772" t="s">
        <v>1608</v>
      </c>
      <c r="B772">
        <v>32</v>
      </c>
      <c r="C772" t="s">
        <v>839</v>
      </c>
    </row>
    <row r="773" spans="1:3" hidden="1">
      <c r="A773" t="s">
        <v>1609</v>
      </c>
      <c r="B773">
        <v>37</v>
      </c>
      <c r="C773" t="s">
        <v>839</v>
      </c>
    </row>
    <row r="774" spans="1:3" hidden="1">
      <c r="A774" t="s">
        <v>1610</v>
      </c>
      <c r="B774">
        <v>10</v>
      </c>
      <c r="C774" t="s">
        <v>839</v>
      </c>
    </row>
    <row r="775" spans="1:3" hidden="1">
      <c r="A775" t="s">
        <v>1611</v>
      </c>
      <c r="B775">
        <v>10</v>
      </c>
      <c r="C775" t="s">
        <v>839</v>
      </c>
    </row>
    <row r="776" spans="1:3" hidden="1">
      <c r="A776" t="s">
        <v>1612</v>
      </c>
      <c r="B776">
        <v>86</v>
      </c>
      <c r="C776" t="s">
        <v>839</v>
      </c>
    </row>
    <row r="777" spans="1:3" hidden="1">
      <c r="A777" t="s">
        <v>1613</v>
      </c>
      <c r="B777">
        <v>84</v>
      </c>
      <c r="C777" t="s">
        <v>839</v>
      </c>
    </row>
    <row r="778" spans="1:3" hidden="1">
      <c r="A778" t="s">
        <v>1614</v>
      </c>
      <c r="B778">
        <v>37</v>
      </c>
      <c r="C778" t="s">
        <v>839</v>
      </c>
    </row>
    <row r="779" spans="1:3" hidden="1">
      <c r="A779" t="s">
        <v>1615</v>
      </c>
      <c r="B779">
        <v>81</v>
      </c>
      <c r="C779" t="s">
        <v>839</v>
      </c>
    </row>
    <row r="780" spans="1:3" hidden="1">
      <c r="A780" t="s">
        <v>1616</v>
      </c>
      <c r="B780">
        <v>49</v>
      </c>
      <c r="C780" t="s">
        <v>839</v>
      </c>
    </row>
    <row r="781" spans="1:3" hidden="1">
      <c r="A781" t="s">
        <v>1617</v>
      </c>
      <c r="B781">
        <v>48</v>
      </c>
      <c r="C781" t="s">
        <v>839</v>
      </c>
    </row>
    <row r="782" spans="1:3" hidden="1">
      <c r="A782" t="s">
        <v>1618</v>
      </c>
      <c r="B782">
        <v>37</v>
      </c>
      <c r="C782" t="s">
        <v>839</v>
      </c>
    </row>
    <row r="783" spans="1:3" hidden="1">
      <c r="A783" t="s">
        <v>1619</v>
      </c>
      <c r="B783">
        <v>27</v>
      </c>
      <c r="C783" t="s">
        <v>839</v>
      </c>
    </row>
    <row r="784" spans="1:3" hidden="1">
      <c r="A784" t="s">
        <v>1620</v>
      </c>
      <c r="B784">
        <v>27</v>
      </c>
      <c r="C784" t="s">
        <v>839</v>
      </c>
    </row>
    <row r="785" spans="1:3" hidden="1">
      <c r="A785" t="s">
        <v>1621</v>
      </c>
      <c r="B785">
        <v>11</v>
      </c>
      <c r="C785" t="s">
        <v>839</v>
      </c>
    </row>
    <row r="786" spans="1:3" hidden="1">
      <c r="A786" t="s">
        <v>1622</v>
      </c>
      <c r="B786">
        <v>56</v>
      </c>
      <c r="C786" t="s">
        <v>839</v>
      </c>
    </row>
    <row r="787" spans="1:3" hidden="1">
      <c r="A787" t="s">
        <v>1623</v>
      </c>
      <c r="B787">
        <v>10</v>
      </c>
      <c r="C787" t="s">
        <v>839</v>
      </c>
    </row>
    <row r="788" spans="1:3" hidden="1">
      <c r="A788" t="s">
        <v>1624</v>
      </c>
      <c r="B788">
        <v>49</v>
      </c>
      <c r="C788" t="s">
        <v>839</v>
      </c>
    </row>
    <row r="789" spans="1:3" hidden="1">
      <c r="A789" t="s">
        <v>1625</v>
      </c>
      <c r="B789">
        <v>37</v>
      </c>
      <c r="C789" t="s">
        <v>839</v>
      </c>
    </row>
    <row r="790" spans="1:3" hidden="1">
      <c r="A790" t="s">
        <v>1626</v>
      </c>
      <c r="B790">
        <v>26</v>
      </c>
      <c r="C790" t="s">
        <v>839</v>
      </c>
    </row>
    <row r="791" spans="1:3" hidden="1">
      <c r="A791" t="s">
        <v>1627</v>
      </c>
      <c r="B791">
        <v>53</v>
      </c>
      <c r="C791" t="s">
        <v>839</v>
      </c>
    </row>
    <row r="792" spans="1:3" hidden="1">
      <c r="A792" t="s">
        <v>1628</v>
      </c>
      <c r="B792">
        <v>53</v>
      </c>
      <c r="C792" t="s">
        <v>839</v>
      </c>
    </row>
    <row r="793" spans="1:3" hidden="1">
      <c r="A793" t="s">
        <v>1629</v>
      </c>
      <c r="B793">
        <v>93</v>
      </c>
      <c r="C793" t="s">
        <v>839</v>
      </c>
    </row>
    <row r="794" spans="1:3" hidden="1">
      <c r="A794" t="s">
        <v>1630</v>
      </c>
      <c r="B794">
        <v>93</v>
      </c>
      <c r="C794" t="s">
        <v>839</v>
      </c>
    </row>
    <row r="795" spans="1:3" hidden="1">
      <c r="A795" t="s">
        <v>1631</v>
      </c>
      <c r="B795">
        <v>34</v>
      </c>
      <c r="C795" t="s">
        <v>839</v>
      </c>
    </row>
    <row r="796" spans="1:3" hidden="1">
      <c r="A796" t="s">
        <v>1632</v>
      </c>
      <c r="B796">
        <v>34</v>
      </c>
      <c r="C796" t="s">
        <v>839</v>
      </c>
    </row>
    <row r="797" spans="1:3" hidden="1">
      <c r="A797" t="s">
        <v>1633</v>
      </c>
      <c r="B797">
        <v>39</v>
      </c>
      <c r="C797" t="s">
        <v>839</v>
      </c>
    </row>
    <row r="798" spans="1:3" hidden="1">
      <c r="A798" t="s">
        <v>1634</v>
      </c>
      <c r="B798">
        <v>81</v>
      </c>
      <c r="C798" t="s">
        <v>839</v>
      </c>
    </row>
    <row r="799" spans="1:3" hidden="1">
      <c r="A799" t="s">
        <v>1635</v>
      </c>
      <c r="B799">
        <v>28</v>
      </c>
      <c r="C799" t="s">
        <v>839</v>
      </c>
    </row>
    <row r="800" spans="1:3" hidden="1">
      <c r="A800" t="s">
        <v>1636</v>
      </c>
      <c r="B800">
        <v>49</v>
      </c>
      <c r="C800" t="s">
        <v>839</v>
      </c>
    </row>
    <row r="801" spans="1:3" hidden="1">
      <c r="A801" t="s">
        <v>1637</v>
      </c>
      <c r="B801">
        <v>48</v>
      </c>
      <c r="C801" t="s">
        <v>839</v>
      </c>
    </row>
    <row r="802" spans="1:3" hidden="1">
      <c r="A802" t="s">
        <v>1638</v>
      </c>
      <c r="B802">
        <v>91</v>
      </c>
      <c r="C802" t="s">
        <v>839</v>
      </c>
    </row>
    <row r="803" spans="1:3" hidden="1">
      <c r="A803" t="s">
        <v>1639</v>
      </c>
      <c r="B803">
        <v>91</v>
      </c>
      <c r="C803" t="s">
        <v>839</v>
      </c>
    </row>
    <row r="804" spans="1:3" hidden="1">
      <c r="A804" t="s">
        <v>1640</v>
      </c>
      <c r="B804">
        <v>91</v>
      </c>
      <c r="C804" t="s">
        <v>839</v>
      </c>
    </row>
    <row r="805" spans="1:3" hidden="1">
      <c r="A805" t="s">
        <v>1641</v>
      </c>
      <c r="B805">
        <v>91</v>
      </c>
      <c r="C805" t="s">
        <v>839</v>
      </c>
    </row>
    <row r="806" spans="1:3" hidden="1">
      <c r="A806" t="s">
        <v>1642</v>
      </c>
      <c r="B806">
        <v>91</v>
      </c>
      <c r="C806" t="s">
        <v>839</v>
      </c>
    </row>
    <row r="807" spans="1:3" hidden="1">
      <c r="A807" t="s">
        <v>1643</v>
      </c>
      <c r="B807">
        <v>90</v>
      </c>
      <c r="C807" t="s">
        <v>839</v>
      </c>
    </row>
    <row r="808" spans="1:3" hidden="1">
      <c r="A808" t="s">
        <v>1644</v>
      </c>
      <c r="B808">
        <v>48</v>
      </c>
      <c r="C808" t="s">
        <v>839</v>
      </c>
    </row>
    <row r="809" spans="1:3" hidden="1">
      <c r="A809" t="s">
        <v>1645</v>
      </c>
      <c r="B809">
        <v>95</v>
      </c>
      <c r="C809" t="s">
        <v>839</v>
      </c>
    </row>
    <row r="810" spans="1:3" hidden="1">
      <c r="A810" t="s">
        <v>1646</v>
      </c>
      <c r="B810">
        <v>53</v>
      </c>
      <c r="C810" t="s">
        <v>839</v>
      </c>
    </row>
    <row r="811" spans="1:3" hidden="1">
      <c r="A811" t="s">
        <v>1647</v>
      </c>
      <c r="B811">
        <v>71</v>
      </c>
      <c r="C811" t="s">
        <v>839</v>
      </c>
    </row>
    <row r="812" spans="1:3" hidden="1">
      <c r="A812" t="s">
        <v>1648</v>
      </c>
      <c r="B812">
        <v>5</v>
      </c>
      <c r="C812" t="s">
        <v>839</v>
      </c>
    </row>
    <row r="813" spans="1:3" hidden="1">
      <c r="A813" t="s">
        <v>1649</v>
      </c>
      <c r="B813">
        <v>2</v>
      </c>
      <c r="C813" t="s">
        <v>839</v>
      </c>
    </row>
    <row r="814" spans="1:3" hidden="1">
      <c r="A814" t="s">
        <v>1650</v>
      </c>
      <c r="B814">
        <v>1</v>
      </c>
      <c r="C814" t="s">
        <v>839</v>
      </c>
    </row>
    <row r="815" spans="1:3" hidden="1">
      <c r="A815" t="s">
        <v>1651</v>
      </c>
      <c r="B815">
        <v>1</v>
      </c>
      <c r="C815" t="s">
        <v>839</v>
      </c>
    </row>
    <row r="816" spans="1:3" hidden="1">
      <c r="A816" t="s">
        <v>1652</v>
      </c>
      <c r="B816">
        <v>1</v>
      </c>
      <c r="C816" t="s">
        <v>839</v>
      </c>
    </row>
    <row r="817" spans="1:3" hidden="1">
      <c r="A817" t="s">
        <v>1653</v>
      </c>
      <c r="B817">
        <v>1</v>
      </c>
      <c r="C817" t="s">
        <v>839</v>
      </c>
    </row>
    <row r="818" spans="1:3" hidden="1">
      <c r="A818" t="s">
        <v>1654</v>
      </c>
      <c r="B818">
        <v>93</v>
      </c>
      <c r="C818" t="s">
        <v>839</v>
      </c>
    </row>
    <row r="819" spans="1:3" hidden="1">
      <c r="A819" t="s">
        <v>1655</v>
      </c>
      <c r="B819">
        <v>5</v>
      </c>
      <c r="C819" t="s">
        <v>839</v>
      </c>
    </row>
    <row r="820" spans="1:3" hidden="1">
      <c r="A820" t="s">
        <v>1656</v>
      </c>
      <c r="B820">
        <v>5</v>
      </c>
      <c r="C820" t="s">
        <v>839</v>
      </c>
    </row>
    <row r="821" spans="1:3" hidden="1">
      <c r="A821" t="s">
        <v>1657</v>
      </c>
      <c r="B821">
        <v>24</v>
      </c>
      <c r="C821" t="s">
        <v>839</v>
      </c>
    </row>
    <row r="822" spans="1:3" hidden="1">
      <c r="A822" t="s">
        <v>1658</v>
      </c>
      <c r="B822">
        <v>10</v>
      </c>
      <c r="C822" t="s">
        <v>839</v>
      </c>
    </row>
    <row r="823" spans="1:3" hidden="1">
      <c r="A823" t="s">
        <v>1659</v>
      </c>
      <c r="B823">
        <v>10</v>
      </c>
      <c r="C823" t="s">
        <v>839</v>
      </c>
    </row>
    <row r="824" spans="1:3" hidden="1">
      <c r="A824" t="s">
        <v>1660</v>
      </c>
      <c r="B824">
        <v>10</v>
      </c>
      <c r="C824" t="s">
        <v>839</v>
      </c>
    </row>
    <row r="825" spans="1:3" hidden="1">
      <c r="A825" t="s">
        <v>1661</v>
      </c>
      <c r="B825">
        <v>78</v>
      </c>
      <c r="C825" t="s">
        <v>839</v>
      </c>
    </row>
    <row r="826" spans="1:3" hidden="1">
      <c r="A826" t="s">
        <v>1662</v>
      </c>
      <c r="B826">
        <v>10</v>
      </c>
      <c r="C826" t="s">
        <v>839</v>
      </c>
    </row>
    <row r="827" spans="1:3" hidden="1">
      <c r="A827" t="s">
        <v>1663</v>
      </c>
      <c r="B827">
        <v>77</v>
      </c>
      <c r="C827" t="s">
        <v>839</v>
      </c>
    </row>
    <row r="828" spans="1:3" hidden="1">
      <c r="A828" t="s">
        <v>1664</v>
      </c>
      <c r="B828">
        <v>77</v>
      </c>
      <c r="C828" t="s">
        <v>839</v>
      </c>
    </row>
    <row r="829" spans="1:3" hidden="1">
      <c r="A829" t="s">
        <v>1665</v>
      </c>
      <c r="B829">
        <v>2</v>
      </c>
      <c r="C829" t="s">
        <v>839</v>
      </c>
    </row>
    <row r="830" spans="1:3" hidden="1">
      <c r="A830" t="s">
        <v>1666</v>
      </c>
      <c r="B830">
        <v>81</v>
      </c>
      <c r="C830" t="s">
        <v>839</v>
      </c>
    </row>
    <row r="831" spans="1:3" hidden="1">
      <c r="A831" t="s">
        <v>1667</v>
      </c>
      <c r="B831">
        <v>49</v>
      </c>
      <c r="C831" t="s">
        <v>839</v>
      </c>
    </row>
    <row r="832" spans="1:3" hidden="1">
      <c r="A832" t="s">
        <v>1668</v>
      </c>
      <c r="B832">
        <v>95</v>
      </c>
      <c r="C832" t="s">
        <v>839</v>
      </c>
    </row>
    <row r="833" spans="1:3" hidden="1">
      <c r="A833" t="s">
        <v>1669</v>
      </c>
      <c r="B833">
        <v>49</v>
      </c>
      <c r="C833" t="s">
        <v>839</v>
      </c>
    </row>
    <row r="834" spans="1:3">
      <c r="A834" t="s">
        <v>1670</v>
      </c>
      <c r="B834">
        <v>83</v>
      </c>
      <c r="C834" t="s">
        <v>839</v>
      </c>
    </row>
    <row r="835" spans="1:3" hidden="1">
      <c r="A835" t="s">
        <v>1671</v>
      </c>
      <c r="B835">
        <v>2</v>
      </c>
      <c r="C835" t="s">
        <v>839</v>
      </c>
    </row>
    <row r="836" spans="1:3" hidden="1">
      <c r="A836" t="s">
        <v>1672</v>
      </c>
      <c r="B836">
        <v>9</v>
      </c>
      <c r="C836" t="s">
        <v>839</v>
      </c>
    </row>
    <row r="837" spans="1:3" hidden="1">
      <c r="A837" t="s">
        <v>1673</v>
      </c>
      <c r="B837">
        <v>9</v>
      </c>
      <c r="C837" t="s">
        <v>839</v>
      </c>
    </row>
    <row r="838" spans="1:3" hidden="1">
      <c r="A838" t="s">
        <v>1674</v>
      </c>
      <c r="B838">
        <v>2</v>
      </c>
      <c r="C838" t="s">
        <v>839</v>
      </c>
    </row>
    <row r="839" spans="1:3" hidden="1">
      <c r="A839" t="s">
        <v>1675</v>
      </c>
      <c r="B839">
        <v>9</v>
      </c>
      <c r="C839" t="s">
        <v>839</v>
      </c>
    </row>
    <row r="840" spans="1:3" hidden="1">
      <c r="A840" t="s">
        <v>1676</v>
      </c>
      <c r="B840">
        <v>9</v>
      </c>
      <c r="C840" t="s">
        <v>839</v>
      </c>
    </row>
    <row r="841" spans="1:3" hidden="1">
      <c r="A841" t="s">
        <v>1677</v>
      </c>
      <c r="B841">
        <v>49</v>
      </c>
      <c r="C841" t="s">
        <v>839</v>
      </c>
    </row>
    <row r="842" spans="1:3" hidden="1">
      <c r="A842" t="s">
        <v>1678</v>
      </c>
      <c r="B842">
        <v>37</v>
      </c>
      <c r="C842" t="s">
        <v>839</v>
      </c>
    </row>
    <row r="843" spans="1:3" hidden="1">
      <c r="A843" t="s">
        <v>1679</v>
      </c>
      <c r="B843">
        <v>37</v>
      </c>
      <c r="C843" t="s">
        <v>839</v>
      </c>
    </row>
    <row r="844" spans="1:3" hidden="1">
      <c r="A844" t="s">
        <v>1680</v>
      </c>
      <c r="B844">
        <v>37</v>
      </c>
      <c r="C844" t="s">
        <v>839</v>
      </c>
    </row>
    <row r="845" spans="1:3" hidden="1">
      <c r="A845" t="s">
        <v>1681</v>
      </c>
      <c r="B845">
        <v>37</v>
      </c>
      <c r="C845" t="s">
        <v>839</v>
      </c>
    </row>
    <row r="846" spans="1:3" hidden="1">
      <c r="A846" t="s">
        <v>1682</v>
      </c>
      <c r="B846">
        <v>78</v>
      </c>
      <c r="C846" t="s">
        <v>839</v>
      </c>
    </row>
    <row r="847" spans="1:3" hidden="1">
      <c r="A847" t="s">
        <v>1683</v>
      </c>
      <c r="B847">
        <v>28</v>
      </c>
      <c r="C847" t="s">
        <v>839</v>
      </c>
    </row>
    <row r="848" spans="1:3" hidden="1">
      <c r="A848" t="s">
        <v>1684</v>
      </c>
      <c r="B848">
        <v>48</v>
      </c>
      <c r="C848" t="s">
        <v>839</v>
      </c>
    </row>
    <row r="849" spans="1:3" hidden="1">
      <c r="A849" t="s">
        <v>1685</v>
      </c>
      <c r="B849">
        <v>49</v>
      </c>
      <c r="C849" t="s">
        <v>839</v>
      </c>
    </row>
    <row r="850" spans="1:3" hidden="1">
      <c r="A850" t="s">
        <v>1686</v>
      </c>
      <c r="B850">
        <v>93</v>
      </c>
      <c r="C850" t="s">
        <v>839</v>
      </c>
    </row>
    <row r="851" spans="1:3" hidden="1">
      <c r="A851" t="s">
        <v>1687</v>
      </c>
      <c r="B851">
        <v>61</v>
      </c>
      <c r="C851" t="s">
        <v>839</v>
      </c>
    </row>
    <row r="852" spans="1:3" hidden="1">
      <c r="A852" t="s">
        <v>1690</v>
      </c>
      <c r="B852">
        <v>95</v>
      </c>
      <c r="C852" t="s">
        <v>839</v>
      </c>
    </row>
    <row r="853" spans="1:3" hidden="1">
      <c r="A853" t="s">
        <v>1688</v>
      </c>
      <c r="B853">
        <v>38</v>
      </c>
      <c r="C853" t="s">
        <v>839</v>
      </c>
    </row>
    <row r="854" spans="1:3" hidden="1">
      <c r="A854" t="s">
        <v>1689</v>
      </c>
      <c r="B854">
        <v>38</v>
      </c>
      <c r="C854" t="s">
        <v>839</v>
      </c>
    </row>
    <row r="855" spans="1:3" hidden="1">
      <c r="A855" t="s">
        <v>1691</v>
      </c>
      <c r="B855">
        <v>95</v>
      </c>
      <c r="C855" t="s">
        <v>839</v>
      </c>
    </row>
    <row r="856" spans="1:3" hidden="1">
      <c r="A856" t="s">
        <v>1692</v>
      </c>
      <c r="B856">
        <v>93</v>
      </c>
      <c r="C856" t="s">
        <v>839</v>
      </c>
    </row>
    <row r="857" spans="1:3" hidden="1">
      <c r="A857" t="s">
        <v>1693</v>
      </c>
      <c r="B857">
        <v>81</v>
      </c>
      <c r="C857" t="s">
        <v>839</v>
      </c>
    </row>
    <row r="858" spans="1:3" hidden="1">
      <c r="A858" t="s">
        <v>1694</v>
      </c>
      <c r="B858">
        <v>93</v>
      </c>
      <c r="C858" t="s">
        <v>839</v>
      </c>
    </row>
    <row r="859" spans="1:3" hidden="1">
      <c r="A859" t="s">
        <v>1695</v>
      </c>
      <c r="B859">
        <v>54</v>
      </c>
      <c r="C859" t="s">
        <v>839</v>
      </c>
    </row>
    <row r="860" spans="1:3" hidden="1">
      <c r="A860" t="s">
        <v>1696</v>
      </c>
      <c r="B860">
        <v>54</v>
      </c>
      <c r="C860" t="s">
        <v>839</v>
      </c>
    </row>
    <row r="861" spans="1:3" hidden="1">
      <c r="A861" t="s">
        <v>1697</v>
      </c>
      <c r="B861">
        <v>13</v>
      </c>
      <c r="C861" t="s">
        <v>839</v>
      </c>
    </row>
    <row r="862" spans="1:3" hidden="1">
      <c r="A862" t="s">
        <v>1698</v>
      </c>
      <c r="B862">
        <v>39</v>
      </c>
      <c r="C862" t="s">
        <v>839</v>
      </c>
    </row>
    <row r="863" spans="1:3" hidden="1">
      <c r="A863" t="s">
        <v>1699</v>
      </c>
      <c r="B863">
        <v>10</v>
      </c>
      <c r="C863" t="s">
        <v>839</v>
      </c>
    </row>
    <row r="864" spans="1:3" hidden="1">
      <c r="A864" t="s">
        <v>1700</v>
      </c>
      <c r="B864">
        <v>10</v>
      </c>
      <c r="C864" t="s">
        <v>839</v>
      </c>
    </row>
    <row r="865" spans="1:3" hidden="1">
      <c r="A865" t="s">
        <v>1701</v>
      </c>
      <c r="B865">
        <v>10</v>
      </c>
      <c r="C865" t="s">
        <v>839</v>
      </c>
    </row>
    <row r="866" spans="1:3" hidden="1">
      <c r="A866" t="s">
        <v>1702</v>
      </c>
      <c r="B866">
        <v>10</v>
      </c>
      <c r="C866" t="s">
        <v>839</v>
      </c>
    </row>
    <row r="867" spans="1:3" hidden="1">
      <c r="A867" t="s">
        <v>1703</v>
      </c>
      <c r="B867">
        <v>10</v>
      </c>
      <c r="C867" t="s">
        <v>839</v>
      </c>
    </row>
    <row r="868" spans="1:3" hidden="1">
      <c r="A868" t="s">
        <v>1704</v>
      </c>
      <c r="B868">
        <v>24</v>
      </c>
      <c r="C868" t="s">
        <v>839</v>
      </c>
    </row>
    <row r="869" spans="1:3" hidden="1">
      <c r="A869" t="s">
        <v>1705</v>
      </c>
      <c r="B869">
        <v>48</v>
      </c>
      <c r="C869" t="s">
        <v>839</v>
      </c>
    </row>
    <row r="870" spans="1:3" hidden="1">
      <c r="A870" t="s">
        <v>1706</v>
      </c>
      <c r="B870">
        <v>95</v>
      </c>
      <c r="C870" t="s">
        <v>839</v>
      </c>
    </row>
    <row r="871" spans="1:3" hidden="1">
      <c r="A871" t="s">
        <v>1707</v>
      </c>
      <c r="B871">
        <v>93</v>
      </c>
      <c r="C871" t="s">
        <v>839</v>
      </c>
    </row>
    <row r="872" spans="1:3" hidden="1">
      <c r="A872" t="s">
        <v>1708</v>
      </c>
      <c r="B872">
        <v>12</v>
      </c>
      <c r="C872" t="s">
        <v>839</v>
      </c>
    </row>
    <row r="873" spans="1:3" hidden="1">
      <c r="A873" t="s">
        <v>1709</v>
      </c>
      <c r="B873">
        <v>12</v>
      </c>
      <c r="C873" t="s">
        <v>839</v>
      </c>
    </row>
    <row r="874" spans="1:3" hidden="1">
      <c r="A874" t="s">
        <v>1710</v>
      </c>
      <c r="B874">
        <v>12</v>
      </c>
      <c r="C874" t="s">
        <v>839</v>
      </c>
    </row>
    <row r="875" spans="1:3" hidden="1">
      <c r="A875" t="s">
        <v>1711</v>
      </c>
      <c r="B875">
        <v>12</v>
      </c>
      <c r="C875" t="s">
        <v>839</v>
      </c>
    </row>
    <row r="876" spans="1:3" hidden="1">
      <c r="A876" t="s">
        <v>1712</v>
      </c>
      <c r="B876">
        <v>12</v>
      </c>
      <c r="C876" t="s">
        <v>839</v>
      </c>
    </row>
    <row r="877" spans="1:3" hidden="1">
      <c r="A877" t="s">
        <v>1713</v>
      </c>
      <c r="B877">
        <v>12</v>
      </c>
      <c r="C877" t="s">
        <v>839</v>
      </c>
    </row>
    <row r="878" spans="1:3" hidden="1">
      <c r="A878" t="s">
        <v>1714</v>
      </c>
      <c r="B878">
        <v>12</v>
      </c>
      <c r="C878" t="s">
        <v>839</v>
      </c>
    </row>
    <row r="879" spans="1:3" hidden="1">
      <c r="A879" t="s">
        <v>1715</v>
      </c>
      <c r="B879">
        <v>12</v>
      </c>
      <c r="C879" t="s">
        <v>839</v>
      </c>
    </row>
    <row r="880" spans="1:3" hidden="1">
      <c r="A880" t="s">
        <v>1716</v>
      </c>
      <c r="B880">
        <v>12</v>
      </c>
      <c r="C880" t="s">
        <v>839</v>
      </c>
    </row>
    <row r="881" spans="1:3" hidden="1">
      <c r="A881" t="s">
        <v>1717</v>
      </c>
      <c r="B881">
        <v>12</v>
      </c>
      <c r="C881" t="s">
        <v>839</v>
      </c>
    </row>
    <row r="882" spans="1:3" hidden="1">
      <c r="A882" t="s">
        <v>1718</v>
      </c>
      <c r="B882">
        <v>12</v>
      </c>
      <c r="C882" t="s">
        <v>839</v>
      </c>
    </row>
    <row r="883" spans="1:3" hidden="1">
      <c r="A883" t="s">
        <v>1719</v>
      </c>
      <c r="B883">
        <v>12</v>
      </c>
      <c r="C883" t="s">
        <v>839</v>
      </c>
    </row>
    <row r="884" spans="1:3" hidden="1">
      <c r="A884" t="s">
        <v>1720</v>
      </c>
      <c r="B884">
        <v>95</v>
      </c>
      <c r="C884" t="s">
        <v>839</v>
      </c>
    </row>
    <row r="885" spans="1:3" hidden="1">
      <c r="A885" t="s">
        <v>1721</v>
      </c>
      <c r="B885">
        <v>93</v>
      </c>
      <c r="C885" t="s">
        <v>839</v>
      </c>
    </row>
    <row r="886" spans="1:3" hidden="1">
      <c r="A886" t="s">
        <v>1722</v>
      </c>
      <c r="B886">
        <v>10</v>
      </c>
      <c r="C886" t="s">
        <v>839</v>
      </c>
    </row>
    <row r="887" spans="1:3" hidden="1">
      <c r="A887" t="s">
        <v>1723</v>
      </c>
      <c r="B887">
        <v>48</v>
      </c>
      <c r="C887" t="s">
        <v>839</v>
      </c>
    </row>
    <row r="888" spans="1:3" hidden="1">
      <c r="A888" t="s">
        <v>1724</v>
      </c>
      <c r="B888">
        <v>43</v>
      </c>
      <c r="C888" t="s">
        <v>839</v>
      </c>
    </row>
    <row r="889" spans="1:3" hidden="1">
      <c r="A889" t="s">
        <v>1725</v>
      </c>
      <c r="B889">
        <v>89</v>
      </c>
      <c r="C889" t="s">
        <v>839</v>
      </c>
    </row>
    <row r="890" spans="1:3" hidden="1">
      <c r="A890" t="s">
        <v>1726</v>
      </c>
      <c r="B890">
        <v>49</v>
      </c>
      <c r="C890" t="s">
        <v>839</v>
      </c>
    </row>
    <row r="891" spans="1:3" hidden="1">
      <c r="A891" t="s">
        <v>1727</v>
      </c>
      <c r="B891">
        <v>72</v>
      </c>
      <c r="C891" t="s">
        <v>839</v>
      </c>
    </row>
    <row r="892" spans="1:3" hidden="1">
      <c r="A892" t="s">
        <v>1728</v>
      </c>
      <c r="B892">
        <v>6</v>
      </c>
      <c r="C892" t="s">
        <v>839</v>
      </c>
    </row>
    <row r="893" spans="1:3" hidden="1">
      <c r="A893" t="s">
        <v>1729</v>
      </c>
      <c r="B893">
        <v>61</v>
      </c>
      <c r="C893" t="s">
        <v>839</v>
      </c>
    </row>
    <row r="894" spans="1:3" hidden="1">
      <c r="A894" t="s">
        <v>1730</v>
      </c>
      <c r="B894">
        <v>30</v>
      </c>
      <c r="C894" t="s">
        <v>839</v>
      </c>
    </row>
    <row r="895" spans="1:3" hidden="1">
      <c r="A895" t="s">
        <v>1731</v>
      </c>
      <c r="B895">
        <v>72</v>
      </c>
      <c r="C895" t="s">
        <v>839</v>
      </c>
    </row>
    <row r="896" spans="1:3" hidden="1">
      <c r="A896" t="s">
        <v>1732</v>
      </c>
      <c r="B896">
        <v>86</v>
      </c>
      <c r="C896" t="s">
        <v>839</v>
      </c>
    </row>
    <row r="897" spans="1:3" hidden="1">
      <c r="A897" t="s">
        <v>1733</v>
      </c>
      <c r="B897">
        <v>86</v>
      </c>
      <c r="C897" t="s">
        <v>839</v>
      </c>
    </row>
    <row r="898" spans="1:3" hidden="1">
      <c r="A898" t="s">
        <v>1734</v>
      </c>
      <c r="B898">
        <v>86</v>
      </c>
      <c r="C898" t="s">
        <v>839</v>
      </c>
    </row>
    <row r="899" spans="1:3" hidden="1">
      <c r="A899" t="s">
        <v>1735</v>
      </c>
      <c r="B899">
        <v>17</v>
      </c>
      <c r="C899" t="s">
        <v>839</v>
      </c>
    </row>
    <row r="900" spans="1:3" hidden="1">
      <c r="A900" t="s">
        <v>1736</v>
      </c>
      <c r="B900">
        <v>17</v>
      </c>
      <c r="C900" t="s">
        <v>839</v>
      </c>
    </row>
    <row r="901" spans="1:3" hidden="1">
      <c r="A901" t="s">
        <v>1737</v>
      </c>
      <c r="B901">
        <v>17</v>
      </c>
      <c r="C901" t="s">
        <v>839</v>
      </c>
    </row>
    <row r="902" spans="1:3" hidden="1">
      <c r="A902" t="s">
        <v>1738</v>
      </c>
      <c r="B902">
        <v>17</v>
      </c>
      <c r="C902" t="s">
        <v>839</v>
      </c>
    </row>
    <row r="903" spans="1:3" hidden="1">
      <c r="A903" t="s">
        <v>1739</v>
      </c>
      <c r="B903">
        <v>17</v>
      </c>
      <c r="C903" t="s">
        <v>839</v>
      </c>
    </row>
    <row r="904" spans="1:3" hidden="1">
      <c r="A904" t="s">
        <v>1740</v>
      </c>
      <c r="B904">
        <v>60</v>
      </c>
      <c r="C904" t="s">
        <v>839</v>
      </c>
    </row>
    <row r="905" spans="1:3" hidden="1">
      <c r="A905" t="s">
        <v>1741</v>
      </c>
      <c r="B905">
        <v>17</v>
      </c>
      <c r="C905" t="s">
        <v>839</v>
      </c>
    </row>
    <row r="906" spans="1:3" hidden="1">
      <c r="A906" t="s">
        <v>1742</v>
      </c>
      <c r="B906">
        <v>17</v>
      </c>
      <c r="C906" t="s">
        <v>839</v>
      </c>
    </row>
    <row r="907" spans="1:3" hidden="1">
      <c r="A907" t="s">
        <v>1743</v>
      </c>
      <c r="B907">
        <v>17</v>
      </c>
      <c r="C907" t="s">
        <v>839</v>
      </c>
    </row>
    <row r="908" spans="1:3" hidden="1">
      <c r="A908" t="s">
        <v>1744</v>
      </c>
      <c r="B908">
        <v>17</v>
      </c>
      <c r="C908" t="s">
        <v>839</v>
      </c>
    </row>
    <row r="909" spans="1:3" hidden="1">
      <c r="A909" t="s">
        <v>1745</v>
      </c>
      <c r="B909">
        <v>17</v>
      </c>
      <c r="C909" t="s">
        <v>839</v>
      </c>
    </row>
    <row r="910" spans="1:3" hidden="1">
      <c r="A910" t="s">
        <v>1746</v>
      </c>
      <c r="B910">
        <v>17</v>
      </c>
      <c r="C910" t="s">
        <v>839</v>
      </c>
    </row>
    <row r="911" spans="1:3" hidden="1">
      <c r="A911" t="s">
        <v>1747</v>
      </c>
      <c r="B911">
        <v>17</v>
      </c>
      <c r="C911" t="s">
        <v>839</v>
      </c>
    </row>
    <row r="912" spans="1:3" hidden="1">
      <c r="A912" t="s">
        <v>1748</v>
      </c>
      <c r="B912">
        <v>5</v>
      </c>
      <c r="C912" t="s">
        <v>839</v>
      </c>
    </row>
    <row r="913" spans="1:3">
      <c r="A913" t="s">
        <v>1749</v>
      </c>
      <c r="B913">
        <v>83</v>
      </c>
      <c r="C913" t="s">
        <v>839</v>
      </c>
    </row>
    <row r="914" spans="1:3" hidden="1">
      <c r="A914" t="s">
        <v>1750</v>
      </c>
      <c r="B914">
        <v>37</v>
      </c>
      <c r="C914" t="s">
        <v>839</v>
      </c>
    </row>
    <row r="915" spans="1:3" hidden="1">
      <c r="A915" t="s">
        <v>1751</v>
      </c>
      <c r="B915">
        <v>12</v>
      </c>
      <c r="C915" t="s">
        <v>839</v>
      </c>
    </row>
    <row r="916" spans="1:3" hidden="1">
      <c r="A916" t="s">
        <v>1752</v>
      </c>
      <c r="B916">
        <v>11</v>
      </c>
      <c r="C916" t="s">
        <v>839</v>
      </c>
    </row>
    <row r="917" spans="1:3" hidden="1">
      <c r="A917" t="s">
        <v>1753</v>
      </c>
      <c r="B917">
        <v>11</v>
      </c>
      <c r="C917" t="s">
        <v>839</v>
      </c>
    </row>
    <row r="918" spans="1:3" hidden="1">
      <c r="A918" t="s">
        <v>1754</v>
      </c>
      <c r="B918">
        <v>11</v>
      </c>
      <c r="C918" t="s">
        <v>839</v>
      </c>
    </row>
    <row r="919" spans="1:3" hidden="1">
      <c r="A919" t="s">
        <v>1755</v>
      </c>
      <c r="B919">
        <v>12</v>
      </c>
      <c r="C919" t="s">
        <v>839</v>
      </c>
    </row>
    <row r="920" spans="1:3" hidden="1">
      <c r="A920" t="s">
        <v>1756</v>
      </c>
      <c r="B920">
        <v>12</v>
      </c>
      <c r="C920" t="s">
        <v>839</v>
      </c>
    </row>
    <row r="921" spans="1:3" hidden="1">
      <c r="A921" t="s">
        <v>1757</v>
      </c>
      <c r="B921">
        <v>12</v>
      </c>
      <c r="C921" t="s">
        <v>839</v>
      </c>
    </row>
    <row r="922" spans="1:3" hidden="1">
      <c r="A922" t="s">
        <v>1758</v>
      </c>
      <c r="B922">
        <v>60</v>
      </c>
      <c r="C922" t="s">
        <v>839</v>
      </c>
    </row>
    <row r="923" spans="1:3" hidden="1">
      <c r="A923" t="s">
        <v>1759</v>
      </c>
      <c r="B923">
        <v>60</v>
      </c>
      <c r="C923" t="s">
        <v>839</v>
      </c>
    </row>
    <row r="924" spans="1:3" hidden="1">
      <c r="A924" t="s">
        <v>1760</v>
      </c>
      <c r="B924">
        <v>60</v>
      </c>
      <c r="C924" t="s">
        <v>839</v>
      </c>
    </row>
    <row r="925" spans="1:3" hidden="1">
      <c r="A925" t="s">
        <v>1761</v>
      </c>
      <c r="B925">
        <v>49</v>
      </c>
      <c r="C925" t="s">
        <v>839</v>
      </c>
    </row>
    <row r="926" spans="1:3" hidden="1">
      <c r="A926" t="s">
        <v>1762</v>
      </c>
      <c r="B926">
        <v>49</v>
      </c>
      <c r="C926" t="s">
        <v>839</v>
      </c>
    </row>
    <row r="927" spans="1:3" hidden="1">
      <c r="A927" t="s">
        <v>1763</v>
      </c>
      <c r="B927">
        <v>61</v>
      </c>
      <c r="C927" t="s">
        <v>839</v>
      </c>
    </row>
    <row r="928" spans="1:3" hidden="1">
      <c r="A928" t="s">
        <v>1764</v>
      </c>
      <c r="B928">
        <v>61</v>
      </c>
      <c r="C928" t="s">
        <v>839</v>
      </c>
    </row>
    <row r="929" spans="1:3" hidden="1">
      <c r="A929" t="s">
        <v>1765</v>
      </c>
      <c r="B929">
        <v>10</v>
      </c>
      <c r="C929" t="s">
        <v>839</v>
      </c>
    </row>
    <row r="930" spans="1:3" hidden="1">
      <c r="A930" t="s">
        <v>1766</v>
      </c>
      <c r="B930">
        <v>10</v>
      </c>
      <c r="C930" t="s">
        <v>839</v>
      </c>
    </row>
    <row r="931" spans="1:3" hidden="1">
      <c r="A931" t="s">
        <v>1767</v>
      </c>
      <c r="B931">
        <v>10</v>
      </c>
      <c r="C931" t="s">
        <v>839</v>
      </c>
    </row>
    <row r="932" spans="1:3" hidden="1">
      <c r="A932" t="s">
        <v>1768</v>
      </c>
      <c r="B932">
        <v>10</v>
      </c>
      <c r="C932" t="s">
        <v>839</v>
      </c>
    </row>
    <row r="933" spans="1:3" hidden="1">
      <c r="A933" t="s">
        <v>1769</v>
      </c>
      <c r="B933">
        <v>10</v>
      </c>
      <c r="C933" t="s">
        <v>839</v>
      </c>
    </row>
    <row r="934" spans="1:3" hidden="1">
      <c r="A934" t="s">
        <v>1770</v>
      </c>
      <c r="B934">
        <v>10</v>
      </c>
      <c r="C934" t="s">
        <v>839</v>
      </c>
    </row>
    <row r="935" spans="1:3" hidden="1">
      <c r="A935" t="s">
        <v>1771</v>
      </c>
      <c r="B935">
        <v>10</v>
      </c>
      <c r="C935" t="s">
        <v>839</v>
      </c>
    </row>
    <row r="936" spans="1:3" hidden="1">
      <c r="A936" t="s">
        <v>1772</v>
      </c>
      <c r="B936">
        <v>10</v>
      </c>
      <c r="C936" t="s">
        <v>839</v>
      </c>
    </row>
    <row r="937" spans="1:3" hidden="1">
      <c r="A937" t="s">
        <v>1773</v>
      </c>
      <c r="B937">
        <v>95</v>
      </c>
      <c r="C937" t="s">
        <v>839</v>
      </c>
    </row>
    <row r="938" spans="1:3" hidden="1">
      <c r="A938" t="s">
        <v>1774</v>
      </c>
      <c r="B938">
        <v>10</v>
      </c>
      <c r="C938" t="s">
        <v>839</v>
      </c>
    </row>
    <row r="939" spans="1:3" hidden="1">
      <c r="A939" t="s">
        <v>1775</v>
      </c>
      <c r="B939">
        <v>10</v>
      </c>
      <c r="C939" t="s">
        <v>839</v>
      </c>
    </row>
    <row r="940" spans="1:3" hidden="1">
      <c r="A940" t="s">
        <v>1776</v>
      </c>
      <c r="B940">
        <v>10</v>
      </c>
      <c r="C940" t="s">
        <v>839</v>
      </c>
    </row>
    <row r="941" spans="1:3" hidden="1">
      <c r="A941" t="s">
        <v>1777</v>
      </c>
      <c r="B941">
        <v>10</v>
      </c>
      <c r="C941" t="s">
        <v>839</v>
      </c>
    </row>
    <row r="942" spans="1:3" hidden="1">
      <c r="A942" t="s">
        <v>1778</v>
      </c>
      <c r="B942">
        <v>10</v>
      </c>
      <c r="C942" t="s">
        <v>839</v>
      </c>
    </row>
    <row r="943" spans="1:3" hidden="1">
      <c r="A943" t="s">
        <v>1779</v>
      </c>
      <c r="B943">
        <v>93</v>
      </c>
      <c r="C943" t="s">
        <v>839</v>
      </c>
    </row>
    <row r="944" spans="1:3">
      <c r="A944" t="s">
        <v>1780</v>
      </c>
      <c r="B944">
        <v>83</v>
      </c>
      <c r="C944" t="s">
        <v>839</v>
      </c>
    </row>
    <row r="945" spans="1:3" hidden="1">
      <c r="A945" t="s">
        <v>1781</v>
      </c>
      <c r="B945">
        <v>43</v>
      </c>
      <c r="C945" t="s">
        <v>839</v>
      </c>
    </row>
    <row r="946" spans="1:3" hidden="1">
      <c r="A946" t="s">
        <v>1782</v>
      </c>
      <c r="B946">
        <v>47</v>
      </c>
      <c r="C946" t="s">
        <v>839</v>
      </c>
    </row>
    <row r="947" spans="1:3" hidden="1">
      <c r="A947" t="s">
        <v>1783</v>
      </c>
      <c r="B947">
        <v>30</v>
      </c>
      <c r="C947" t="s">
        <v>839</v>
      </c>
    </row>
    <row r="948" spans="1:3" hidden="1">
      <c r="A948" t="s">
        <v>1784</v>
      </c>
      <c r="B948">
        <v>37</v>
      </c>
      <c r="C948" t="s">
        <v>839</v>
      </c>
    </row>
    <row r="949" spans="1:3" hidden="1">
      <c r="A949" t="s">
        <v>1785</v>
      </c>
      <c r="B949">
        <v>48</v>
      </c>
      <c r="C949" t="s">
        <v>839</v>
      </c>
    </row>
    <row r="950" spans="1:3" hidden="1">
      <c r="A950" t="s">
        <v>1786</v>
      </c>
      <c r="B950">
        <v>37</v>
      </c>
      <c r="C950" t="s">
        <v>839</v>
      </c>
    </row>
    <row r="951" spans="1:3">
      <c r="A951" t="s">
        <v>1787</v>
      </c>
      <c r="B951">
        <v>83</v>
      </c>
      <c r="C951" t="s">
        <v>839</v>
      </c>
    </row>
    <row r="952" spans="1:3" hidden="1">
      <c r="A952" t="s">
        <v>1788</v>
      </c>
      <c r="B952">
        <v>37</v>
      </c>
      <c r="C952" t="s">
        <v>839</v>
      </c>
    </row>
    <row r="953" spans="1:3" hidden="1">
      <c r="A953" t="s">
        <v>1789</v>
      </c>
      <c r="B953">
        <v>81</v>
      </c>
      <c r="C953" t="s">
        <v>839</v>
      </c>
    </row>
    <row r="954" spans="1:3" hidden="1">
      <c r="A954" t="s">
        <v>1790</v>
      </c>
      <c r="B954">
        <v>52</v>
      </c>
      <c r="C954" t="s">
        <v>839</v>
      </c>
    </row>
    <row r="955" spans="1:3" hidden="1">
      <c r="A955" t="s">
        <v>1791</v>
      </c>
      <c r="B955">
        <v>43</v>
      </c>
      <c r="C955" t="s">
        <v>839</v>
      </c>
    </row>
    <row r="956" spans="1:3" hidden="1">
      <c r="A956" t="s">
        <v>1792</v>
      </c>
      <c r="B956">
        <v>37</v>
      </c>
      <c r="C956" t="s">
        <v>839</v>
      </c>
    </row>
    <row r="957" spans="1:3" hidden="1">
      <c r="A957" t="s">
        <v>1793</v>
      </c>
      <c r="B957">
        <v>49</v>
      </c>
      <c r="C957" t="s">
        <v>839</v>
      </c>
    </row>
    <row r="958" spans="1:3" hidden="1">
      <c r="A958" t="s">
        <v>1794</v>
      </c>
      <c r="B958">
        <v>37</v>
      </c>
      <c r="C958" t="s">
        <v>839</v>
      </c>
    </row>
    <row r="959" spans="1:3" hidden="1">
      <c r="A959" t="s">
        <v>1795</v>
      </c>
      <c r="B959">
        <v>48</v>
      </c>
      <c r="C959" t="s">
        <v>839</v>
      </c>
    </row>
    <row r="960" spans="1:3" hidden="1">
      <c r="A960" t="s">
        <v>1796</v>
      </c>
      <c r="B960">
        <v>10</v>
      </c>
      <c r="C960" t="s">
        <v>839</v>
      </c>
    </row>
    <row r="961" spans="1:3" hidden="1">
      <c r="A961" t="s">
        <v>1797</v>
      </c>
      <c r="B961">
        <v>10</v>
      </c>
      <c r="C961" t="s">
        <v>839</v>
      </c>
    </row>
    <row r="962" spans="1:3" hidden="1">
      <c r="A962" t="s">
        <v>1798</v>
      </c>
      <c r="B962">
        <v>10</v>
      </c>
      <c r="C962" t="s">
        <v>839</v>
      </c>
    </row>
    <row r="963" spans="1:3" hidden="1">
      <c r="A963" t="s">
        <v>1799</v>
      </c>
      <c r="B963">
        <v>10</v>
      </c>
      <c r="C963" t="s">
        <v>839</v>
      </c>
    </row>
    <row r="964" spans="1:3" hidden="1">
      <c r="A964" t="s">
        <v>1800</v>
      </c>
      <c r="B964">
        <v>10</v>
      </c>
      <c r="C964" t="s">
        <v>839</v>
      </c>
    </row>
    <row r="965" spans="1:3" hidden="1">
      <c r="A965" t="s">
        <v>1801</v>
      </c>
      <c r="B965">
        <v>10</v>
      </c>
      <c r="C965" t="s">
        <v>839</v>
      </c>
    </row>
    <row r="966" spans="1:3" hidden="1">
      <c r="A966" t="s">
        <v>1802</v>
      </c>
      <c r="B966">
        <v>10</v>
      </c>
      <c r="C966" t="s">
        <v>839</v>
      </c>
    </row>
    <row r="967" spans="1:3" hidden="1">
      <c r="A967" t="s">
        <v>1803</v>
      </c>
      <c r="B967">
        <v>49</v>
      </c>
      <c r="C967" t="s">
        <v>839</v>
      </c>
    </row>
    <row r="968" spans="1:3" hidden="1">
      <c r="A968" t="s">
        <v>1804</v>
      </c>
      <c r="B968">
        <v>91</v>
      </c>
      <c r="C968" t="s">
        <v>839</v>
      </c>
    </row>
    <row r="969" spans="1:3" hidden="1">
      <c r="A969" t="s">
        <v>1805</v>
      </c>
      <c r="B969">
        <v>40</v>
      </c>
      <c r="C969" t="s">
        <v>839</v>
      </c>
    </row>
    <row r="970" spans="1:3" hidden="1">
      <c r="A970" t="s">
        <v>1806</v>
      </c>
      <c r="B970">
        <v>16</v>
      </c>
      <c r="C970" t="s">
        <v>839</v>
      </c>
    </row>
    <row r="971" spans="1:3" hidden="1">
      <c r="A971" t="s">
        <v>1807</v>
      </c>
      <c r="B971">
        <v>40</v>
      </c>
      <c r="C971" t="s">
        <v>839</v>
      </c>
    </row>
    <row r="972" spans="1:3" hidden="1">
      <c r="A972" t="s">
        <v>1808</v>
      </c>
      <c r="B972">
        <v>40</v>
      </c>
      <c r="C972" t="s">
        <v>839</v>
      </c>
    </row>
    <row r="973" spans="1:3" hidden="1">
      <c r="A973" t="s">
        <v>1809</v>
      </c>
      <c r="B973">
        <v>40</v>
      </c>
      <c r="C973" t="s">
        <v>839</v>
      </c>
    </row>
    <row r="974" spans="1:3" hidden="1">
      <c r="A974" t="s">
        <v>1810</v>
      </c>
      <c r="B974">
        <v>40</v>
      </c>
      <c r="C974" t="s">
        <v>839</v>
      </c>
    </row>
    <row r="975" spans="1:3" hidden="1">
      <c r="A975" t="s">
        <v>1811</v>
      </c>
      <c r="B975">
        <v>40</v>
      </c>
      <c r="C975" t="s">
        <v>839</v>
      </c>
    </row>
    <row r="976" spans="1:3" hidden="1">
      <c r="A976" t="s">
        <v>1812</v>
      </c>
      <c r="B976">
        <v>16</v>
      </c>
      <c r="C976" t="s">
        <v>839</v>
      </c>
    </row>
    <row r="977" spans="1:3" hidden="1">
      <c r="A977" t="s">
        <v>1813</v>
      </c>
      <c r="B977">
        <v>40</v>
      </c>
      <c r="C977" t="s">
        <v>839</v>
      </c>
    </row>
    <row r="978" spans="1:3" hidden="1">
      <c r="A978" t="s">
        <v>1814</v>
      </c>
      <c r="B978">
        <v>40</v>
      </c>
      <c r="C978" t="s">
        <v>839</v>
      </c>
    </row>
    <row r="979" spans="1:3" hidden="1">
      <c r="A979" t="s">
        <v>1815</v>
      </c>
      <c r="B979">
        <v>1</v>
      </c>
      <c r="C979" t="s">
        <v>839</v>
      </c>
    </row>
    <row r="980" spans="1:3" hidden="1">
      <c r="A980" t="s">
        <v>1816</v>
      </c>
      <c r="B980">
        <v>66</v>
      </c>
      <c r="C980" t="s">
        <v>839</v>
      </c>
    </row>
    <row r="981" spans="1:3" hidden="1">
      <c r="A981" t="s">
        <v>1817</v>
      </c>
      <c r="B981">
        <v>95</v>
      </c>
      <c r="C981" t="s">
        <v>839</v>
      </c>
    </row>
    <row r="982" spans="1:3" hidden="1">
      <c r="A982" t="s">
        <v>1818</v>
      </c>
      <c r="B982">
        <v>11</v>
      </c>
      <c r="C982" t="s">
        <v>839</v>
      </c>
    </row>
    <row r="983" spans="1:3" hidden="1">
      <c r="A983" t="s">
        <v>1819</v>
      </c>
      <c r="B983">
        <v>11</v>
      </c>
      <c r="C983" t="s">
        <v>839</v>
      </c>
    </row>
    <row r="984" spans="1:3" hidden="1">
      <c r="A984" t="s">
        <v>1820</v>
      </c>
      <c r="B984">
        <v>11</v>
      </c>
      <c r="C984" t="s">
        <v>839</v>
      </c>
    </row>
    <row r="985" spans="1:3" hidden="1">
      <c r="A985" t="s">
        <v>1821</v>
      </c>
      <c r="B985">
        <v>12</v>
      </c>
      <c r="C985" t="s">
        <v>839</v>
      </c>
    </row>
    <row r="986" spans="1:3" hidden="1">
      <c r="A986" t="s">
        <v>1822</v>
      </c>
      <c r="B986">
        <v>12</v>
      </c>
      <c r="C986" t="s">
        <v>839</v>
      </c>
    </row>
    <row r="987" spans="1:3" hidden="1">
      <c r="A987" t="s">
        <v>1823</v>
      </c>
      <c r="B987">
        <v>12</v>
      </c>
      <c r="C987" t="s">
        <v>839</v>
      </c>
    </row>
    <row r="988" spans="1:3" hidden="1">
      <c r="A988" t="s">
        <v>1824</v>
      </c>
      <c r="B988">
        <v>12</v>
      </c>
      <c r="C988" t="s">
        <v>839</v>
      </c>
    </row>
    <row r="989" spans="1:3" hidden="1">
      <c r="A989" t="s">
        <v>1825</v>
      </c>
      <c r="B989">
        <v>11</v>
      </c>
      <c r="C989" t="s">
        <v>839</v>
      </c>
    </row>
    <row r="990" spans="1:3" hidden="1">
      <c r="A990" t="s">
        <v>1826</v>
      </c>
      <c r="B990">
        <v>11</v>
      </c>
      <c r="C990" t="s">
        <v>839</v>
      </c>
    </row>
    <row r="991" spans="1:3" hidden="1">
      <c r="A991" t="s">
        <v>1827</v>
      </c>
      <c r="B991">
        <v>12</v>
      </c>
      <c r="C991" t="s">
        <v>839</v>
      </c>
    </row>
    <row r="992" spans="1:3" hidden="1">
      <c r="A992" t="s">
        <v>1828</v>
      </c>
      <c r="B992">
        <v>11</v>
      </c>
      <c r="C992" t="s">
        <v>839</v>
      </c>
    </row>
    <row r="993" spans="1:3" hidden="1">
      <c r="A993" t="s">
        <v>1829</v>
      </c>
      <c r="B993">
        <v>12</v>
      </c>
      <c r="C993" t="s">
        <v>839</v>
      </c>
    </row>
    <row r="994" spans="1:3" hidden="1">
      <c r="A994" t="s">
        <v>1830</v>
      </c>
      <c r="B994">
        <v>11</v>
      </c>
      <c r="C994" t="s">
        <v>839</v>
      </c>
    </row>
    <row r="995" spans="1:3" hidden="1">
      <c r="A995" t="s">
        <v>1831</v>
      </c>
      <c r="B995">
        <v>11</v>
      </c>
      <c r="C995" t="s">
        <v>839</v>
      </c>
    </row>
    <row r="996" spans="1:3" hidden="1">
      <c r="A996" t="s">
        <v>1832</v>
      </c>
      <c r="B996">
        <v>17</v>
      </c>
      <c r="C996" t="s">
        <v>839</v>
      </c>
    </row>
    <row r="997" spans="1:3" hidden="1">
      <c r="A997" t="s">
        <v>1833</v>
      </c>
      <c r="B997">
        <v>17</v>
      </c>
      <c r="C997" t="s">
        <v>839</v>
      </c>
    </row>
    <row r="998" spans="1:3" hidden="1">
      <c r="A998" t="s">
        <v>1834</v>
      </c>
      <c r="B998">
        <v>41</v>
      </c>
      <c r="C998" t="s">
        <v>839</v>
      </c>
    </row>
    <row r="999" spans="1:3" hidden="1">
      <c r="A999" t="s">
        <v>1835</v>
      </c>
      <c r="B999">
        <v>95</v>
      </c>
      <c r="C999" t="s">
        <v>839</v>
      </c>
    </row>
    <row r="1000" spans="1:3" hidden="1">
      <c r="A1000" t="s">
        <v>1836</v>
      </c>
      <c r="B1000">
        <v>95</v>
      </c>
      <c r="C1000" t="s">
        <v>839</v>
      </c>
    </row>
    <row r="1001" spans="1:3" hidden="1">
      <c r="A1001" t="s">
        <v>1837</v>
      </c>
      <c r="B1001">
        <v>43</v>
      </c>
      <c r="C1001" t="s">
        <v>839</v>
      </c>
    </row>
    <row r="1002" spans="1:3" hidden="1">
      <c r="A1002" t="s">
        <v>1838</v>
      </c>
      <c r="B1002">
        <v>43</v>
      </c>
      <c r="C1002" t="s">
        <v>839</v>
      </c>
    </row>
    <row r="1003" spans="1:3" hidden="1">
      <c r="A1003" t="s">
        <v>1839</v>
      </c>
      <c r="B1003">
        <v>43</v>
      </c>
      <c r="C1003" t="s">
        <v>839</v>
      </c>
    </row>
    <row r="1004" spans="1:3" hidden="1">
      <c r="A1004" t="s">
        <v>1840</v>
      </c>
      <c r="B1004">
        <v>43</v>
      </c>
      <c r="C1004" t="s">
        <v>839</v>
      </c>
    </row>
    <row r="1005" spans="1:3" hidden="1">
      <c r="A1005" t="s">
        <v>1841</v>
      </c>
      <c r="B1005">
        <v>43</v>
      </c>
      <c r="C1005" t="s">
        <v>839</v>
      </c>
    </row>
    <row r="1006" spans="1:3" hidden="1">
      <c r="A1006" t="s">
        <v>1842</v>
      </c>
      <c r="B1006">
        <v>43</v>
      </c>
      <c r="C1006" t="s">
        <v>839</v>
      </c>
    </row>
    <row r="1007" spans="1:3" hidden="1">
      <c r="A1007" t="s">
        <v>1843</v>
      </c>
      <c r="B1007">
        <v>43</v>
      </c>
      <c r="C1007" t="s">
        <v>839</v>
      </c>
    </row>
    <row r="1008" spans="1:3" hidden="1">
      <c r="A1008" t="s">
        <v>1844</v>
      </c>
      <c r="B1008">
        <v>43</v>
      </c>
      <c r="C1008" t="s">
        <v>839</v>
      </c>
    </row>
    <row r="1009" spans="1:3" hidden="1">
      <c r="A1009" t="s">
        <v>1845</v>
      </c>
      <c r="B1009">
        <v>43</v>
      </c>
      <c r="C1009" t="s">
        <v>839</v>
      </c>
    </row>
    <row r="1010" spans="1:3" hidden="1">
      <c r="A1010" t="s">
        <v>1846</v>
      </c>
      <c r="B1010">
        <v>43</v>
      </c>
      <c r="C1010" t="s">
        <v>839</v>
      </c>
    </row>
    <row r="1011" spans="1:3" hidden="1">
      <c r="A1011" t="s">
        <v>1847</v>
      </c>
      <c r="B1011">
        <v>43</v>
      </c>
      <c r="C1011" t="s">
        <v>839</v>
      </c>
    </row>
    <row r="1012" spans="1:3" hidden="1">
      <c r="A1012" t="s">
        <v>1848</v>
      </c>
      <c r="B1012">
        <v>43</v>
      </c>
      <c r="C1012" t="s">
        <v>839</v>
      </c>
    </row>
    <row r="1013" spans="1:3" hidden="1">
      <c r="A1013" t="s">
        <v>1849</v>
      </c>
      <c r="B1013">
        <v>43</v>
      </c>
      <c r="C1013" t="s">
        <v>839</v>
      </c>
    </row>
    <row r="1014" spans="1:3" hidden="1">
      <c r="A1014" t="s">
        <v>1850</v>
      </c>
      <c r="B1014">
        <v>43</v>
      </c>
      <c r="C1014" t="s">
        <v>839</v>
      </c>
    </row>
    <row r="1015" spans="1:3" hidden="1">
      <c r="A1015" t="s">
        <v>1851</v>
      </c>
      <c r="B1015">
        <v>43</v>
      </c>
      <c r="C1015" t="s">
        <v>839</v>
      </c>
    </row>
    <row r="1016" spans="1:3" hidden="1">
      <c r="A1016" t="s">
        <v>1852</v>
      </c>
      <c r="B1016">
        <v>43</v>
      </c>
      <c r="C1016" t="s">
        <v>839</v>
      </c>
    </row>
    <row r="1017" spans="1:3" hidden="1">
      <c r="A1017" t="s">
        <v>1853</v>
      </c>
      <c r="B1017">
        <v>41</v>
      </c>
      <c r="C1017" t="s">
        <v>839</v>
      </c>
    </row>
    <row r="1018" spans="1:3" hidden="1">
      <c r="A1018" t="s">
        <v>1854</v>
      </c>
      <c r="B1018">
        <v>43</v>
      </c>
      <c r="C1018" t="s">
        <v>839</v>
      </c>
    </row>
    <row r="1019" spans="1:3" hidden="1">
      <c r="A1019" t="s">
        <v>1855</v>
      </c>
      <c r="B1019">
        <v>43</v>
      </c>
      <c r="C1019" t="s">
        <v>839</v>
      </c>
    </row>
    <row r="1020" spans="1:3" hidden="1">
      <c r="A1020" t="s">
        <v>1856</v>
      </c>
      <c r="B1020">
        <v>43</v>
      </c>
      <c r="C1020" t="s">
        <v>839</v>
      </c>
    </row>
    <row r="1021" spans="1:3" hidden="1">
      <c r="A1021" t="s">
        <v>1857</v>
      </c>
      <c r="B1021">
        <v>43</v>
      </c>
      <c r="C1021" t="s">
        <v>839</v>
      </c>
    </row>
    <row r="1022" spans="1:3" hidden="1">
      <c r="A1022" t="s">
        <v>1858</v>
      </c>
      <c r="B1022">
        <v>43</v>
      </c>
      <c r="C1022" t="s">
        <v>839</v>
      </c>
    </row>
    <row r="1023" spans="1:3" hidden="1">
      <c r="A1023" t="s">
        <v>1859</v>
      </c>
      <c r="B1023">
        <v>43</v>
      </c>
      <c r="C1023" t="s">
        <v>839</v>
      </c>
    </row>
    <row r="1024" spans="1:3" hidden="1">
      <c r="A1024" t="s">
        <v>1860</v>
      </c>
      <c r="B1024">
        <v>42</v>
      </c>
      <c r="C1024" t="s">
        <v>839</v>
      </c>
    </row>
    <row r="1025" spans="1:3" hidden="1">
      <c r="A1025" t="s">
        <v>1861</v>
      </c>
      <c r="B1025">
        <v>43</v>
      </c>
      <c r="C1025" t="s">
        <v>839</v>
      </c>
    </row>
    <row r="1026" spans="1:3" hidden="1">
      <c r="A1026" t="s">
        <v>1862</v>
      </c>
      <c r="B1026">
        <v>43</v>
      </c>
      <c r="C1026" t="s">
        <v>839</v>
      </c>
    </row>
    <row r="1027" spans="1:3" hidden="1">
      <c r="A1027" t="s">
        <v>1863</v>
      </c>
      <c r="B1027">
        <v>43</v>
      </c>
      <c r="C1027" t="s">
        <v>839</v>
      </c>
    </row>
    <row r="1028" spans="1:3" hidden="1">
      <c r="A1028" t="s">
        <v>1864</v>
      </c>
      <c r="B1028">
        <v>41</v>
      </c>
      <c r="C1028" t="s">
        <v>839</v>
      </c>
    </row>
    <row r="1029" spans="1:3" hidden="1">
      <c r="A1029" t="s">
        <v>1865</v>
      </c>
      <c r="B1029">
        <v>43</v>
      </c>
      <c r="C1029" t="s">
        <v>839</v>
      </c>
    </row>
    <row r="1030" spans="1:3" hidden="1">
      <c r="A1030" t="s">
        <v>1866</v>
      </c>
      <c r="B1030">
        <v>43</v>
      </c>
      <c r="C1030" t="s">
        <v>839</v>
      </c>
    </row>
    <row r="1031" spans="1:3" hidden="1">
      <c r="A1031" t="s">
        <v>1867</v>
      </c>
      <c r="B1031">
        <v>43</v>
      </c>
      <c r="C1031" t="s">
        <v>839</v>
      </c>
    </row>
    <row r="1032" spans="1:3" hidden="1">
      <c r="A1032" t="s">
        <v>1868</v>
      </c>
      <c r="B1032">
        <v>43</v>
      </c>
      <c r="C1032" t="s">
        <v>839</v>
      </c>
    </row>
    <row r="1033" spans="1:3" hidden="1">
      <c r="A1033" t="s">
        <v>1869</v>
      </c>
      <c r="B1033">
        <v>43</v>
      </c>
      <c r="C1033" t="s">
        <v>839</v>
      </c>
    </row>
    <row r="1034" spans="1:3" hidden="1">
      <c r="A1034" t="s">
        <v>1870</v>
      </c>
      <c r="B1034">
        <v>43</v>
      </c>
      <c r="C1034" t="s">
        <v>839</v>
      </c>
    </row>
    <row r="1035" spans="1:3" hidden="1">
      <c r="A1035" t="s">
        <v>1871</v>
      </c>
      <c r="B1035">
        <v>43</v>
      </c>
      <c r="C1035" t="s">
        <v>839</v>
      </c>
    </row>
    <row r="1036" spans="1:3" hidden="1">
      <c r="A1036" t="s">
        <v>1872</v>
      </c>
      <c r="B1036">
        <v>43</v>
      </c>
      <c r="C1036" t="s">
        <v>839</v>
      </c>
    </row>
    <row r="1037" spans="1:3" hidden="1">
      <c r="A1037" t="s">
        <v>1873</v>
      </c>
      <c r="B1037">
        <v>41</v>
      </c>
      <c r="C1037" t="s">
        <v>839</v>
      </c>
    </row>
    <row r="1038" spans="1:3" hidden="1">
      <c r="A1038" t="s">
        <v>1874</v>
      </c>
      <c r="B1038">
        <v>43</v>
      </c>
      <c r="C1038" t="s">
        <v>839</v>
      </c>
    </row>
    <row r="1039" spans="1:3" hidden="1">
      <c r="A1039" t="s">
        <v>1875</v>
      </c>
      <c r="B1039">
        <v>43</v>
      </c>
      <c r="C1039" t="s">
        <v>839</v>
      </c>
    </row>
    <row r="1040" spans="1:3" hidden="1">
      <c r="A1040" t="s">
        <v>1876</v>
      </c>
      <c r="B1040">
        <v>43</v>
      </c>
      <c r="C1040" t="s">
        <v>839</v>
      </c>
    </row>
    <row r="1041" spans="1:3" hidden="1">
      <c r="A1041" t="s">
        <v>1877</v>
      </c>
      <c r="B1041">
        <v>43</v>
      </c>
      <c r="C1041" t="s">
        <v>839</v>
      </c>
    </row>
    <row r="1042" spans="1:3" hidden="1">
      <c r="A1042" t="s">
        <v>1878</v>
      </c>
      <c r="B1042">
        <v>43</v>
      </c>
      <c r="C1042" t="s">
        <v>839</v>
      </c>
    </row>
    <row r="1043" spans="1:3" hidden="1">
      <c r="A1043" t="s">
        <v>1879</v>
      </c>
      <c r="B1043">
        <v>43</v>
      </c>
      <c r="C1043" t="s">
        <v>839</v>
      </c>
    </row>
    <row r="1044" spans="1:3" hidden="1">
      <c r="A1044" t="s">
        <v>1880</v>
      </c>
      <c r="B1044">
        <v>43</v>
      </c>
      <c r="C1044" t="s">
        <v>839</v>
      </c>
    </row>
    <row r="1045" spans="1:3" hidden="1">
      <c r="A1045" t="s">
        <v>1881</v>
      </c>
      <c r="B1045">
        <v>42</v>
      </c>
      <c r="C1045" t="s">
        <v>839</v>
      </c>
    </row>
    <row r="1046" spans="1:3" hidden="1">
      <c r="A1046" t="s">
        <v>1882</v>
      </c>
      <c r="B1046">
        <v>42</v>
      </c>
      <c r="C1046" t="s">
        <v>839</v>
      </c>
    </row>
    <row r="1047" spans="1:3" hidden="1">
      <c r="A1047" t="s">
        <v>1883</v>
      </c>
      <c r="B1047">
        <v>42</v>
      </c>
      <c r="C1047" t="s">
        <v>839</v>
      </c>
    </row>
    <row r="1048" spans="1:3" hidden="1">
      <c r="A1048" t="s">
        <v>1884</v>
      </c>
      <c r="B1048">
        <v>43</v>
      </c>
      <c r="C1048" t="s">
        <v>839</v>
      </c>
    </row>
    <row r="1049" spans="1:3" hidden="1">
      <c r="A1049" t="s">
        <v>1885</v>
      </c>
      <c r="B1049">
        <v>42</v>
      </c>
      <c r="C1049" t="s">
        <v>839</v>
      </c>
    </row>
    <row r="1050" spans="1:3" hidden="1">
      <c r="A1050" t="s">
        <v>1886</v>
      </c>
      <c r="B1050">
        <v>42</v>
      </c>
      <c r="C1050" t="s">
        <v>839</v>
      </c>
    </row>
    <row r="1051" spans="1:3" hidden="1">
      <c r="A1051" t="s">
        <v>1887</v>
      </c>
      <c r="B1051">
        <v>42</v>
      </c>
      <c r="C1051" t="s">
        <v>839</v>
      </c>
    </row>
    <row r="1052" spans="1:3" hidden="1">
      <c r="A1052" t="s">
        <v>1888</v>
      </c>
      <c r="B1052">
        <v>44</v>
      </c>
      <c r="C1052" t="s">
        <v>839</v>
      </c>
    </row>
    <row r="1053" spans="1:3" hidden="1">
      <c r="A1053" t="s">
        <v>1889</v>
      </c>
      <c r="B1053">
        <v>43</v>
      </c>
      <c r="C1053" t="s">
        <v>839</v>
      </c>
    </row>
    <row r="1054" spans="1:3" hidden="1">
      <c r="A1054" t="s">
        <v>1890</v>
      </c>
      <c r="B1054">
        <v>43</v>
      </c>
      <c r="C1054" t="s">
        <v>839</v>
      </c>
    </row>
    <row r="1055" spans="1:3" hidden="1">
      <c r="A1055" t="s">
        <v>1891</v>
      </c>
      <c r="B1055">
        <v>43</v>
      </c>
      <c r="C1055" t="s">
        <v>839</v>
      </c>
    </row>
    <row r="1056" spans="1:3" hidden="1">
      <c r="A1056" t="s">
        <v>1892</v>
      </c>
      <c r="B1056">
        <v>43</v>
      </c>
      <c r="C1056" t="s">
        <v>839</v>
      </c>
    </row>
    <row r="1057" spans="1:3" hidden="1">
      <c r="A1057" t="s">
        <v>1893</v>
      </c>
      <c r="B1057">
        <v>43</v>
      </c>
      <c r="C1057" t="s">
        <v>839</v>
      </c>
    </row>
    <row r="1058" spans="1:3" hidden="1">
      <c r="A1058" t="s">
        <v>1894</v>
      </c>
      <c r="B1058">
        <v>43</v>
      </c>
      <c r="C1058" t="s">
        <v>839</v>
      </c>
    </row>
    <row r="1059" spans="1:3" hidden="1">
      <c r="A1059" t="s">
        <v>1895</v>
      </c>
      <c r="B1059">
        <v>43</v>
      </c>
      <c r="C1059" t="s">
        <v>839</v>
      </c>
    </row>
    <row r="1060" spans="1:3" hidden="1">
      <c r="A1060" t="s">
        <v>1896</v>
      </c>
      <c r="B1060">
        <v>43</v>
      </c>
      <c r="C1060" t="s">
        <v>839</v>
      </c>
    </row>
    <row r="1061" spans="1:3" hidden="1">
      <c r="A1061" t="s">
        <v>1897</v>
      </c>
      <c r="B1061">
        <v>44</v>
      </c>
      <c r="C1061" t="s">
        <v>839</v>
      </c>
    </row>
    <row r="1062" spans="1:3" hidden="1">
      <c r="A1062" t="s">
        <v>1898</v>
      </c>
      <c r="B1062">
        <v>44</v>
      </c>
      <c r="C1062" t="s">
        <v>839</v>
      </c>
    </row>
    <row r="1063" spans="1:3" hidden="1">
      <c r="A1063" t="s">
        <v>1899</v>
      </c>
      <c r="B1063">
        <v>44</v>
      </c>
      <c r="C1063" t="s">
        <v>839</v>
      </c>
    </row>
    <row r="1064" spans="1:3" hidden="1">
      <c r="A1064" t="s">
        <v>1900</v>
      </c>
      <c r="B1064">
        <v>43</v>
      </c>
      <c r="C1064" t="s">
        <v>839</v>
      </c>
    </row>
    <row r="1065" spans="1:3" hidden="1">
      <c r="A1065" t="s">
        <v>1901</v>
      </c>
      <c r="B1065">
        <v>43</v>
      </c>
      <c r="C1065" t="s">
        <v>839</v>
      </c>
    </row>
    <row r="1066" spans="1:3" hidden="1">
      <c r="A1066" t="s">
        <v>1902</v>
      </c>
      <c r="B1066">
        <v>43</v>
      </c>
      <c r="C1066" t="s">
        <v>839</v>
      </c>
    </row>
    <row r="1067" spans="1:3" hidden="1">
      <c r="A1067" t="s">
        <v>1903</v>
      </c>
      <c r="B1067">
        <v>46</v>
      </c>
      <c r="C1067" t="s">
        <v>839</v>
      </c>
    </row>
    <row r="1068" spans="1:3" hidden="1">
      <c r="A1068" t="s">
        <v>1904</v>
      </c>
      <c r="B1068">
        <v>46</v>
      </c>
      <c r="C1068" t="s">
        <v>839</v>
      </c>
    </row>
    <row r="1069" spans="1:3">
      <c r="A1069" t="s">
        <v>1905</v>
      </c>
      <c r="B1069">
        <v>83</v>
      </c>
      <c r="C1069" t="s">
        <v>839</v>
      </c>
    </row>
    <row r="1070" spans="1:3">
      <c r="A1070" t="s">
        <v>1906</v>
      </c>
      <c r="B1070">
        <v>83</v>
      </c>
      <c r="C1070" t="s">
        <v>839</v>
      </c>
    </row>
    <row r="1071" spans="1:3" hidden="1">
      <c r="A1071" t="s">
        <v>1907</v>
      </c>
      <c r="B1071">
        <v>46</v>
      </c>
      <c r="C1071" t="s">
        <v>839</v>
      </c>
    </row>
    <row r="1072" spans="1:3" hidden="1">
      <c r="A1072" t="s">
        <v>1908</v>
      </c>
      <c r="B1072">
        <v>46</v>
      </c>
      <c r="C1072" t="s">
        <v>839</v>
      </c>
    </row>
    <row r="1073" spans="1:3" hidden="1">
      <c r="A1073" t="s">
        <v>1909</v>
      </c>
      <c r="B1073">
        <v>46</v>
      </c>
      <c r="C1073" t="s">
        <v>839</v>
      </c>
    </row>
    <row r="1074" spans="1:3">
      <c r="A1074" t="s">
        <v>1910</v>
      </c>
      <c r="B1074">
        <v>83</v>
      </c>
      <c r="C1074" t="s">
        <v>839</v>
      </c>
    </row>
    <row r="1075" spans="1:3">
      <c r="A1075" t="s">
        <v>1911</v>
      </c>
      <c r="B1075">
        <v>83</v>
      </c>
      <c r="C1075" t="s">
        <v>839</v>
      </c>
    </row>
    <row r="1076" spans="1:3" hidden="1">
      <c r="A1076" t="s">
        <v>1912</v>
      </c>
      <c r="B1076">
        <v>46</v>
      </c>
      <c r="C1076" t="s">
        <v>839</v>
      </c>
    </row>
    <row r="1077" spans="1:3" hidden="1">
      <c r="A1077" t="s">
        <v>1913</v>
      </c>
      <c r="B1077">
        <v>46</v>
      </c>
      <c r="C1077" t="s">
        <v>839</v>
      </c>
    </row>
    <row r="1078" spans="1:3" hidden="1">
      <c r="A1078" t="s">
        <v>1914</v>
      </c>
      <c r="B1078">
        <v>46</v>
      </c>
      <c r="C1078" t="s">
        <v>839</v>
      </c>
    </row>
    <row r="1079" spans="1:3" hidden="1">
      <c r="A1079" t="s">
        <v>1915</v>
      </c>
      <c r="B1079">
        <v>46</v>
      </c>
      <c r="C1079" t="s">
        <v>839</v>
      </c>
    </row>
    <row r="1080" spans="1:3" hidden="1">
      <c r="A1080" t="s">
        <v>1916</v>
      </c>
      <c r="B1080">
        <v>49</v>
      </c>
      <c r="C1080" t="s">
        <v>839</v>
      </c>
    </row>
    <row r="1081" spans="1:3" hidden="1">
      <c r="A1081" t="s">
        <v>1917</v>
      </c>
      <c r="B1081">
        <v>48</v>
      </c>
      <c r="C1081" t="s">
        <v>839</v>
      </c>
    </row>
    <row r="1082" spans="1:3" hidden="1">
      <c r="A1082" t="s">
        <v>1918</v>
      </c>
      <c r="B1082">
        <v>90</v>
      </c>
      <c r="C1082" t="s">
        <v>839</v>
      </c>
    </row>
    <row r="1083" spans="1:3" hidden="1">
      <c r="A1083" t="s">
        <v>1919</v>
      </c>
      <c r="B1083">
        <v>37</v>
      </c>
      <c r="C1083" t="s">
        <v>839</v>
      </c>
    </row>
    <row r="1084" spans="1:3" hidden="1">
      <c r="A1084" t="s">
        <v>1920</v>
      </c>
      <c r="B1084">
        <v>78</v>
      </c>
      <c r="C1084" t="s">
        <v>839</v>
      </c>
    </row>
    <row r="1085" spans="1:3" hidden="1">
      <c r="A1085" t="s">
        <v>1921</v>
      </c>
      <c r="B1085">
        <v>26</v>
      </c>
      <c r="C1085" t="s">
        <v>839</v>
      </c>
    </row>
    <row r="1086" spans="1:3" hidden="1">
      <c r="A1086" t="s">
        <v>1922</v>
      </c>
      <c r="B1086">
        <v>49</v>
      </c>
      <c r="C1086" t="s">
        <v>839</v>
      </c>
    </row>
    <row r="1087" spans="1:3" hidden="1">
      <c r="A1087" t="s">
        <v>1923</v>
      </c>
      <c r="B1087">
        <v>95</v>
      </c>
      <c r="C1087" t="s">
        <v>839</v>
      </c>
    </row>
    <row r="1088" spans="1:3" hidden="1">
      <c r="A1088" t="s">
        <v>1924</v>
      </c>
      <c r="B1088">
        <v>60</v>
      </c>
      <c r="C1088" t="s">
        <v>839</v>
      </c>
    </row>
    <row r="1089" spans="1:3" hidden="1">
      <c r="A1089" t="s">
        <v>1925</v>
      </c>
      <c r="B1089">
        <v>91</v>
      </c>
      <c r="C1089" t="s">
        <v>839</v>
      </c>
    </row>
    <row r="1090" spans="1:3" hidden="1">
      <c r="A1090" t="s">
        <v>1926</v>
      </c>
      <c r="B1090">
        <v>44</v>
      </c>
      <c r="C1090" t="s">
        <v>839</v>
      </c>
    </row>
    <row r="1091" spans="1:3" hidden="1">
      <c r="A1091" t="s">
        <v>1927</v>
      </c>
      <c r="B1091">
        <v>50</v>
      </c>
      <c r="C1091" t="s">
        <v>839</v>
      </c>
    </row>
    <row r="1092" spans="1:3" hidden="1">
      <c r="A1092" t="s">
        <v>1928</v>
      </c>
      <c r="B1092">
        <v>52</v>
      </c>
      <c r="C1092" t="s">
        <v>839</v>
      </c>
    </row>
    <row r="1093" spans="1:3" hidden="1">
      <c r="A1093" t="s">
        <v>1929</v>
      </c>
      <c r="B1093">
        <v>52</v>
      </c>
      <c r="C1093" t="s">
        <v>839</v>
      </c>
    </row>
    <row r="1094" spans="1:3" hidden="1">
      <c r="A1094" t="s">
        <v>1930</v>
      </c>
      <c r="B1094">
        <v>31</v>
      </c>
      <c r="C1094" t="s">
        <v>839</v>
      </c>
    </row>
    <row r="1095" spans="1:3" hidden="1">
      <c r="A1095" t="s">
        <v>1931</v>
      </c>
      <c r="B1095">
        <v>31</v>
      </c>
      <c r="C1095" t="s">
        <v>839</v>
      </c>
    </row>
    <row r="1096" spans="1:3" hidden="1">
      <c r="A1096" t="s">
        <v>1932</v>
      </c>
      <c r="B1096">
        <v>50</v>
      </c>
      <c r="C1096" t="s">
        <v>839</v>
      </c>
    </row>
    <row r="1097" spans="1:3" hidden="1">
      <c r="A1097" t="s">
        <v>1933</v>
      </c>
      <c r="B1097">
        <v>50</v>
      </c>
      <c r="C1097" t="s">
        <v>839</v>
      </c>
    </row>
    <row r="1098" spans="1:3" hidden="1">
      <c r="A1098" t="s">
        <v>1934</v>
      </c>
      <c r="B1098">
        <v>88</v>
      </c>
      <c r="C1098" t="s">
        <v>839</v>
      </c>
    </row>
    <row r="1099" spans="1:3" hidden="1">
      <c r="A1099" t="s">
        <v>1935</v>
      </c>
      <c r="B1099">
        <v>5</v>
      </c>
      <c r="C1099" t="s">
        <v>839</v>
      </c>
    </row>
    <row r="1100" spans="1:3" hidden="1">
      <c r="A1100" t="s">
        <v>1936</v>
      </c>
      <c r="B1100">
        <v>40</v>
      </c>
      <c r="C1100" t="s">
        <v>839</v>
      </c>
    </row>
    <row r="1101" spans="1:3" hidden="1">
      <c r="A1101" t="s">
        <v>1937</v>
      </c>
      <c r="B1101">
        <v>37</v>
      </c>
      <c r="C1101" t="s">
        <v>839</v>
      </c>
    </row>
    <row r="1102" spans="1:3" hidden="1">
      <c r="A1102" t="s">
        <v>1938</v>
      </c>
      <c r="B1102">
        <v>49</v>
      </c>
      <c r="C1102" t="s">
        <v>839</v>
      </c>
    </row>
    <row r="1103" spans="1:3" hidden="1">
      <c r="A1103" t="s">
        <v>1939</v>
      </c>
      <c r="B1103">
        <v>48</v>
      </c>
      <c r="C1103" t="s">
        <v>839</v>
      </c>
    </row>
    <row r="1104" spans="1:3" hidden="1">
      <c r="A1104" t="s">
        <v>1940</v>
      </c>
      <c r="B1104">
        <v>49</v>
      </c>
      <c r="C1104" t="s">
        <v>839</v>
      </c>
    </row>
    <row r="1105" spans="1:7" hidden="1">
      <c r="A1105" t="s">
        <v>1941</v>
      </c>
      <c r="B1105">
        <v>49</v>
      </c>
      <c r="C1105" t="s">
        <v>839</v>
      </c>
    </row>
    <row r="1106" spans="1:7" hidden="1">
      <c r="A1106" t="s">
        <v>1942</v>
      </c>
      <c r="B1106">
        <v>49</v>
      </c>
      <c r="C1106" t="s">
        <v>839</v>
      </c>
    </row>
    <row r="1107" spans="1:7" hidden="1">
      <c r="A1107" t="s">
        <v>1943</v>
      </c>
      <c r="B1107">
        <v>60</v>
      </c>
      <c r="C1107" t="s">
        <v>839</v>
      </c>
    </row>
    <row r="1108" spans="1:7">
      <c r="A1108" t="s">
        <v>1944</v>
      </c>
      <c r="B1108">
        <v>83</v>
      </c>
      <c r="C1108" t="s">
        <v>839</v>
      </c>
    </row>
    <row r="1109" spans="1:7">
      <c r="A1109" t="s">
        <v>1945</v>
      </c>
      <c r="B1109">
        <v>83</v>
      </c>
      <c r="C1109" t="s">
        <v>839</v>
      </c>
      <c r="G1109" s="57" t="s">
        <v>3013</v>
      </c>
    </row>
    <row r="1110" spans="1:7" hidden="1">
      <c r="A1110" t="s">
        <v>1946</v>
      </c>
      <c r="B1110">
        <v>59</v>
      </c>
      <c r="C1110" t="s">
        <v>839</v>
      </c>
    </row>
    <row r="1111" spans="1:7" hidden="1">
      <c r="A1111" t="s">
        <v>1947</v>
      </c>
      <c r="B1111">
        <v>59</v>
      </c>
      <c r="C1111" t="s">
        <v>839</v>
      </c>
    </row>
    <row r="1112" spans="1:7" hidden="1">
      <c r="A1112" t="s">
        <v>1948</v>
      </c>
      <c r="B1112">
        <v>5</v>
      </c>
      <c r="C1112" t="s">
        <v>839</v>
      </c>
    </row>
    <row r="1113" spans="1:7" hidden="1">
      <c r="A1113" t="s">
        <v>1949</v>
      </c>
      <c r="B1113">
        <v>38</v>
      </c>
      <c r="C1113" t="s">
        <v>839</v>
      </c>
    </row>
    <row r="1114" spans="1:7" hidden="1">
      <c r="A1114" t="s">
        <v>1950</v>
      </c>
      <c r="B1114">
        <v>38</v>
      </c>
      <c r="C1114" t="s">
        <v>839</v>
      </c>
    </row>
    <row r="1115" spans="1:7" hidden="1">
      <c r="A1115" t="s">
        <v>1951</v>
      </c>
      <c r="B1115">
        <v>24</v>
      </c>
      <c r="C1115" t="s">
        <v>839</v>
      </c>
    </row>
    <row r="1116" spans="1:7" hidden="1">
      <c r="A1116" t="s">
        <v>1952</v>
      </c>
      <c r="B1116">
        <v>24</v>
      </c>
      <c r="C1116" t="s">
        <v>839</v>
      </c>
    </row>
    <row r="1117" spans="1:7" hidden="1">
      <c r="A1117" t="s">
        <v>1953</v>
      </c>
      <c r="B1117">
        <v>24</v>
      </c>
      <c r="C1117" t="s">
        <v>839</v>
      </c>
    </row>
    <row r="1118" spans="1:7" hidden="1">
      <c r="A1118" t="s">
        <v>1954</v>
      </c>
      <c r="B1118">
        <v>27</v>
      </c>
      <c r="C1118" t="s">
        <v>839</v>
      </c>
    </row>
    <row r="1119" spans="1:7" hidden="1">
      <c r="A1119" t="s">
        <v>1955</v>
      </c>
      <c r="B1119">
        <v>27</v>
      </c>
      <c r="C1119" t="s">
        <v>839</v>
      </c>
    </row>
    <row r="1120" spans="1:7" hidden="1">
      <c r="A1120" t="s">
        <v>1956</v>
      </c>
      <c r="B1120">
        <v>95</v>
      </c>
      <c r="C1120" t="s">
        <v>839</v>
      </c>
    </row>
    <row r="1121" spans="1:3" hidden="1">
      <c r="A1121" t="s">
        <v>1957</v>
      </c>
      <c r="B1121">
        <v>95</v>
      </c>
      <c r="C1121" t="s">
        <v>839</v>
      </c>
    </row>
    <row r="1122" spans="1:3" hidden="1">
      <c r="A1122" t="s">
        <v>1958</v>
      </c>
      <c r="B1122">
        <v>78</v>
      </c>
      <c r="C1122" t="s">
        <v>839</v>
      </c>
    </row>
    <row r="1123" spans="1:3" hidden="1">
      <c r="A1123" t="s">
        <v>1959</v>
      </c>
      <c r="B1123">
        <v>78</v>
      </c>
      <c r="C1123" t="s">
        <v>839</v>
      </c>
    </row>
    <row r="1124" spans="1:3" hidden="1">
      <c r="A1124" t="s">
        <v>1960</v>
      </c>
      <c r="B1124">
        <v>78</v>
      </c>
      <c r="C1124" t="s">
        <v>839</v>
      </c>
    </row>
    <row r="1125" spans="1:3" hidden="1">
      <c r="A1125" t="s">
        <v>1961</v>
      </c>
      <c r="B1125">
        <v>95</v>
      </c>
      <c r="C1125" t="s">
        <v>839</v>
      </c>
    </row>
    <row r="1126" spans="1:3" hidden="1">
      <c r="A1126" t="s">
        <v>1962</v>
      </c>
      <c r="B1126">
        <v>95</v>
      </c>
      <c r="C1126" t="s">
        <v>839</v>
      </c>
    </row>
    <row r="1127" spans="1:3" hidden="1">
      <c r="A1127" t="s">
        <v>1963</v>
      </c>
      <c r="B1127">
        <v>95</v>
      </c>
      <c r="C1127" t="s">
        <v>839</v>
      </c>
    </row>
    <row r="1128" spans="1:3" hidden="1">
      <c r="A1128" t="s">
        <v>1964</v>
      </c>
      <c r="B1128">
        <v>95</v>
      </c>
      <c r="C1128" t="s">
        <v>839</v>
      </c>
    </row>
    <row r="1129" spans="1:3" hidden="1">
      <c r="A1129" t="s">
        <v>1965</v>
      </c>
      <c r="B1129">
        <v>95</v>
      </c>
      <c r="C1129" t="s">
        <v>839</v>
      </c>
    </row>
    <row r="1130" spans="1:3" hidden="1">
      <c r="A1130" t="s">
        <v>1966</v>
      </c>
      <c r="B1130">
        <v>48</v>
      </c>
      <c r="C1130" t="s">
        <v>839</v>
      </c>
    </row>
    <row r="1131" spans="1:3" hidden="1">
      <c r="A1131" t="s">
        <v>1967</v>
      </c>
      <c r="B1131">
        <v>91</v>
      </c>
      <c r="C1131" t="s">
        <v>839</v>
      </c>
    </row>
    <row r="1132" spans="1:3" hidden="1">
      <c r="A1132" t="s">
        <v>1968</v>
      </c>
      <c r="B1132">
        <v>62</v>
      </c>
      <c r="C1132" t="s">
        <v>839</v>
      </c>
    </row>
    <row r="1133" spans="1:3" hidden="1">
      <c r="A1133" t="s">
        <v>1969</v>
      </c>
      <c r="B1133">
        <v>95</v>
      </c>
      <c r="C1133" t="s">
        <v>839</v>
      </c>
    </row>
    <row r="1134" spans="1:3" hidden="1">
      <c r="A1134" t="s">
        <v>1970</v>
      </c>
      <c r="B1134">
        <v>48</v>
      </c>
      <c r="C1134" t="s">
        <v>839</v>
      </c>
    </row>
    <row r="1135" spans="1:3" hidden="1">
      <c r="A1135" t="s">
        <v>1971</v>
      </c>
      <c r="B1135">
        <v>10</v>
      </c>
      <c r="C1135" t="s">
        <v>839</v>
      </c>
    </row>
    <row r="1136" spans="1:3" hidden="1">
      <c r="A1136" t="s">
        <v>1972</v>
      </c>
      <c r="B1136">
        <v>10</v>
      </c>
      <c r="C1136" t="s">
        <v>839</v>
      </c>
    </row>
    <row r="1137" spans="1:3" hidden="1">
      <c r="A1137" t="s">
        <v>1973</v>
      </c>
      <c r="B1137">
        <v>10</v>
      </c>
      <c r="C1137" t="s">
        <v>839</v>
      </c>
    </row>
    <row r="1138" spans="1:3" hidden="1">
      <c r="A1138" t="s">
        <v>1974</v>
      </c>
      <c r="B1138">
        <v>10</v>
      </c>
      <c r="C1138" t="s">
        <v>839</v>
      </c>
    </row>
    <row r="1139" spans="1:3" hidden="1">
      <c r="A1139" t="s">
        <v>1975</v>
      </c>
      <c r="B1139">
        <v>72</v>
      </c>
      <c r="C1139" t="s">
        <v>839</v>
      </c>
    </row>
    <row r="1140" spans="1:3" hidden="1">
      <c r="A1140" t="s">
        <v>1976</v>
      </c>
      <c r="B1140">
        <v>81</v>
      </c>
      <c r="C1140" t="s">
        <v>839</v>
      </c>
    </row>
    <row r="1141" spans="1:3" hidden="1">
      <c r="A1141" t="s">
        <v>1977</v>
      </c>
      <c r="B1141">
        <v>81</v>
      </c>
      <c r="C1141" t="s">
        <v>839</v>
      </c>
    </row>
    <row r="1142" spans="1:3" hidden="1">
      <c r="A1142" t="s">
        <v>1978</v>
      </c>
      <c r="B1142">
        <v>81</v>
      </c>
      <c r="C1142" t="s">
        <v>839</v>
      </c>
    </row>
    <row r="1143" spans="1:3" hidden="1">
      <c r="A1143" t="s">
        <v>1979</v>
      </c>
      <c r="B1143">
        <v>5</v>
      </c>
      <c r="C1143" t="s">
        <v>839</v>
      </c>
    </row>
    <row r="1144" spans="1:3" hidden="1">
      <c r="A1144" t="s">
        <v>1980</v>
      </c>
      <c r="B1144">
        <v>49</v>
      </c>
      <c r="C1144" t="s">
        <v>839</v>
      </c>
    </row>
    <row r="1145" spans="1:3" hidden="1">
      <c r="A1145" t="s">
        <v>1981</v>
      </c>
      <c r="B1145">
        <v>49</v>
      </c>
      <c r="C1145" t="s">
        <v>839</v>
      </c>
    </row>
    <row r="1146" spans="1:3" hidden="1">
      <c r="A1146" t="s">
        <v>1982</v>
      </c>
      <c r="B1146">
        <v>48</v>
      </c>
      <c r="C1146" t="s">
        <v>839</v>
      </c>
    </row>
    <row r="1147" spans="1:3" hidden="1">
      <c r="A1147" t="s">
        <v>1983</v>
      </c>
      <c r="B1147">
        <v>37</v>
      </c>
      <c r="C1147" t="s">
        <v>839</v>
      </c>
    </row>
    <row r="1148" spans="1:3" hidden="1">
      <c r="A1148" t="s">
        <v>1984</v>
      </c>
      <c r="B1148">
        <v>95</v>
      </c>
      <c r="C1148" t="s">
        <v>839</v>
      </c>
    </row>
    <row r="1149" spans="1:3" hidden="1">
      <c r="A1149" t="s">
        <v>1985</v>
      </c>
      <c r="B1149">
        <v>95</v>
      </c>
      <c r="C1149" t="s">
        <v>839</v>
      </c>
    </row>
    <row r="1150" spans="1:3" hidden="1">
      <c r="A1150" t="s">
        <v>1986</v>
      </c>
      <c r="B1150">
        <v>95</v>
      </c>
      <c r="C1150" t="s">
        <v>839</v>
      </c>
    </row>
    <row r="1151" spans="1:3" hidden="1">
      <c r="A1151" t="s">
        <v>1987</v>
      </c>
      <c r="B1151">
        <v>47</v>
      </c>
      <c r="C1151" t="s">
        <v>839</v>
      </c>
    </row>
    <row r="1152" spans="1:3" hidden="1">
      <c r="A1152" t="s">
        <v>1988</v>
      </c>
      <c r="B1152">
        <v>93</v>
      </c>
      <c r="C1152" t="s">
        <v>839</v>
      </c>
    </row>
    <row r="1153" spans="1:3" hidden="1">
      <c r="A1153" t="s">
        <v>1989</v>
      </c>
      <c r="B1153">
        <v>93</v>
      </c>
      <c r="C1153" t="s">
        <v>839</v>
      </c>
    </row>
    <row r="1154" spans="1:3" hidden="1">
      <c r="A1154" t="s">
        <v>1990</v>
      </c>
      <c r="B1154">
        <v>93</v>
      </c>
      <c r="C1154" t="s">
        <v>839</v>
      </c>
    </row>
    <row r="1155" spans="1:3" hidden="1">
      <c r="A1155" t="s">
        <v>1991</v>
      </c>
      <c r="B1155">
        <v>93</v>
      </c>
      <c r="C1155" t="s">
        <v>839</v>
      </c>
    </row>
    <row r="1156" spans="1:3" hidden="1">
      <c r="A1156" t="s">
        <v>1992</v>
      </c>
      <c r="B1156">
        <v>93</v>
      </c>
      <c r="C1156" t="s">
        <v>839</v>
      </c>
    </row>
    <row r="1157" spans="1:3" hidden="1">
      <c r="A1157" t="s">
        <v>1993</v>
      </c>
      <c r="B1157">
        <v>93</v>
      </c>
      <c r="C1157" t="s">
        <v>839</v>
      </c>
    </row>
    <row r="1158" spans="1:3" hidden="1">
      <c r="A1158" t="s">
        <v>1994</v>
      </c>
      <c r="B1158">
        <v>93</v>
      </c>
      <c r="C1158" t="s">
        <v>839</v>
      </c>
    </row>
    <row r="1159" spans="1:3" hidden="1">
      <c r="A1159" t="s">
        <v>1995</v>
      </c>
      <c r="B1159">
        <v>93</v>
      </c>
      <c r="C1159" t="s">
        <v>839</v>
      </c>
    </row>
    <row r="1160" spans="1:3" hidden="1">
      <c r="A1160" t="s">
        <v>1996</v>
      </c>
      <c r="B1160">
        <v>49</v>
      </c>
      <c r="C1160" t="s">
        <v>839</v>
      </c>
    </row>
    <row r="1161" spans="1:3" hidden="1">
      <c r="A1161" t="s">
        <v>1997</v>
      </c>
      <c r="B1161">
        <v>95</v>
      </c>
      <c r="C1161" t="s">
        <v>839</v>
      </c>
    </row>
    <row r="1162" spans="1:3" hidden="1">
      <c r="A1162" t="s">
        <v>1998</v>
      </c>
      <c r="B1162">
        <v>49</v>
      </c>
      <c r="C1162" t="s">
        <v>839</v>
      </c>
    </row>
    <row r="1163" spans="1:3" hidden="1">
      <c r="A1163" t="s">
        <v>1999</v>
      </c>
      <c r="B1163">
        <v>80</v>
      </c>
      <c r="C1163" t="s">
        <v>839</v>
      </c>
    </row>
    <row r="1164" spans="1:3" hidden="1">
      <c r="A1164" t="s">
        <v>2000</v>
      </c>
      <c r="B1164">
        <v>81</v>
      </c>
      <c r="C1164" t="s">
        <v>839</v>
      </c>
    </row>
    <row r="1165" spans="1:3" hidden="1">
      <c r="A1165" t="s">
        <v>2001</v>
      </c>
      <c r="B1165">
        <v>81</v>
      </c>
      <c r="C1165" t="s">
        <v>839</v>
      </c>
    </row>
    <row r="1166" spans="1:3" hidden="1">
      <c r="A1166" t="s">
        <v>2002</v>
      </c>
      <c r="B1166">
        <v>40</v>
      </c>
      <c r="C1166" t="s">
        <v>839</v>
      </c>
    </row>
    <row r="1167" spans="1:3" hidden="1">
      <c r="A1167" t="s">
        <v>2003</v>
      </c>
      <c r="B1167">
        <v>48</v>
      </c>
      <c r="C1167" t="s">
        <v>839</v>
      </c>
    </row>
    <row r="1168" spans="1:3" hidden="1">
      <c r="A1168" t="s">
        <v>2004</v>
      </c>
      <c r="B1168">
        <v>49</v>
      </c>
      <c r="C1168" t="s">
        <v>839</v>
      </c>
    </row>
    <row r="1169" spans="1:3" hidden="1">
      <c r="A1169" t="s">
        <v>2005</v>
      </c>
      <c r="B1169">
        <v>49</v>
      </c>
      <c r="C1169" t="s">
        <v>839</v>
      </c>
    </row>
    <row r="1170" spans="1:3" hidden="1">
      <c r="A1170" t="s">
        <v>2006</v>
      </c>
      <c r="B1170">
        <v>95</v>
      </c>
      <c r="C1170" t="s">
        <v>839</v>
      </c>
    </row>
    <row r="1171" spans="1:3" hidden="1">
      <c r="A1171" t="s">
        <v>2007</v>
      </c>
      <c r="B1171">
        <v>48</v>
      </c>
      <c r="C1171" t="s">
        <v>839</v>
      </c>
    </row>
    <row r="1172" spans="1:3" hidden="1">
      <c r="A1172" t="s">
        <v>2008</v>
      </c>
      <c r="B1172">
        <v>48</v>
      </c>
      <c r="C1172" t="s">
        <v>839</v>
      </c>
    </row>
    <row r="1173" spans="1:3" hidden="1">
      <c r="A1173" t="s">
        <v>2009</v>
      </c>
      <c r="B1173">
        <v>49</v>
      </c>
      <c r="C1173" t="s">
        <v>839</v>
      </c>
    </row>
    <row r="1174" spans="1:3" hidden="1">
      <c r="A1174" t="s">
        <v>2010</v>
      </c>
      <c r="B1174">
        <v>49</v>
      </c>
      <c r="C1174" t="s">
        <v>839</v>
      </c>
    </row>
    <row r="1175" spans="1:3" hidden="1">
      <c r="A1175" t="s">
        <v>2011</v>
      </c>
      <c r="B1175">
        <v>49</v>
      </c>
      <c r="C1175" t="s">
        <v>839</v>
      </c>
    </row>
    <row r="1176" spans="1:3" hidden="1">
      <c r="A1176" t="s">
        <v>2012</v>
      </c>
      <c r="B1176">
        <v>27</v>
      </c>
      <c r="C1176" t="s">
        <v>839</v>
      </c>
    </row>
    <row r="1177" spans="1:3" hidden="1">
      <c r="A1177" t="s">
        <v>2013</v>
      </c>
      <c r="B1177">
        <v>24</v>
      </c>
      <c r="C1177" t="s">
        <v>839</v>
      </c>
    </row>
    <row r="1178" spans="1:3" hidden="1">
      <c r="A1178" t="s">
        <v>2014</v>
      </c>
      <c r="B1178">
        <v>30</v>
      </c>
      <c r="C1178" t="s">
        <v>839</v>
      </c>
    </row>
    <row r="1179" spans="1:3" hidden="1">
      <c r="A1179" t="s">
        <v>2015</v>
      </c>
      <c r="B1179">
        <v>95</v>
      </c>
      <c r="C1179" t="s">
        <v>839</v>
      </c>
    </row>
    <row r="1180" spans="1:3" hidden="1">
      <c r="A1180" t="s">
        <v>2016</v>
      </c>
      <c r="B1180">
        <v>10</v>
      </c>
      <c r="C1180" t="s">
        <v>839</v>
      </c>
    </row>
    <row r="1181" spans="1:3" hidden="1">
      <c r="A1181" t="s">
        <v>2017</v>
      </c>
      <c r="B1181">
        <v>65</v>
      </c>
      <c r="C1181" t="s">
        <v>839</v>
      </c>
    </row>
    <row r="1182" spans="1:3" hidden="1">
      <c r="A1182" t="s">
        <v>2018</v>
      </c>
      <c r="B1182">
        <v>68</v>
      </c>
      <c r="C1182" t="s">
        <v>839</v>
      </c>
    </row>
    <row r="1183" spans="1:3" hidden="1">
      <c r="A1183" t="s">
        <v>2019</v>
      </c>
      <c r="B1183">
        <v>68</v>
      </c>
      <c r="C1183" t="s">
        <v>839</v>
      </c>
    </row>
    <row r="1184" spans="1:3" hidden="1">
      <c r="A1184" t="s">
        <v>2020</v>
      </c>
      <c r="B1184">
        <v>72</v>
      </c>
      <c r="C1184" t="s">
        <v>839</v>
      </c>
    </row>
    <row r="1185" spans="1:3" hidden="1">
      <c r="A1185" t="s">
        <v>2021</v>
      </c>
      <c r="B1185">
        <v>65</v>
      </c>
      <c r="C1185" t="s">
        <v>839</v>
      </c>
    </row>
    <row r="1186" spans="1:3" hidden="1">
      <c r="A1186" t="s">
        <v>2022</v>
      </c>
      <c r="B1186">
        <v>65</v>
      </c>
      <c r="C1186" t="s">
        <v>839</v>
      </c>
    </row>
    <row r="1187" spans="1:3" hidden="1">
      <c r="A1187" t="s">
        <v>2023</v>
      </c>
      <c r="B1187">
        <v>72</v>
      </c>
      <c r="C1187" t="s">
        <v>839</v>
      </c>
    </row>
    <row r="1188" spans="1:3" hidden="1">
      <c r="A1188" t="s">
        <v>2024</v>
      </c>
      <c r="B1188">
        <v>72</v>
      </c>
      <c r="C1188" t="s">
        <v>839</v>
      </c>
    </row>
    <row r="1189" spans="1:3" hidden="1">
      <c r="A1189" t="s">
        <v>2025</v>
      </c>
      <c r="B1189">
        <v>28</v>
      </c>
      <c r="C1189" t="s">
        <v>839</v>
      </c>
    </row>
    <row r="1190" spans="1:3" hidden="1">
      <c r="A1190" t="s">
        <v>2026</v>
      </c>
      <c r="B1190">
        <v>48</v>
      </c>
      <c r="C1190" t="s">
        <v>839</v>
      </c>
    </row>
    <row r="1191" spans="1:3" hidden="1">
      <c r="A1191" t="s">
        <v>2027</v>
      </c>
      <c r="B1191">
        <v>95</v>
      </c>
      <c r="C1191" t="s">
        <v>839</v>
      </c>
    </row>
    <row r="1192" spans="1:3" hidden="1">
      <c r="A1192" t="s">
        <v>2028</v>
      </c>
      <c r="B1192">
        <v>48</v>
      </c>
      <c r="C1192" t="s">
        <v>839</v>
      </c>
    </row>
    <row r="1193" spans="1:3" hidden="1">
      <c r="A1193" t="s">
        <v>2029</v>
      </c>
      <c r="B1193">
        <v>48</v>
      </c>
      <c r="C1193" t="s">
        <v>839</v>
      </c>
    </row>
    <row r="1194" spans="1:3" hidden="1">
      <c r="A1194" t="s">
        <v>2030</v>
      </c>
      <c r="B1194">
        <v>81</v>
      </c>
      <c r="C1194" t="s">
        <v>839</v>
      </c>
    </row>
    <row r="1195" spans="1:3" hidden="1">
      <c r="A1195" t="s">
        <v>2031</v>
      </c>
      <c r="B1195">
        <v>47</v>
      </c>
      <c r="C1195" t="s">
        <v>839</v>
      </c>
    </row>
    <row r="1196" spans="1:3" hidden="1">
      <c r="A1196" t="s">
        <v>2032</v>
      </c>
      <c r="B1196">
        <v>85</v>
      </c>
      <c r="C1196" t="s">
        <v>839</v>
      </c>
    </row>
    <row r="1197" spans="1:3" hidden="1">
      <c r="A1197" t="s">
        <v>2033</v>
      </c>
      <c r="C1197" t="s">
        <v>839</v>
      </c>
    </row>
    <row r="1198" spans="1:3" hidden="1">
      <c r="A1198" t="s">
        <v>2034</v>
      </c>
      <c r="C1198" t="s">
        <v>839</v>
      </c>
    </row>
    <row r="1199" spans="1:3" hidden="1">
      <c r="A1199" t="s">
        <v>2035</v>
      </c>
      <c r="C1199" t="s">
        <v>839</v>
      </c>
    </row>
    <row r="1200" spans="1:3" hidden="1">
      <c r="A1200" t="s">
        <v>2036</v>
      </c>
      <c r="B1200">
        <v>47</v>
      </c>
      <c r="C1200" t="s">
        <v>839</v>
      </c>
    </row>
    <row r="1201" spans="1:3" hidden="1">
      <c r="A1201" t="s">
        <v>2037</v>
      </c>
      <c r="C1201" t="s">
        <v>839</v>
      </c>
    </row>
    <row r="1202" spans="1:3" hidden="1">
      <c r="A1202" t="s">
        <v>2038</v>
      </c>
      <c r="C1202" t="s">
        <v>839</v>
      </c>
    </row>
    <row r="1203" spans="1:3" hidden="1">
      <c r="A1203" t="s">
        <v>2039</v>
      </c>
      <c r="C1203" t="s">
        <v>839</v>
      </c>
    </row>
    <row r="1204" spans="1:3" hidden="1">
      <c r="A1204" t="s">
        <v>2040</v>
      </c>
      <c r="B1204">
        <v>10</v>
      </c>
      <c r="C1204" t="s">
        <v>839</v>
      </c>
    </row>
    <row r="1205" spans="1:3" hidden="1">
      <c r="A1205" t="s">
        <v>2041</v>
      </c>
      <c r="B1205">
        <v>38</v>
      </c>
      <c r="C1205" t="s">
        <v>839</v>
      </c>
    </row>
    <row r="1206" spans="1:3">
      <c r="A1206" t="s">
        <v>2042</v>
      </c>
      <c r="B1206">
        <v>83</v>
      </c>
      <c r="C1206" t="s">
        <v>839</v>
      </c>
    </row>
    <row r="1207" spans="1:3" hidden="1">
      <c r="A1207" t="s">
        <v>2043</v>
      </c>
      <c r="B1207">
        <v>93</v>
      </c>
      <c r="C1207" t="s">
        <v>839</v>
      </c>
    </row>
    <row r="1208" spans="1:3" hidden="1">
      <c r="A1208" t="s">
        <v>2044</v>
      </c>
      <c r="B1208">
        <v>93</v>
      </c>
      <c r="C1208" t="s">
        <v>839</v>
      </c>
    </row>
    <row r="1209" spans="1:3" hidden="1">
      <c r="A1209" t="s">
        <v>2045</v>
      </c>
      <c r="B1209">
        <v>93</v>
      </c>
      <c r="C1209" t="s">
        <v>839</v>
      </c>
    </row>
    <row r="1210" spans="1:3" hidden="1">
      <c r="A1210" t="s">
        <v>2046</v>
      </c>
      <c r="B1210">
        <v>93</v>
      </c>
      <c r="C1210" t="s">
        <v>839</v>
      </c>
    </row>
    <row r="1211" spans="1:3" hidden="1">
      <c r="A1211" t="s">
        <v>2047</v>
      </c>
      <c r="B1211">
        <v>37</v>
      </c>
      <c r="C1211" t="s">
        <v>839</v>
      </c>
    </row>
    <row r="1212" spans="1:3" hidden="1">
      <c r="A1212" t="s">
        <v>2048</v>
      </c>
      <c r="B1212">
        <v>49</v>
      </c>
      <c r="C1212" t="s">
        <v>839</v>
      </c>
    </row>
    <row r="1213" spans="1:3" hidden="1">
      <c r="A1213" t="s">
        <v>2049</v>
      </c>
      <c r="B1213">
        <v>49</v>
      </c>
      <c r="C1213" t="s">
        <v>839</v>
      </c>
    </row>
    <row r="1214" spans="1:3" hidden="1">
      <c r="A1214" t="s">
        <v>2050</v>
      </c>
      <c r="B1214">
        <v>62</v>
      </c>
      <c r="C1214" t="s">
        <v>839</v>
      </c>
    </row>
    <row r="1215" spans="1:3" hidden="1">
      <c r="A1215" t="s">
        <v>2051</v>
      </c>
      <c r="B1215">
        <v>60</v>
      </c>
      <c r="C1215" t="s">
        <v>839</v>
      </c>
    </row>
    <row r="1216" spans="1:3" hidden="1">
      <c r="A1216" t="s">
        <v>2052</v>
      </c>
      <c r="B1216">
        <v>31</v>
      </c>
      <c r="C1216" t="s">
        <v>839</v>
      </c>
    </row>
    <row r="1217" spans="1:3" hidden="1">
      <c r="A1217" t="s">
        <v>2053</v>
      </c>
      <c r="B1217">
        <v>94</v>
      </c>
      <c r="C1217" t="s">
        <v>839</v>
      </c>
    </row>
    <row r="1218" spans="1:3" hidden="1">
      <c r="A1218" t="s">
        <v>2054</v>
      </c>
      <c r="B1218">
        <v>60</v>
      </c>
      <c r="C1218" t="s">
        <v>839</v>
      </c>
    </row>
    <row r="1219" spans="1:3" hidden="1">
      <c r="A1219" t="s">
        <v>2055</v>
      </c>
      <c r="B1219">
        <v>60</v>
      </c>
      <c r="C1219" t="s">
        <v>839</v>
      </c>
    </row>
    <row r="1220" spans="1:3" hidden="1">
      <c r="A1220" t="s">
        <v>2056</v>
      </c>
      <c r="B1220">
        <v>60</v>
      </c>
      <c r="C1220" t="s">
        <v>839</v>
      </c>
    </row>
    <row r="1221" spans="1:3" hidden="1">
      <c r="A1221" t="s">
        <v>2057</v>
      </c>
      <c r="B1221">
        <v>60</v>
      </c>
      <c r="C1221" t="s">
        <v>839</v>
      </c>
    </row>
    <row r="1222" spans="1:3" hidden="1">
      <c r="A1222" t="s">
        <v>2058</v>
      </c>
      <c r="B1222">
        <v>95</v>
      </c>
      <c r="C1222" t="s">
        <v>839</v>
      </c>
    </row>
    <row r="1223" spans="1:3" hidden="1">
      <c r="A1223" t="s">
        <v>2059</v>
      </c>
      <c r="B1223">
        <v>95</v>
      </c>
      <c r="C1223" t="s">
        <v>839</v>
      </c>
    </row>
    <row r="1224" spans="1:3" hidden="1">
      <c r="A1224" t="s">
        <v>2060</v>
      </c>
      <c r="B1224">
        <v>60</v>
      </c>
      <c r="C1224" t="s">
        <v>839</v>
      </c>
    </row>
    <row r="1225" spans="1:3" hidden="1">
      <c r="A1225" t="s">
        <v>2061</v>
      </c>
      <c r="B1225">
        <v>11</v>
      </c>
      <c r="C1225" t="s">
        <v>839</v>
      </c>
    </row>
    <row r="1226" spans="1:3">
      <c r="A1226" t="s">
        <v>2062</v>
      </c>
      <c r="B1226">
        <v>83</v>
      </c>
      <c r="C1226" t="s">
        <v>839</v>
      </c>
    </row>
    <row r="1227" spans="1:3" hidden="1">
      <c r="A1227" t="s">
        <v>2063</v>
      </c>
      <c r="B1227">
        <v>93</v>
      </c>
      <c r="C1227" t="s">
        <v>839</v>
      </c>
    </row>
    <row r="1228" spans="1:3" hidden="1">
      <c r="A1228" t="s">
        <v>2064</v>
      </c>
      <c r="B1228">
        <v>10</v>
      </c>
      <c r="C1228" t="s">
        <v>839</v>
      </c>
    </row>
    <row r="1229" spans="1:3" hidden="1">
      <c r="A1229" t="s">
        <v>2065</v>
      </c>
      <c r="B1229">
        <v>10</v>
      </c>
      <c r="C1229" t="s">
        <v>839</v>
      </c>
    </row>
    <row r="1230" spans="1:3" hidden="1">
      <c r="A1230" t="s">
        <v>2066</v>
      </c>
      <c r="B1230">
        <v>10</v>
      </c>
      <c r="C1230" t="s">
        <v>839</v>
      </c>
    </row>
    <row r="1231" spans="1:3" hidden="1">
      <c r="A1231" t="s">
        <v>2067</v>
      </c>
      <c r="B1231">
        <v>85</v>
      </c>
      <c r="C1231" t="s">
        <v>839</v>
      </c>
    </row>
    <row r="1232" spans="1:3" hidden="1">
      <c r="A1232" t="s">
        <v>2068</v>
      </c>
      <c r="B1232">
        <v>11</v>
      </c>
      <c r="C1232" t="s">
        <v>839</v>
      </c>
    </row>
    <row r="1233" spans="1:3" hidden="1">
      <c r="A1233" t="s">
        <v>2069</v>
      </c>
      <c r="B1233">
        <v>52</v>
      </c>
      <c r="C1233" t="s">
        <v>839</v>
      </c>
    </row>
    <row r="1234" spans="1:3" hidden="1">
      <c r="A1234" t="s">
        <v>2070</v>
      </c>
      <c r="B1234">
        <v>43</v>
      </c>
      <c r="C1234" t="s">
        <v>839</v>
      </c>
    </row>
    <row r="1235" spans="1:3" hidden="1">
      <c r="A1235" t="s">
        <v>2071</v>
      </c>
      <c r="B1235">
        <v>41</v>
      </c>
      <c r="C1235" t="s">
        <v>839</v>
      </c>
    </row>
    <row r="1236" spans="1:3" hidden="1">
      <c r="A1236" t="s">
        <v>2072</v>
      </c>
      <c r="B1236">
        <v>41</v>
      </c>
      <c r="C1236" t="s">
        <v>839</v>
      </c>
    </row>
    <row r="1237" spans="1:3" hidden="1">
      <c r="A1237" t="s">
        <v>2073</v>
      </c>
      <c r="B1237">
        <v>41</v>
      </c>
      <c r="C1237" t="s">
        <v>839</v>
      </c>
    </row>
    <row r="1238" spans="1:3" hidden="1">
      <c r="A1238" t="s">
        <v>2074</v>
      </c>
      <c r="B1238">
        <v>41</v>
      </c>
      <c r="C1238" t="s">
        <v>839</v>
      </c>
    </row>
    <row r="1239" spans="1:3" hidden="1">
      <c r="A1239" t="s">
        <v>2075</v>
      </c>
      <c r="B1239">
        <v>41</v>
      </c>
      <c r="C1239" t="s">
        <v>839</v>
      </c>
    </row>
    <row r="1240" spans="1:3" hidden="1">
      <c r="A1240" t="s">
        <v>2076</v>
      </c>
      <c r="B1240">
        <v>41</v>
      </c>
      <c r="C1240" t="s">
        <v>839</v>
      </c>
    </row>
    <row r="1241" spans="1:3" hidden="1">
      <c r="A1241" t="s">
        <v>2077</v>
      </c>
      <c r="B1241">
        <v>41</v>
      </c>
      <c r="C1241" t="s">
        <v>839</v>
      </c>
    </row>
    <row r="1242" spans="1:3" hidden="1">
      <c r="A1242" t="s">
        <v>2078</v>
      </c>
      <c r="B1242">
        <v>41</v>
      </c>
      <c r="C1242" t="s">
        <v>839</v>
      </c>
    </row>
    <row r="1243" spans="1:3" hidden="1">
      <c r="A1243" t="s">
        <v>2079</v>
      </c>
      <c r="B1243">
        <v>41</v>
      </c>
      <c r="C1243" t="s">
        <v>839</v>
      </c>
    </row>
    <row r="1244" spans="1:3" hidden="1">
      <c r="A1244" t="s">
        <v>2080</v>
      </c>
      <c r="B1244">
        <v>41</v>
      </c>
      <c r="C1244" t="s">
        <v>839</v>
      </c>
    </row>
    <row r="1245" spans="1:3" hidden="1">
      <c r="A1245" t="s">
        <v>2081</v>
      </c>
      <c r="B1245">
        <v>2</v>
      </c>
      <c r="C1245" t="s">
        <v>839</v>
      </c>
    </row>
    <row r="1246" spans="1:3" hidden="1">
      <c r="A1246" t="s">
        <v>2082</v>
      </c>
      <c r="B1246">
        <v>52</v>
      </c>
      <c r="C1246" t="s">
        <v>839</v>
      </c>
    </row>
    <row r="1247" spans="1:3" hidden="1">
      <c r="A1247" t="s">
        <v>2083</v>
      </c>
      <c r="B1247">
        <v>43</v>
      </c>
      <c r="C1247" t="s">
        <v>839</v>
      </c>
    </row>
    <row r="1248" spans="1:3" hidden="1">
      <c r="A1248" t="s">
        <v>2084</v>
      </c>
      <c r="B1248">
        <v>95</v>
      </c>
      <c r="C1248" t="s">
        <v>839</v>
      </c>
    </row>
    <row r="1249" spans="1:3" hidden="1">
      <c r="A1249" t="s">
        <v>2085</v>
      </c>
      <c r="B1249">
        <v>41</v>
      </c>
      <c r="C1249" t="s">
        <v>839</v>
      </c>
    </row>
    <row r="1250" spans="1:3" hidden="1">
      <c r="A1250" t="s">
        <v>2086</v>
      </c>
      <c r="B1250">
        <v>54</v>
      </c>
      <c r="C1250" t="s">
        <v>839</v>
      </c>
    </row>
    <row r="1251" spans="1:3" hidden="1">
      <c r="A1251" t="s">
        <v>2087</v>
      </c>
      <c r="B1251">
        <v>65</v>
      </c>
      <c r="C1251" t="s">
        <v>839</v>
      </c>
    </row>
    <row r="1252" spans="1:3" hidden="1">
      <c r="A1252" t="s">
        <v>2088</v>
      </c>
      <c r="B1252">
        <v>62</v>
      </c>
      <c r="C1252" t="s">
        <v>839</v>
      </c>
    </row>
    <row r="1253" spans="1:3" hidden="1">
      <c r="A1253" t="s">
        <v>2089</v>
      </c>
      <c r="B1253">
        <v>63</v>
      </c>
      <c r="C1253" t="s">
        <v>839</v>
      </c>
    </row>
    <row r="1254" spans="1:3" hidden="1">
      <c r="A1254" t="s">
        <v>2090</v>
      </c>
      <c r="B1254">
        <v>18</v>
      </c>
      <c r="C1254" t="s">
        <v>839</v>
      </c>
    </row>
    <row r="1255" spans="1:3" hidden="1">
      <c r="A1255" t="s">
        <v>2091</v>
      </c>
      <c r="B1255">
        <v>49</v>
      </c>
      <c r="C1255" t="s">
        <v>839</v>
      </c>
    </row>
    <row r="1256" spans="1:3" hidden="1">
      <c r="A1256" t="s">
        <v>2092</v>
      </c>
      <c r="B1256">
        <v>49</v>
      </c>
      <c r="C1256" t="s">
        <v>839</v>
      </c>
    </row>
    <row r="1257" spans="1:3" hidden="1">
      <c r="A1257" t="s">
        <v>2093</v>
      </c>
      <c r="B1257">
        <v>49</v>
      </c>
      <c r="C1257" t="s">
        <v>839</v>
      </c>
    </row>
    <row r="1258" spans="1:3" hidden="1">
      <c r="A1258" t="s">
        <v>2094</v>
      </c>
      <c r="B1258">
        <v>49</v>
      </c>
      <c r="C1258" t="s">
        <v>839</v>
      </c>
    </row>
    <row r="1259" spans="1:3" hidden="1">
      <c r="A1259" t="s">
        <v>2095</v>
      </c>
      <c r="B1259">
        <v>49</v>
      </c>
      <c r="C1259" t="s">
        <v>839</v>
      </c>
    </row>
    <row r="1260" spans="1:3" hidden="1">
      <c r="A1260" t="s">
        <v>2096</v>
      </c>
      <c r="B1260">
        <v>13</v>
      </c>
      <c r="C1260" t="s">
        <v>839</v>
      </c>
    </row>
    <row r="1261" spans="1:3" hidden="1">
      <c r="A1261" t="s">
        <v>2097</v>
      </c>
      <c r="B1261">
        <v>81</v>
      </c>
      <c r="C1261" t="s">
        <v>839</v>
      </c>
    </row>
    <row r="1262" spans="1:3" hidden="1">
      <c r="A1262" t="s">
        <v>2098</v>
      </c>
      <c r="B1262">
        <v>81</v>
      </c>
      <c r="C1262" t="s">
        <v>839</v>
      </c>
    </row>
    <row r="1263" spans="1:3" hidden="1">
      <c r="A1263" t="s">
        <v>2099</v>
      </c>
      <c r="B1263">
        <v>81</v>
      </c>
      <c r="C1263" t="s">
        <v>839</v>
      </c>
    </row>
    <row r="1264" spans="1:3" hidden="1">
      <c r="A1264" t="s">
        <v>2100</v>
      </c>
      <c r="B1264">
        <v>81</v>
      </c>
      <c r="C1264" t="s">
        <v>839</v>
      </c>
    </row>
    <row r="1265" spans="1:3" hidden="1">
      <c r="A1265" t="s">
        <v>2101</v>
      </c>
      <c r="B1265">
        <v>86</v>
      </c>
      <c r="C1265" t="s">
        <v>839</v>
      </c>
    </row>
    <row r="1266" spans="1:3" hidden="1">
      <c r="A1266" t="s">
        <v>2102</v>
      </c>
      <c r="B1266">
        <v>86</v>
      </c>
      <c r="C1266" t="s">
        <v>839</v>
      </c>
    </row>
    <row r="1267" spans="1:3" hidden="1">
      <c r="A1267" t="s">
        <v>2103</v>
      </c>
      <c r="B1267">
        <v>86</v>
      </c>
      <c r="C1267" t="s">
        <v>839</v>
      </c>
    </row>
    <row r="1268" spans="1:3" hidden="1">
      <c r="A1268" t="s">
        <v>2751</v>
      </c>
      <c r="B1268">
        <v>2</v>
      </c>
      <c r="C1268" t="s">
        <v>839</v>
      </c>
    </row>
    <row r="1269" spans="1:3" hidden="1">
      <c r="A1269" t="s">
        <v>2752</v>
      </c>
      <c r="B1269">
        <v>2</v>
      </c>
      <c r="C1269" t="s">
        <v>839</v>
      </c>
    </row>
    <row r="1270" spans="1:3" hidden="1">
      <c r="A1270" t="s">
        <v>2120</v>
      </c>
      <c r="B1270">
        <v>3</v>
      </c>
      <c r="C1270" t="s">
        <v>839</v>
      </c>
    </row>
    <row r="1271" spans="1:3" hidden="1">
      <c r="A1271" t="s">
        <v>2753</v>
      </c>
      <c r="B1271">
        <v>2</v>
      </c>
      <c r="C1271" t="s">
        <v>839</v>
      </c>
    </row>
    <row r="1272" spans="1:3" hidden="1">
      <c r="A1272" t="s">
        <v>2754</v>
      </c>
      <c r="B1272">
        <v>2</v>
      </c>
      <c r="C1272" t="s">
        <v>839</v>
      </c>
    </row>
    <row r="1273" spans="1:3" hidden="1">
      <c r="A1273" t="s">
        <v>2755</v>
      </c>
      <c r="B1273">
        <v>2</v>
      </c>
      <c r="C1273" t="s">
        <v>839</v>
      </c>
    </row>
    <row r="1274" spans="1:3" hidden="1">
      <c r="A1274" t="s">
        <v>2750</v>
      </c>
      <c r="B1274">
        <v>2</v>
      </c>
      <c r="C1274" t="s">
        <v>839</v>
      </c>
    </row>
    <row r="1275" spans="1:3" hidden="1">
      <c r="A1275" t="s">
        <v>2756</v>
      </c>
      <c r="B1275">
        <v>2</v>
      </c>
      <c r="C1275" t="s">
        <v>839</v>
      </c>
    </row>
    <row r="1276" spans="1:3" hidden="1">
      <c r="A1276" t="s">
        <v>2104</v>
      </c>
      <c r="B1276">
        <v>47</v>
      </c>
      <c r="C1276" t="s">
        <v>839</v>
      </c>
    </row>
    <row r="1277" spans="1:3" hidden="1">
      <c r="A1277" t="s">
        <v>2105</v>
      </c>
      <c r="B1277">
        <v>24</v>
      </c>
      <c r="C1277" t="s">
        <v>839</v>
      </c>
    </row>
    <row r="1278" spans="1:3" hidden="1">
      <c r="A1278" t="s">
        <v>2106</v>
      </c>
      <c r="B1278">
        <v>10</v>
      </c>
      <c r="C1278" t="s">
        <v>839</v>
      </c>
    </row>
    <row r="1279" spans="1:3" hidden="1">
      <c r="A1279" t="s">
        <v>2107</v>
      </c>
      <c r="B1279">
        <v>51</v>
      </c>
      <c r="C1279" t="s">
        <v>839</v>
      </c>
    </row>
    <row r="1280" spans="1:3" hidden="1">
      <c r="A1280" t="s">
        <v>2108</v>
      </c>
      <c r="B1280">
        <v>85</v>
      </c>
      <c r="C1280" t="s">
        <v>839</v>
      </c>
    </row>
    <row r="1281" spans="1:3" hidden="1">
      <c r="A1281" t="s">
        <v>2109</v>
      </c>
      <c r="B1281">
        <v>30</v>
      </c>
      <c r="C1281" t="s">
        <v>839</v>
      </c>
    </row>
    <row r="1282" spans="1:3" hidden="1">
      <c r="A1282" t="s">
        <v>2111</v>
      </c>
      <c r="B1282">
        <v>51</v>
      </c>
      <c r="C1282" t="s">
        <v>839</v>
      </c>
    </row>
    <row r="1283" spans="1:3" hidden="1">
      <c r="A1283" t="s">
        <v>2110</v>
      </c>
      <c r="B1283">
        <v>51</v>
      </c>
      <c r="C1283" t="s">
        <v>839</v>
      </c>
    </row>
    <row r="1284" spans="1:3" hidden="1">
      <c r="A1284" t="s">
        <v>2112</v>
      </c>
      <c r="B1284">
        <v>52</v>
      </c>
      <c r="C1284" t="s">
        <v>839</v>
      </c>
    </row>
    <row r="1285" spans="1:3" hidden="1">
      <c r="A1285" t="s">
        <v>2113</v>
      </c>
      <c r="B1285">
        <v>85</v>
      </c>
      <c r="C1285" t="s">
        <v>839</v>
      </c>
    </row>
    <row r="1286" spans="1:3" hidden="1">
      <c r="A1286" t="s">
        <v>2114</v>
      </c>
      <c r="B1286">
        <v>85</v>
      </c>
      <c r="C1286" t="s">
        <v>839</v>
      </c>
    </row>
    <row r="1287" spans="1:3" hidden="1">
      <c r="A1287" t="s">
        <v>2115</v>
      </c>
      <c r="B1287">
        <v>85</v>
      </c>
      <c r="C1287" t="s">
        <v>839</v>
      </c>
    </row>
    <row r="1288" spans="1:3" hidden="1">
      <c r="A1288" t="s">
        <v>2116</v>
      </c>
      <c r="B1288">
        <v>85</v>
      </c>
      <c r="C1288" t="s">
        <v>839</v>
      </c>
    </row>
    <row r="1289" spans="1:3" hidden="1">
      <c r="A1289" t="s">
        <v>2117</v>
      </c>
      <c r="B1289">
        <v>85</v>
      </c>
      <c r="C1289" t="s">
        <v>839</v>
      </c>
    </row>
    <row r="1290" spans="1:3" hidden="1">
      <c r="A1290" t="s">
        <v>2118</v>
      </c>
      <c r="B1290">
        <v>51</v>
      </c>
      <c r="C1290" t="s">
        <v>839</v>
      </c>
    </row>
    <row r="1291" spans="1:3" hidden="1">
      <c r="A1291" t="s">
        <v>2119</v>
      </c>
      <c r="B1291">
        <v>49</v>
      </c>
      <c r="C1291" t="s">
        <v>839</v>
      </c>
    </row>
    <row r="1292" spans="1:3" hidden="1">
      <c r="A1292" t="s">
        <v>2121</v>
      </c>
      <c r="B1292">
        <v>2</v>
      </c>
      <c r="C1292" t="s">
        <v>839</v>
      </c>
    </row>
    <row r="1293" spans="1:3" hidden="1">
      <c r="A1293" t="s">
        <v>2122</v>
      </c>
      <c r="B1293">
        <v>53</v>
      </c>
      <c r="C1293" t="s">
        <v>839</v>
      </c>
    </row>
    <row r="1294" spans="1:3" hidden="1">
      <c r="A1294" t="s">
        <v>2123</v>
      </c>
      <c r="B1294">
        <v>26</v>
      </c>
      <c r="C1294" t="s">
        <v>839</v>
      </c>
    </row>
    <row r="1295" spans="1:3" hidden="1">
      <c r="A1295" t="s">
        <v>2124</v>
      </c>
      <c r="B1295">
        <v>37</v>
      </c>
      <c r="C1295" t="s">
        <v>839</v>
      </c>
    </row>
    <row r="1296" spans="1:3" hidden="1">
      <c r="A1296" t="s">
        <v>2125</v>
      </c>
      <c r="B1296">
        <v>37</v>
      </c>
      <c r="C1296" t="s">
        <v>839</v>
      </c>
    </row>
    <row r="1297" spans="1:3" hidden="1">
      <c r="A1297" t="s">
        <v>2126</v>
      </c>
      <c r="B1297">
        <v>5</v>
      </c>
      <c r="C1297" t="s">
        <v>839</v>
      </c>
    </row>
    <row r="1298" spans="1:3" hidden="1">
      <c r="A1298" t="s">
        <v>2127</v>
      </c>
      <c r="B1298">
        <v>5</v>
      </c>
      <c r="C1298" t="s">
        <v>839</v>
      </c>
    </row>
    <row r="1299" spans="1:3" hidden="1">
      <c r="A1299" t="s">
        <v>2128</v>
      </c>
      <c r="B1299">
        <v>5</v>
      </c>
      <c r="C1299" t="s">
        <v>839</v>
      </c>
    </row>
    <row r="1300" spans="1:3" hidden="1">
      <c r="A1300" t="s">
        <v>2129</v>
      </c>
      <c r="B1300">
        <v>5</v>
      </c>
      <c r="C1300" t="s">
        <v>839</v>
      </c>
    </row>
    <row r="1301" spans="1:3" hidden="1">
      <c r="A1301" t="s">
        <v>2130</v>
      </c>
      <c r="B1301">
        <v>5</v>
      </c>
      <c r="C1301" t="s">
        <v>839</v>
      </c>
    </row>
    <row r="1302" spans="1:3" hidden="1">
      <c r="A1302" t="s">
        <v>2131</v>
      </c>
      <c r="B1302">
        <v>5</v>
      </c>
      <c r="C1302" t="s">
        <v>839</v>
      </c>
    </row>
    <row r="1303" spans="1:3" hidden="1">
      <c r="A1303" t="s">
        <v>2132</v>
      </c>
      <c r="B1303">
        <v>5</v>
      </c>
      <c r="C1303" t="s">
        <v>839</v>
      </c>
    </row>
    <row r="1304" spans="1:3" hidden="1">
      <c r="A1304" t="s">
        <v>2133</v>
      </c>
      <c r="B1304">
        <v>2</v>
      </c>
      <c r="C1304" t="s">
        <v>839</v>
      </c>
    </row>
    <row r="1305" spans="1:3" hidden="1">
      <c r="A1305" t="s">
        <v>2134</v>
      </c>
      <c r="B1305">
        <v>48</v>
      </c>
      <c r="C1305" t="s">
        <v>839</v>
      </c>
    </row>
    <row r="1306" spans="1:3" hidden="1">
      <c r="A1306" t="s">
        <v>2135</v>
      </c>
      <c r="B1306">
        <v>86</v>
      </c>
      <c r="C1306" t="s">
        <v>839</v>
      </c>
    </row>
    <row r="1307" spans="1:3" hidden="1">
      <c r="A1307" t="s">
        <v>2136</v>
      </c>
      <c r="B1307">
        <v>86</v>
      </c>
      <c r="C1307" t="s">
        <v>839</v>
      </c>
    </row>
    <row r="1308" spans="1:3" hidden="1">
      <c r="A1308" t="s">
        <v>2137</v>
      </c>
      <c r="B1308">
        <v>86</v>
      </c>
      <c r="C1308" t="s">
        <v>839</v>
      </c>
    </row>
    <row r="1309" spans="1:3" hidden="1">
      <c r="A1309" t="s">
        <v>2138</v>
      </c>
      <c r="B1309">
        <v>86</v>
      </c>
      <c r="C1309" t="s">
        <v>839</v>
      </c>
    </row>
    <row r="1310" spans="1:3" hidden="1">
      <c r="A1310" t="s">
        <v>2139</v>
      </c>
      <c r="B1310">
        <v>86</v>
      </c>
      <c r="C1310" t="s">
        <v>839</v>
      </c>
    </row>
    <row r="1311" spans="1:3" hidden="1">
      <c r="A1311" t="s">
        <v>2140</v>
      </c>
      <c r="B1311">
        <v>86</v>
      </c>
      <c r="C1311" t="s">
        <v>839</v>
      </c>
    </row>
    <row r="1312" spans="1:3" hidden="1">
      <c r="A1312" t="s">
        <v>2141</v>
      </c>
      <c r="B1312">
        <v>86</v>
      </c>
      <c r="C1312" t="s">
        <v>839</v>
      </c>
    </row>
    <row r="1313" spans="1:3" hidden="1">
      <c r="A1313" t="s">
        <v>2142</v>
      </c>
      <c r="B1313">
        <v>54</v>
      </c>
      <c r="C1313" t="s">
        <v>839</v>
      </c>
    </row>
    <row r="1314" spans="1:3" hidden="1">
      <c r="A1314" t="s">
        <v>2143</v>
      </c>
      <c r="B1314">
        <v>54</v>
      </c>
      <c r="C1314" t="s">
        <v>839</v>
      </c>
    </row>
    <row r="1315" spans="1:3" hidden="1">
      <c r="A1315" t="s">
        <v>2144</v>
      </c>
      <c r="B1315">
        <v>54</v>
      </c>
      <c r="C1315" t="s">
        <v>839</v>
      </c>
    </row>
    <row r="1316" spans="1:3" hidden="1">
      <c r="A1316" t="s">
        <v>2145</v>
      </c>
      <c r="B1316">
        <v>86</v>
      </c>
      <c r="C1316" t="s">
        <v>839</v>
      </c>
    </row>
    <row r="1317" spans="1:3" hidden="1">
      <c r="A1317" t="s">
        <v>2146</v>
      </c>
      <c r="B1317">
        <v>86</v>
      </c>
      <c r="C1317" t="s">
        <v>839</v>
      </c>
    </row>
    <row r="1318" spans="1:3" hidden="1">
      <c r="A1318" t="s">
        <v>2147</v>
      </c>
      <c r="B1318">
        <v>86</v>
      </c>
      <c r="C1318" t="s">
        <v>839</v>
      </c>
    </row>
    <row r="1319" spans="1:3" hidden="1">
      <c r="A1319" t="s">
        <v>2148</v>
      </c>
      <c r="B1319">
        <v>86</v>
      </c>
      <c r="C1319" t="s">
        <v>839</v>
      </c>
    </row>
    <row r="1320" spans="1:3" hidden="1">
      <c r="A1320" t="s">
        <v>2149</v>
      </c>
      <c r="B1320">
        <v>86</v>
      </c>
      <c r="C1320" t="s">
        <v>839</v>
      </c>
    </row>
    <row r="1321" spans="1:3" hidden="1">
      <c r="A1321" t="s">
        <v>2150</v>
      </c>
      <c r="B1321">
        <v>55</v>
      </c>
      <c r="C1321" t="s">
        <v>839</v>
      </c>
    </row>
    <row r="1322" spans="1:3" hidden="1">
      <c r="A1322" t="s">
        <v>2151</v>
      </c>
      <c r="B1322">
        <v>86</v>
      </c>
      <c r="C1322" t="s">
        <v>839</v>
      </c>
    </row>
    <row r="1323" spans="1:3" hidden="1">
      <c r="A1323" t="s">
        <v>2152</v>
      </c>
      <c r="B1323">
        <v>95</v>
      </c>
      <c r="C1323" t="s">
        <v>839</v>
      </c>
    </row>
    <row r="1324" spans="1:3" hidden="1">
      <c r="A1324" t="s">
        <v>2153</v>
      </c>
      <c r="B1324">
        <v>24</v>
      </c>
      <c r="C1324" t="s">
        <v>839</v>
      </c>
    </row>
    <row r="1325" spans="1:3" hidden="1">
      <c r="A1325" t="s">
        <v>2154</v>
      </c>
      <c r="B1325">
        <v>84</v>
      </c>
      <c r="C1325" t="s">
        <v>839</v>
      </c>
    </row>
    <row r="1326" spans="1:3" hidden="1">
      <c r="A1326" t="s">
        <v>2155</v>
      </c>
      <c r="B1326">
        <v>16</v>
      </c>
      <c r="C1326" t="s">
        <v>839</v>
      </c>
    </row>
    <row r="1327" spans="1:3" hidden="1">
      <c r="A1327" t="s">
        <v>2156</v>
      </c>
      <c r="B1327">
        <v>94</v>
      </c>
      <c r="C1327" t="s">
        <v>839</v>
      </c>
    </row>
    <row r="1328" spans="1:3" hidden="1">
      <c r="A1328" t="s">
        <v>2157</v>
      </c>
      <c r="B1328">
        <v>16</v>
      </c>
      <c r="C1328" t="s">
        <v>839</v>
      </c>
    </row>
    <row r="1329" spans="1:3" hidden="1">
      <c r="A1329" t="s">
        <v>2158</v>
      </c>
      <c r="B1329">
        <v>37</v>
      </c>
      <c r="C1329" t="s">
        <v>839</v>
      </c>
    </row>
    <row r="1330" spans="1:3" hidden="1">
      <c r="A1330" t="s">
        <v>2159</v>
      </c>
      <c r="B1330">
        <v>48</v>
      </c>
      <c r="C1330" t="s">
        <v>839</v>
      </c>
    </row>
    <row r="1331" spans="1:3" hidden="1">
      <c r="A1331" t="s">
        <v>2160</v>
      </c>
      <c r="B1331">
        <v>48</v>
      </c>
      <c r="C1331" t="s">
        <v>839</v>
      </c>
    </row>
    <row r="1332" spans="1:3" hidden="1">
      <c r="A1332" t="s">
        <v>2161</v>
      </c>
      <c r="B1332">
        <v>48</v>
      </c>
      <c r="C1332" t="s">
        <v>839</v>
      </c>
    </row>
    <row r="1333" spans="1:3" hidden="1">
      <c r="A1333" t="s">
        <v>2162</v>
      </c>
      <c r="B1333">
        <v>48</v>
      </c>
      <c r="C1333" t="s">
        <v>839</v>
      </c>
    </row>
    <row r="1334" spans="1:3" hidden="1">
      <c r="A1334" t="s">
        <v>2163</v>
      </c>
      <c r="B1334">
        <v>12</v>
      </c>
      <c r="C1334" t="s">
        <v>839</v>
      </c>
    </row>
    <row r="1335" spans="1:3" hidden="1">
      <c r="A1335" t="s">
        <v>2164</v>
      </c>
      <c r="B1335">
        <v>61</v>
      </c>
      <c r="C1335" t="s">
        <v>839</v>
      </c>
    </row>
    <row r="1336" spans="1:3" hidden="1">
      <c r="A1336" t="s">
        <v>2165</v>
      </c>
      <c r="B1336">
        <v>9</v>
      </c>
      <c r="C1336" t="s">
        <v>839</v>
      </c>
    </row>
    <row r="1337" spans="1:3" hidden="1">
      <c r="A1337" t="s">
        <v>2166</v>
      </c>
      <c r="B1337">
        <v>12</v>
      </c>
      <c r="C1337" t="s">
        <v>839</v>
      </c>
    </row>
    <row r="1338" spans="1:3" hidden="1">
      <c r="A1338" t="s">
        <v>2167</v>
      </c>
      <c r="B1338">
        <v>12</v>
      </c>
      <c r="C1338" t="s">
        <v>839</v>
      </c>
    </row>
    <row r="1339" spans="1:3" hidden="1">
      <c r="A1339" t="s">
        <v>2168</v>
      </c>
      <c r="B1339">
        <v>59</v>
      </c>
      <c r="C1339" t="s">
        <v>839</v>
      </c>
    </row>
    <row r="1340" spans="1:3" hidden="1">
      <c r="A1340" t="s">
        <v>2169</v>
      </c>
      <c r="B1340">
        <v>12</v>
      </c>
      <c r="C1340" t="s">
        <v>839</v>
      </c>
    </row>
    <row r="1341" spans="1:3" hidden="1">
      <c r="A1341" t="s">
        <v>2170</v>
      </c>
      <c r="B1341">
        <v>12</v>
      </c>
      <c r="C1341" t="s">
        <v>839</v>
      </c>
    </row>
    <row r="1342" spans="1:3" hidden="1">
      <c r="A1342" t="s">
        <v>2171</v>
      </c>
      <c r="B1342">
        <v>12</v>
      </c>
      <c r="C1342" t="s">
        <v>839</v>
      </c>
    </row>
    <row r="1343" spans="1:3" hidden="1">
      <c r="A1343" t="s">
        <v>2172</v>
      </c>
      <c r="B1343">
        <v>12</v>
      </c>
      <c r="C1343" t="s">
        <v>839</v>
      </c>
    </row>
    <row r="1344" spans="1:3" hidden="1">
      <c r="A1344" t="s">
        <v>2173</v>
      </c>
      <c r="B1344">
        <v>12</v>
      </c>
      <c r="C1344" t="s">
        <v>839</v>
      </c>
    </row>
    <row r="1345" spans="1:3" hidden="1">
      <c r="A1345" t="s">
        <v>2174</v>
      </c>
      <c r="B1345">
        <v>88</v>
      </c>
      <c r="C1345" t="s">
        <v>839</v>
      </c>
    </row>
    <row r="1346" spans="1:3" hidden="1">
      <c r="A1346" t="s">
        <v>2175</v>
      </c>
      <c r="B1346">
        <v>59</v>
      </c>
      <c r="C1346" t="s">
        <v>839</v>
      </c>
    </row>
    <row r="1347" spans="1:3" hidden="1">
      <c r="A1347" t="s">
        <v>2176</v>
      </c>
      <c r="B1347">
        <v>9</v>
      </c>
      <c r="C1347" t="s">
        <v>839</v>
      </c>
    </row>
    <row r="1348" spans="1:3" hidden="1">
      <c r="A1348" t="s">
        <v>2177</v>
      </c>
      <c r="B1348">
        <v>12</v>
      </c>
      <c r="C1348" t="s">
        <v>839</v>
      </c>
    </row>
    <row r="1349" spans="1:3" hidden="1">
      <c r="A1349" t="s">
        <v>2178</v>
      </c>
      <c r="B1349">
        <v>12</v>
      </c>
      <c r="C1349" t="s">
        <v>839</v>
      </c>
    </row>
    <row r="1350" spans="1:3" hidden="1">
      <c r="A1350" t="s">
        <v>2179</v>
      </c>
      <c r="B1350">
        <v>12</v>
      </c>
      <c r="C1350" t="s">
        <v>839</v>
      </c>
    </row>
    <row r="1351" spans="1:3" hidden="1">
      <c r="A1351" t="s">
        <v>2180</v>
      </c>
      <c r="B1351">
        <v>12</v>
      </c>
      <c r="C1351" t="s">
        <v>839</v>
      </c>
    </row>
    <row r="1352" spans="1:3" hidden="1">
      <c r="A1352" t="s">
        <v>2181</v>
      </c>
      <c r="B1352">
        <v>12</v>
      </c>
      <c r="C1352" t="s">
        <v>839</v>
      </c>
    </row>
    <row r="1353" spans="1:3" hidden="1">
      <c r="A1353" t="s">
        <v>2182</v>
      </c>
      <c r="B1353">
        <v>12</v>
      </c>
      <c r="C1353" t="s">
        <v>839</v>
      </c>
    </row>
    <row r="1354" spans="1:3" hidden="1">
      <c r="A1354" t="s">
        <v>2183</v>
      </c>
      <c r="B1354">
        <v>17</v>
      </c>
      <c r="C1354" t="s">
        <v>839</v>
      </c>
    </row>
    <row r="1355" spans="1:3" hidden="1">
      <c r="A1355" t="s">
        <v>2184</v>
      </c>
      <c r="B1355">
        <v>48</v>
      </c>
      <c r="C1355" t="s">
        <v>839</v>
      </c>
    </row>
    <row r="1356" spans="1:3" hidden="1">
      <c r="A1356" t="s">
        <v>2185</v>
      </c>
      <c r="B1356">
        <v>87</v>
      </c>
      <c r="C1356" t="s">
        <v>839</v>
      </c>
    </row>
    <row r="1357" spans="1:3" hidden="1">
      <c r="A1357" t="s">
        <v>2186</v>
      </c>
      <c r="B1357">
        <v>30</v>
      </c>
      <c r="C1357" t="s">
        <v>839</v>
      </c>
    </row>
    <row r="1358" spans="1:3" hidden="1">
      <c r="A1358" t="s">
        <v>2187</v>
      </c>
      <c r="B1358">
        <v>56</v>
      </c>
      <c r="C1358" t="s">
        <v>839</v>
      </c>
    </row>
    <row r="1359" spans="1:3" hidden="1">
      <c r="A1359" t="s">
        <v>2188</v>
      </c>
      <c r="B1359">
        <v>56</v>
      </c>
      <c r="C1359" t="s">
        <v>839</v>
      </c>
    </row>
    <row r="1360" spans="1:3" hidden="1">
      <c r="A1360" t="s">
        <v>2189</v>
      </c>
      <c r="B1360">
        <v>56</v>
      </c>
      <c r="C1360" t="s">
        <v>839</v>
      </c>
    </row>
    <row r="1361" spans="1:3" hidden="1">
      <c r="A1361" t="s">
        <v>2190</v>
      </c>
      <c r="B1361">
        <v>57</v>
      </c>
      <c r="C1361" t="s">
        <v>839</v>
      </c>
    </row>
    <row r="1362" spans="1:3" hidden="1">
      <c r="A1362" t="s">
        <v>2191</v>
      </c>
      <c r="B1362">
        <v>56</v>
      </c>
      <c r="C1362" t="s">
        <v>839</v>
      </c>
    </row>
    <row r="1363" spans="1:3" hidden="1">
      <c r="A1363" t="s">
        <v>2192</v>
      </c>
      <c r="B1363">
        <v>88</v>
      </c>
      <c r="C1363" t="s">
        <v>839</v>
      </c>
    </row>
    <row r="1364" spans="1:3" hidden="1">
      <c r="A1364" t="s">
        <v>2193</v>
      </c>
      <c r="B1364">
        <v>52</v>
      </c>
      <c r="C1364" t="s">
        <v>839</v>
      </c>
    </row>
    <row r="1365" spans="1:3" hidden="1">
      <c r="A1365" t="s">
        <v>2194</v>
      </c>
      <c r="B1365">
        <v>87</v>
      </c>
      <c r="C1365" t="s">
        <v>839</v>
      </c>
    </row>
    <row r="1366" spans="1:3" hidden="1">
      <c r="A1366" t="s">
        <v>2195</v>
      </c>
      <c r="B1366">
        <v>87</v>
      </c>
      <c r="C1366" t="s">
        <v>839</v>
      </c>
    </row>
    <row r="1367" spans="1:3" hidden="1">
      <c r="A1367" t="s">
        <v>2196</v>
      </c>
      <c r="B1367">
        <v>6</v>
      </c>
      <c r="C1367" t="s">
        <v>839</v>
      </c>
    </row>
    <row r="1368" spans="1:3" hidden="1">
      <c r="A1368" t="s">
        <v>2197</v>
      </c>
      <c r="B1368">
        <v>88</v>
      </c>
      <c r="C1368" t="s">
        <v>839</v>
      </c>
    </row>
    <row r="1369" spans="1:3" hidden="1">
      <c r="A1369" t="s">
        <v>2198</v>
      </c>
      <c r="B1369">
        <v>59</v>
      </c>
      <c r="C1369" t="s">
        <v>839</v>
      </c>
    </row>
    <row r="1370" spans="1:3" hidden="1">
      <c r="A1370" t="s">
        <v>2199</v>
      </c>
      <c r="B1370">
        <v>88</v>
      </c>
      <c r="C1370" t="s">
        <v>839</v>
      </c>
    </row>
    <row r="1371" spans="1:3" hidden="1">
      <c r="A1371" t="s">
        <v>2200</v>
      </c>
      <c r="B1371">
        <v>60</v>
      </c>
      <c r="C1371" t="s">
        <v>839</v>
      </c>
    </row>
    <row r="1372" spans="1:3" hidden="1">
      <c r="A1372" t="s">
        <v>2201</v>
      </c>
      <c r="B1372">
        <v>88</v>
      </c>
      <c r="C1372" t="s">
        <v>839</v>
      </c>
    </row>
    <row r="1373" spans="1:3" hidden="1">
      <c r="A1373" t="s">
        <v>2202</v>
      </c>
      <c r="B1373">
        <v>60</v>
      </c>
      <c r="C1373" t="s">
        <v>839</v>
      </c>
    </row>
    <row r="1374" spans="1:3" hidden="1">
      <c r="A1374" t="s">
        <v>2203</v>
      </c>
      <c r="B1374">
        <v>11</v>
      </c>
      <c r="C1374" t="s">
        <v>839</v>
      </c>
    </row>
    <row r="1375" spans="1:3" hidden="1">
      <c r="A1375" t="s">
        <v>2204</v>
      </c>
      <c r="B1375">
        <v>60</v>
      </c>
      <c r="C1375" t="s">
        <v>839</v>
      </c>
    </row>
    <row r="1376" spans="1:3" hidden="1">
      <c r="A1376" t="s">
        <v>2205</v>
      </c>
      <c r="B1376">
        <v>61</v>
      </c>
      <c r="C1376" t="s">
        <v>839</v>
      </c>
    </row>
    <row r="1377" spans="1:3" hidden="1">
      <c r="A1377" t="s">
        <v>2206</v>
      </c>
      <c r="B1377">
        <v>30</v>
      </c>
      <c r="C1377" t="s">
        <v>839</v>
      </c>
    </row>
    <row r="1378" spans="1:3" hidden="1">
      <c r="A1378" t="s">
        <v>2207</v>
      </c>
      <c r="B1378">
        <v>59</v>
      </c>
      <c r="C1378" t="s">
        <v>839</v>
      </c>
    </row>
    <row r="1379" spans="1:3" hidden="1">
      <c r="A1379" t="s">
        <v>2208</v>
      </c>
      <c r="B1379">
        <v>88</v>
      </c>
      <c r="C1379" t="s">
        <v>839</v>
      </c>
    </row>
    <row r="1380" spans="1:3" hidden="1">
      <c r="A1380" t="s">
        <v>2209</v>
      </c>
      <c r="B1380">
        <v>61</v>
      </c>
      <c r="C1380" t="s">
        <v>839</v>
      </c>
    </row>
    <row r="1381" spans="1:3" hidden="1">
      <c r="A1381" t="s">
        <v>2210</v>
      </c>
      <c r="B1381">
        <v>61</v>
      </c>
      <c r="C1381" t="s">
        <v>839</v>
      </c>
    </row>
    <row r="1382" spans="1:3" hidden="1">
      <c r="A1382" t="s">
        <v>2211</v>
      </c>
      <c r="B1382">
        <v>49</v>
      </c>
      <c r="C1382" t="s">
        <v>839</v>
      </c>
    </row>
    <row r="1383" spans="1:3" hidden="1">
      <c r="A1383" t="s">
        <v>2212</v>
      </c>
      <c r="B1383">
        <v>49</v>
      </c>
      <c r="C1383" t="s">
        <v>839</v>
      </c>
    </row>
    <row r="1384" spans="1:3" hidden="1">
      <c r="A1384" t="s">
        <v>2213</v>
      </c>
      <c r="B1384">
        <v>49</v>
      </c>
      <c r="C1384" t="s">
        <v>839</v>
      </c>
    </row>
    <row r="1385" spans="1:3" hidden="1">
      <c r="A1385" t="s">
        <v>2214</v>
      </c>
      <c r="B1385">
        <v>95</v>
      </c>
      <c r="C1385" t="s">
        <v>839</v>
      </c>
    </row>
    <row r="1386" spans="1:3" hidden="1">
      <c r="A1386" t="s">
        <v>2215</v>
      </c>
      <c r="B1386">
        <v>49</v>
      </c>
      <c r="C1386" t="s">
        <v>839</v>
      </c>
    </row>
    <row r="1387" spans="1:3" hidden="1">
      <c r="A1387" t="s">
        <v>2216</v>
      </c>
      <c r="B1387">
        <v>51</v>
      </c>
      <c r="C1387" t="s">
        <v>839</v>
      </c>
    </row>
    <row r="1388" spans="1:3" hidden="1">
      <c r="A1388" t="s">
        <v>2217</v>
      </c>
      <c r="B1388">
        <v>61</v>
      </c>
      <c r="C1388" t="s">
        <v>839</v>
      </c>
    </row>
    <row r="1389" spans="1:3" hidden="1">
      <c r="A1389" t="s">
        <v>2218</v>
      </c>
      <c r="B1389">
        <v>52</v>
      </c>
      <c r="C1389" t="s">
        <v>839</v>
      </c>
    </row>
    <row r="1390" spans="1:3" hidden="1">
      <c r="A1390" t="s">
        <v>2219</v>
      </c>
      <c r="B1390">
        <v>6</v>
      </c>
      <c r="C1390" t="s">
        <v>839</v>
      </c>
    </row>
    <row r="1391" spans="1:3" hidden="1">
      <c r="A1391" t="s">
        <v>2220</v>
      </c>
      <c r="B1391">
        <v>6</v>
      </c>
      <c r="C1391" t="s">
        <v>839</v>
      </c>
    </row>
    <row r="1392" spans="1:3" hidden="1">
      <c r="A1392" t="s">
        <v>2221</v>
      </c>
      <c r="B1392">
        <v>37</v>
      </c>
      <c r="C1392" t="s">
        <v>839</v>
      </c>
    </row>
    <row r="1393" spans="1:3" hidden="1">
      <c r="A1393" t="s">
        <v>2222</v>
      </c>
      <c r="B1393">
        <v>30</v>
      </c>
      <c r="C1393" t="s">
        <v>839</v>
      </c>
    </row>
    <row r="1394" spans="1:3" hidden="1">
      <c r="A1394" t="s">
        <v>2223</v>
      </c>
      <c r="B1394">
        <v>49</v>
      </c>
      <c r="C1394" t="s">
        <v>839</v>
      </c>
    </row>
    <row r="1395" spans="1:3" hidden="1">
      <c r="A1395" t="s">
        <v>2224</v>
      </c>
      <c r="B1395">
        <v>2</v>
      </c>
      <c r="C1395" t="s">
        <v>839</v>
      </c>
    </row>
    <row r="1396" spans="1:3" hidden="1">
      <c r="A1396" t="s">
        <v>2225</v>
      </c>
      <c r="B1396">
        <v>88</v>
      </c>
      <c r="C1396" t="s">
        <v>839</v>
      </c>
    </row>
    <row r="1397" spans="1:3" hidden="1">
      <c r="A1397" t="s">
        <v>2226</v>
      </c>
      <c r="B1397">
        <v>60</v>
      </c>
      <c r="C1397" t="s">
        <v>839</v>
      </c>
    </row>
    <row r="1398" spans="1:3" hidden="1">
      <c r="A1398" t="s">
        <v>2227</v>
      </c>
      <c r="B1398">
        <v>60</v>
      </c>
      <c r="C1398" t="s">
        <v>839</v>
      </c>
    </row>
    <row r="1399" spans="1:3" hidden="1">
      <c r="A1399" t="s">
        <v>2228</v>
      </c>
      <c r="B1399">
        <v>60</v>
      </c>
      <c r="C1399" t="s">
        <v>839</v>
      </c>
    </row>
    <row r="1400" spans="1:3" hidden="1">
      <c r="A1400" t="s">
        <v>2229</v>
      </c>
      <c r="B1400">
        <v>60</v>
      </c>
      <c r="C1400" t="s">
        <v>839</v>
      </c>
    </row>
    <row r="1401" spans="1:3" hidden="1">
      <c r="A1401" t="s">
        <v>2230</v>
      </c>
      <c r="B1401">
        <v>28</v>
      </c>
      <c r="C1401" t="s">
        <v>839</v>
      </c>
    </row>
    <row r="1402" spans="1:3" hidden="1">
      <c r="A1402" t="s">
        <v>2231</v>
      </c>
      <c r="B1402">
        <v>81</v>
      </c>
      <c r="C1402" t="s">
        <v>839</v>
      </c>
    </row>
    <row r="1403" spans="1:3" hidden="1">
      <c r="A1403" t="s">
        <v>2232</v>
      </c>
      <c r="B1403">
        <v>24</v>
      </c>
      <c r="C1403" t="s">
        <v>839</v>
      </c>
    </row>
    <row r="1404" spans="1:3" hidden="1">
      <c r="A1404" t="s">
        <v>2233</v>
      </c>
      <c r="B1404">
        <v>24</v>
      </c>
      <c r="C1404" t="s">
        <v>839</v>
      </c>
    </row>
    <row r="1405" spans="1:3" hidden="1">
      <c r="A1405" t="s">
        <v>2234</v>
      </c>
      <c r="B1405">
        <v>11</v>
      </c>
      <c r="C1405" t="s">
        <v>839</v>
      </c>
    </row>
    <row r="1406" spans="1:3" hidden="1">
      <c r="A1406" t="s">
        <v>2235</v>
      </c>
      <c r="B1406">
        <v>12</v>
      </c>
      <c r="C1406" t="s">
        <v>839</v>
      </c>
    </row>
    <row r="1407" spans="1:3" hidden="1">
      <c r="A1407" t="s">
        <v>2236</v>
      </c>
      <c r="B1407">
        <v>10</v>
      </c>
      <c r="C1407" t="s">
        <v>839</v>
      </c>
    </row>
    <row r="1408" spans="1:3" hidden="1">
      <c r="A1408" t="s">
        <v>2237</v>
      </c>
      <c r="B1408">
        <v>10</v>
      </c>
      <c r="C1408" t="s">
        <v>839</v>
      </c>
    </row>
    <row r="1409" spans="1:3" hidden="1">
      <c r="A1409" t="s">
        <v>2238</v>
      </c>
      <c r="B1409">
        <v>11</v>
      </c>
      <c r="C1409" t="s">
        <v>839</v>
      </c>
    </row>
    <row r="1410" spans="1:3" hidden="1">
      <c r="A1410" t="s">
        <v>2239</v>
      </c>
      <c r="B1410">
        <v>95</v>
      </c>
      <c r="C1410" t="s">
        <v>839</v>
      </c>
    </row>
    <row r="1411" spans="1:3" hidden="1">
      <c r="A1411" t="s">
        <v>2240</v>
      </c>
      <c r="B1411">
        <v>65</v>
      </c>
      <c r="C1411" t="s">
        <v>839</v>
      </c>
    </row>
    <row r="1412" spans="1:3" hidden="1">
      <c r="A1412" t="s">
        <v>2241</v>
      </c>
      <c r="B1412">
        <v>62</v>
      </c>
      <c r="C1412" t="s">
        <v>839</v>
      </c>
    </row>
    <row r="1413" spans="1:3" hidden="1">
      <c r="A1413" t="s">
        <v>2242</v>
      </c>
      <c r="B1413">
        <v>89</v>
      </c>
      <c r="C1413" t="s">
        <v>839</v>
      </c>
    </row>
    <row r="1414" spans="1:3" hidden="1">
      <c r="A1414" t="s">
        <v>2243</v>
      </c>
      <c r="B1414">
        <v>65</v>
      </c>
      <c r="C1414" t="s">
        <v>839</v>
      </c>
    </row>
    <row r="1415" spans="1:3" hidden="1">
      <c r="A1415" t="s">
        <v>2244</v>
      </c>
      <c r="B1415">
        <v>42</v>
      </c>
      <c r="C1415" t="s">
        <v>839</v>
      </c>
    </row>
    <row r="1416" spans="1:3" hidden="1">
      <c r="A1416" t="s">
        <v>2245</v>
      </c>
      <c r="B1416">
        <v>43</v>
      </c>
      <c r="C1416" t="s">
        <v>839</v>
      </c>
    </row>
    <row r="1417" spans="1:3" hidden="1">
      <c r="A1417" t="s">
        <v>2246</v>
      </c>
      <c r="B1417">
        <v>89</v>
      </c>
      <c r="C1417" t="s">
        <v>839</v>
      </c>
    </row>
    <row r="1418" spans="1:3" hidden="1">
      <c r="A1418" t="s">
        <v>2247</v>
      </c>
      <c r="B1418">
        <v>89</v>
      </c>
      <c r="C1418" t="s">
        <v>839</v>
      </c>
    </row>
    <row r="1419" spans="1:3" hidden="1">
      <c r="A1419" t="s">
        <v>2248</v>
      </c>
      <c r="B1419">
        <v>10</v>
      </c>
      <c r="C1419" t="s">
        <v>839</v>
      </c>
    </row>
    <row r="1420" spans="1:3" hidden="1">
      <c r="A1420" t="s">
        <v>2249</v>
      </c>
      <c r="B1420">
        <v>49</v>
      </c>
      <c r="C1420" t="s">
        <v>839</v>
      </c>
    </row>
    <row r="1421" spans="1:3" hidden="1">
      <c r="A1421" t="s">
        <v>2250</v>
      </c>
      <c r="B1421">
        <v>48</v>
      </c>
      <c r="C1421" t="s">
        <v>839</v>
      </c>
    </row>
    <row r="1422" spans="1:3" hidden="1">
      <c r="A1422" t="s">
        <v>2251</v>
      </c>
      <c r="B1422">
        <v>86</v>
      </c>
      <c r="C1422" t="s">
        <v>839</v>
      </c>
    </row>
    <row r="1423" spans="1:3" hidden="1">
      <c r="A1423" t="s">
        <v>2252</v>
      </c>
      <c r="B1423">
        <v>30</v>
      </c>
      <c r="C1423" t="s">
        <v>839</v>
      </c>
    </row>
    <row r="1424" spans="1:3" hidden="1">
      <c r="A1424" t="s">
        <v>2253</v>
      </c>
      <c r="B1424">
        <v>48</v>
      </c>
      <c r="C1424" t="s">
        <v>839</v>
      </c>
    </row>
    <row r="1425" spans="1:3" hidden="1">
      <c r="A1425" t="s">
        <v>2254</v>
      </c>
      <c r="B1425">
        <v>37</v>
      </c>
      <c r="C1425" t="s">
        <v>839</v>
      </c>
    </row>
    <row r="1426" spans="1:3">
      <c r="A1426" t="s">
        <v>2255</v>
      </c>
      <c r="B1426">
        <v>83</v>
      </c>
      <c r="C1426" t="s">
        <v>839</v>
      </c>
    </row>
    <row r="1427" spans="1:3" hidden="1">
      <c r="A1427" t="s">
        <v>2256</v>
      </c>
      <c r="B1427">
        <v>93</v>
      </c>
      <c r="C1427" t="s">
        <v>839</v>
      </c>
    </row>
    <row r="1428" spans="1:3" hidden="1">
      <c r="A1428" t="s">
        <v>2257</v>
      </c>
      <c r="B1428">
        <v>93</v>
      </c>
      <c r="C1428" t="s">
        <v>839</v>
      </c>
    </row>
    <row r="1429" spans="1:3" hidden="1">
      <c r="A1429" t="s">
        <v>2258</v>
      </c>
      <c r="B1429">
        <v>93</v>
      </c>
      <c r="C1429" t="s">
        <v>839</v>
      </c>
    </row>
    <row r="1430" spans="1:3" hidden="1">
      <c r="A1430" t="s">
        <v>2259</v>
      </c>
      <c r="B1430">
        <v>93</v>
      </c>
      <c r="C1430" t="s">
        <v>839</v>
      </c>
    </row>
    <row r="1431" spans="1:3" hidden="1">
      <c r="A1431" t="s">
        <v>2260</v>
      </c>
      <c r="B1431">
        <v>93</v>
      </c>
      <c r="C1431" t="s">
        <v>839</v>
      </c>
    </row>
    <row r="1432" spans="1:3" hidden="1">
      <c r="A1432" t="s">
        <v>2261</v>
      </c>
      <c r="B1432">
        <v>81</v>
      </c>
      <c r="C1432" t="s">
        <v>839</v>
      </c>
    </row>
    <row r="1433" spans="1:3" hidden="1">
      <c r="A1433" t="s">
        <v>2262</v>
      </c>
      <c r="B1433">
        <v>48</v>
      </c>
      <c r="C1433" t="s">
        <v>839</v>
      </c>
    </row>
    <row r="1434" spans="1:3" hidden="1">
      <c r="A1434" t="s">
        <v>2263</v>
      </c>
      <c r="B1434">
        <v>12</v>
      </c>
      <c r="C1434" t="s">
        <v>839</v>
      </c>
    </row>
    <row r="1435" spans="1:3" hidden="1">
      <c r="A1435" t="s">
        <v>2264</v>
      </c>
      <c r="B1435">
        <v>95</v>
      </c>
      <c r="C1435" t="s">
        <v>839</v>
      </c>
    </row>
    <row r="1436" spans="1:3" hidden="1">
      <c r="A1436" t="s">
        <v>2265</v>
      </c>
      <c r="B1436">
        <v>48</v>
      </c>
      <c r="C1436" t="s">
        <v>839</v>
      </c>
    </row>
    <row r="1437" spans="1:3" hidden="1">
      <c r="A1437" t="s">
        <v>2266</v>
      </c>
      <c r="B1437">
        <v>6</v>
      </c>
      <c r="C1437" t="s">
        <v>839</v>
      </c>
    </row>
    <row r="1438" spans="1:3" hidden="1">
      <c r="A1438" t="s">
        <v>2267</v>
      </c>
      <c r="B1438">
        <v>65</v>
      </c>
      <c r="C1438" t="s">
        <v>839</v>
      </c>
    </row>
    <row r="1439" spans="1:3" hidden="1">
      <c r="A1439" t="s">
        <v>2268</v>
      </c>
      <c r="B1439">
        <v>94</v>
      </c>
      <c r="C1439" t="s">
        <v>839</v>
      </c>
    </row>
    <row r="1440" spans="1:3" hidden="1">
      <c r="A1440" t="s">
        <v>2269</v>
      </c>
      <c r="B1440">
        <v>37</v>
      </c>
      <c r="C1440" t="s">
        <v>839</v>
      </c>
    </row>
    <row r="1441" spans="1:3" hidden="1">
      <c r="A1441" t="s">
        <v>2270</v>
      </c>
      <c r="B1441">
        <v>95</v>
      </c>
      <c r="C1441" t="s">
        <v>839</v>
      </c>
    </row>
    <row r="1442" spans="1:3" hidden="1">
      <c r="A1442" t="s">
        <v>2271</v>
      </c>
      <c r="B1442">
        <v>95</v>
      </c>
      <c r="C1442" t="s">
        <v>839</v>
      </c>
    </row>
    <row r="1443" spans="1:3" hidden="1">
      <c r="A1443" t="s">
        <v>2272</v>
      </c>
      <c r="B1443">
        <v>95</v>
      </c>
      <c r="C1443" t="s">
        <v>839</v>
      </c>
    </row>
    <row r="1444" spans="1:3" hidden="1">
      <c r="A1444" t="s">
        <v>2273</v>
      </c>
      <c r="B1444">
        <v>95</v>
      </c>
      <c r="C1444" t="s">
        <v>839</v>
      </c>
    </row>
    <row r="1445" spans="1:3" hidden="1">
      <c r="A1445" t="s">
        <v>2274</v>
      </c>
      <c r="B1445">
        <v>72</v>
      </c>
      <c r="C1445" t="s">
        <v>839</v>
      </c>
    </row>
    <row r="1446" spans="1:3" hidden="1">
      <c r="A1446" t="s">
        <v>2275</v>
      </c>
      <c r="B1446">
        <v>95</v>
      </c>
      <c r="C1446" t="s">
        <v>839</v>
      </c>
    </row>
    <row r="1447" spans="1:3" hidden="1">
      <c r="A1447" t="s">
        <v>2276</v>
      </c>
      <c r="B1447">
        <v>37</v>
      </c>
      <c r="C1447" t="s">
        <v>839</v>
      </c>
    </row>
    <row r="1448" spans="1:3" hidden="1">
      <c r="A1448" t="s">
        <v>2277</v>
      </c>
      <c r="B1448">
        <v>11</v>
      </c>
      <c r="C1448" t="s">
        <v>839</v>
      </c>
    </row>
    <row r="1449" spans="1:3" hidden="1">
      <c r="A1449" t="s">
        <v>2279</v>
      </c>
      <c r="B1449">
        <v>12</v>
      </c>
      <c r="C1449" t="s">
        <v>839</v>
      </c>
    </row>
    <row r="1450" spans="1:3" hidden="1">
      <c r="A1450" t="s">
        <v>2280</v>
      </c>
      <c r="B1450">
        <v>11</v>
      </c>
      <c r="C1450" t="s">
        <v>839</v>
      </c>
    </row>
    <row r="1451" spans="1:3" hidden="1">
      <c r="A1451" t="s">
        <v>2281</v>
      </c>
      <c r="B1451">
        <v>11</v>
      </c>
      <c r="C1451" t="s">
        <v>839</v>
      </c>
    </row>
    <row r="1452" spans="1:3" hidden="1">
      <c r="A1452" t="s">
        <v>2278</v>
      </c>
      <c r="B1452">
        <v>11</v>
      </c>
      <c r="C1452" t="s">
        <v>839</v>
      </c>
    </row>
    <row r="1453" spans="1:3" hidden="1">
      <c r="A1453" t="s">
        <v>2282</v>
      </c>
      <c r="B1453">
        <v>48</v>
      </c>
      <c r="C1453" t="s">
        <v>839</v>
      </c>
    </row>
    <row r="1454" spans="1:3" hidden="1">
      <c r="A1454" t="s">
        <v>2283</v>
      </c>
      <c r="B1454">
        <v>49</v>
      </c>
      <c r="C1454" t="s">
        <v>839</v>
      </c>
    </row>
    <row r="1455" spans="1:3" hidden="1">
      <c r="A1455" t="s">
        <v>2284</v>
      </c>
      <c r="B1455">
        <v>13</v>
      </c>
      <c r="C1455" t="s">
        <v>839</v>
      </c>
    </row>
    <row r="1456" spans="1:3" hidden="1">
      <c r="A1456" t="s">
        <v>2285</v>
      </c>
      <c r="B1456">
        <v>81</v>
      </c>
      <c r="C1456" t="s">
        <v>839</v>
      </c>
    </row>
    <row r="1457" spans="1:3" hidden="1">
      <c r="A1457" t="s">
        <v>2286</v>
      </c>
      <c r="B1457">
        <v>72</v>
      </c>
      <c r="C1457" t="s">
        <v>839</v>
      </c>
    </row>
    <row r="1458" spans="1:3" hidden="1">
      <c r="A1458" t="s">
        <v>2287</v>
      </c>
      <c r="B1458">
        <v>65</v>
      </c>
      <c r="C1458" t="s">
        <v>839</v>
      </c>
    </row>
    <row r="1459" spans="1:3" hidden="1">
      <c r="A1459" t="s">
        <v>2288</v>
      </c>
      <c r="B1459">
        <v>68</v>
      </c>
      <c r="C1459" t="s">
        <v>839</v>
      </c>
    </row>
    <row r="1460" spans="1:3" hidden="1">
      <c r="A1460" t="s">
        <v>2289</v>
      </c>
      <c r="B1460">
        <v>71</v>
      </c>
      <c r="C1460" t="s">
        <v>839</v>
      </c>
    </row>
    <row r="1461" spans="1:3" hidden="1">
      <c r="A1461" t="s">
        <v>2290</v>
      </c>
      <c r="B1461">
        <v>71</v>
      </c>
      <c r="C1461" t="s">
        <v>839</v>
      </c>
    </row>
    <row r="1462" spans="1:3" hidden="1">
      <c r="A1462" t="s">
        <v>2291</v>
      </c>
      <c r="B1462">
        <v>71</v>
      </c>
      <c r="C1462" t="s">
        <v>839</v>
      </c>
    </row>
    <row r="1463" spans="1:3" hidden="1">
      <c r="A1463" t="s">
        <v>2292</v>
      </c>
      <c r="B1463">
        <v>72</v>
      </c>
      <c r="C1463" t="s">
        <v>839</v>
      </c>
    </row>
    <row r="1464" spans="1:3" hidden="1">
      <c r="A1464" t="s">
        <v>2293</v>
      </c>
      <c r="B1464">
        <v>72</v>
      </c>
      <c r="C1464" t="s">
        <v>839</v>
      </c>
    </row>
    <row r="1465" spans="1:3" hidden="1">
      <c r="A1465" t="s">
        <v>2294</v>
      </c>
      <c r="B1465">
        <v>72</v>
      </c>
      <c r="C1465" t="s">
        <v>839</v>
      </c>
    </row>
    <row r="1466" spans="1:3" hidden="1">
      <c r="A1466" t="s">
        <v>2295</v>
      </c>
      <c r="B1466">
        <v>72</v>
      </c>
      <c r="C1466" t="s">
        <v>839</v>
      </c>
    </row>
    <row r="1467" spans="1:3" hidden="1">
      <c r="A1467" t="s">
        <v>2296</v>
      </c>
      <c r="B1467">
        <v>65</v>
      </c>
      <c r="C1467" t="s">
        <v>839</v>
      </c>
    </row>
    <row r="1468" spans="1:3" hidden="1">
      <c r="A1468" t="s">
        <v>2297</v>
      </c>
      <c r="B1468">
        <v>81</v>
      </c>
      <c r="C1468" t="s">
        <v>839</v>
      </c>
    </row>
    <row r="1469" spans="1:3" hidden="1">
      <c r="A1469" t="s">
        <v>2298</v>
      </c>
      <c r="B1469">
        <v>11</v>
      </c>
      <c r="C1469" t="s">
        <v>839</v>
      </c>
    </row>
    <row r="1470" spans="1:3" hidden="1">
      <c r="A1470" t="s">
        <v>2299</v>
      </c>
      <c r="B1470">
        <v>10</v>
      </c>
      <c r="C1470" t="s">
        <v>839</v>
      </c>
    </row>
    <row r="1471" spans="1:3" hidden="1">
      <c r="A1471" t="s">
        <v>2300</v>
      </c>
      <c r="B1471">
        <v>10</v>
      </c>
      <c r="C1471" t="s">
        <v>839</v>
      </c>
    </row>
    <row r="1472" spans="1:3" hidden="1">
      <c r="A1472" t="s">
        <v>2301</v>
      </c>
      <c r="B1472">
        <v>90</v>
      </c>
      <c r="C1472" t="s">
        <v>839</v>
      </c>
    </row>
    <row r="1473" spans="1:3" hidden="1">
      <c r="A1473" t="s">
        <v>2302</v>
      </c>
      <c r="B1473">
        <v>37</v>
      </c>
      <c r="C1473" t="s">
        <v>839</v>
      </c>
    </row>
    <row r="1474" spans="1:3" hidden="1">
      <c r="A1474" t="s">
        <v>2303</v>
      </c>
      <c r="B1474">
        <v>95</v>
      </c>
      <c r="C1474" t="s">
        <v>839</v>
      </c>
    </row>
    <row r="1475" spans="1:3" hidden="1">
      <c r="A1475" t="s">
        <v>2304</v>
      </c>
      <c r="B1475">
        <v>51</v>
      </c>
      <c r="C1475" t="s">
        <v>839</v>
      </c>
    </row>
    <row r="1476" spans="1:3" hidden="1">
      <c r="A1476" t="s">
        <v>2305</v>
      </c>
      <c r="B1476">
        <v>12</v>
      </c>
      <c r="C1476" t="s">
        <v>839</v>
      </c>
    </row>
    <row r="1477" spans="1:3" hidden="1">
      <c r="A1477" t="s">
        <v>2306</v>
      </c>
      <c r="B1477">
        <v>17</v>
      </c>
      <c r="C1477" t="s">
        <v>839</v>
      </c>
    </row>
    <row r="1478" spans="1:3" hidden="1">
      <c r="A1478" t="s">
        <v>2307</v>
      </c>
      <c r="B1478">
        <v>10</v>
      </c>
      <c r="C1478" t="s">
        <v>839</v>
      </c>
    </row>
    <row r="1479" spans="1:3" hidden="1">
      <c r="A1479" t="s">
        <v>2308</v>
      </c>
      <c r="B1479">
        <v>95</v>
      </c>
      <c r="C1479" t="s">
        <v>839</v>
      </c>
    </row>
    <row r="1480" spans="1:3" hidden="1">
      <c r="A1480" t="s">
        <v>2309</v>
      </c>
      <c r="B1480">
        <v>84</v>
      </c>
      <c r="C1480" t="s">
        <v>839</v>
      </c>
    </row>
    <row r="1481" spans="1:3" hidden="1">
      <c r="A1481" t="s">
        <v>2310</v>
      </c>
      <c r="B1481">
        <v>84</v>
      </c>
      <c r="C1481" t="s">
        <v>839</v>
      </c>
    </row>
    <row r="1482" spans="1:3" hidden="1">
      <c r="A1482" t="s">
        <v>2311</v>
      </c>
      <c r="B1482">
        <v>95</v>
      </c>
      <c r="C1482" t="s">
        <v>839</v>
      </c>
    </row>
    <row r="1483" spans="1:3" hidden="1">
      <c r="A1483" t="s">
        <v>2312</v>
      </c>
      <c r="B1483">
        <v>37</v>
      </c>
      <c r="C1483" t="s">
        <v>839</v>
      </c>
    </row>
    <row r="1484" spans="1:3" hidden="1">
      <c r="A1484" t="s">
        <v>2313</v>
      </c>
      <c r="B1484">
        <v>2</v>
      </c>
      <c r="C1484" t="s">
        <v>839</v>
      </c>
    </row>
    <row r="1485" spans="1:3" hidden="1">
      <c r="A1485" t="s">
        <v>2314</v>
      </c>
      <c r="B1485">
        <v>49</v>
      </c>
      <c r="C1485" t="s">
        <v>839</v>
      </c>
    </row>
    <row r="1486" spans="1:3" hidden="1">
      <c r="A1486" t="s">
        <v>2315</v>
      </c>
      <c r="B1486">
        <v>81</v>
      </c>
      <c r="C1486" t="s">
        <v>839</v>
      </c>
    </row>
    <row r="1487" spans="1:3" hidden="1">
      <c r="A1487" t="s">
        <v>2316</v>
      </c>
      <c r="B1487">
        <v>95</v>
      </c>
      <c r="C1487" t="s">
        <v>839</v>
      </c>
    </row>
    <row r="1488" spans="1:3" hidden="1">
      <c r="A1488" t="s">
        <v>2317</v>
      </c>
      <c r="B1488">
        <v>86</v>
      </c>
      <c r="C1488" t="s">
        <v>839</v>
      </c>
    </row>
    <row r="1489" spans="1:3" hidden="1">
      <c r="A1489" t="s">
        <v>2318</v>
      </c>
      <c r="B1489">
        <v>86</v>
      </c>
      <c r="C1489" t="s">
        <v>839</v>
      </c>
    </row>
    <row r="1490" spans="1:3">
      <c r="A1490" t="s">
        <v>2319</v>
      </c>
      <c r="B1490">
        <v>83</v>
      </c>
      <c r="C1490" t="s">
        <v>839</v>
      </c>
    </row>
    <row r="1491" spans="1:3" hidden="1">
      <c r="A1491" t="s">
        <v>2320</v>
      </c>
      <c r="B1491">
        <v>49</v>
      </c>
      <c r="C1491" t="s">
        <v>839</v>
      </c>
    </row>
    <row r="1492" spans="1:3" hidden="1">
      <c r="A1492" t="s">
        <v>2321</v>
      </c>
      <c r="B1492">
        <v>51</v>
      </c>
      <c r="C1492" t="s">
        <v>839</v>
      </c>
    </row>
    <row r="1493" spans="1:3" hidden="1">
      <c r="A1493" t="s">
        <v>2322</v>
      </c>
      <c r="B1493">
        <v>85</v>
      </c>
      <c r="C1493" t="s">
        <v>839</v>
      </c>
    </row>
    <row r="1494" spans="1:3" hidden="1">
      <c r="A1494" t="s">
        <v>2323</v>
      </c>
      <c r="B1494">
        <v>26</v>
      </c>
      <c r="C1494" t="s">
        <v>839</v>
      </c>
    </row>
    <row r="1495" spans="1:3" hidden="1">
      <c r="A1495" t="s">
        <v>2324</v>
      </c>
      <c r="B1495">
        <v>38</v>
      </c>
      <c r="C1495" t="s">
        <v>839</v>
      </c>
    </row>
    <row r="1496" spans="1:3" hidden="1">
      <c r="A1496" t="s">
        <v>2325</v>
      </c>
      <c r="B1496">
        <v>5</v>
      </c>
      <c r="C1496" t="s">
        <v>839</v>
      </c>
    </row>
    <row r="1497" spans="1:3" hidden="1">
      <c r="A1497" t="s">
        <v>2326</v>
      </c>
      <c r="B1497">
        <v>49</v>
      </c>
      <c r="C1497" t="s">
        <v>839</v>
      </c>
    </row>
    <row r="1498" spans="1:3" hidden="1">
      <c r="A1498" t="s">
        <v>2327</v>
      </c>
      <c r="B1498">
        <v>37</v>
      </c>
      <c r="C1498" t="s">
        <v>839</v>
      </c>
    </row>
    <row r="1499" spans="1:3" hidden="1">
      <c r="A1499" t="s">
        <v>2328</v>
      </c>
      <c r="B1499">
        <v>49</v>
      </c>
      <c r="C1499" t="s">
        <v>839</v>
      </c>
    </row>
    <row r="1500" spans="1:3" hidden="1">
      <c r="A1500" t="s">
        <v>2329</v>
      </c>
      <c r="B1500">
        <v>49</v>
      </c>
      <c r="C1500" t="s">
        <v>839</v>
      </c>
    </row>
    <row r="1501" spans="1:3" hidden="1">
      <c r="A1501" t="s">
        <v>2330</v>
      </c>
      <c r="B1501">
        <v>49</v>
      </c>
      <c r="C1501" t="s">
        <v>839</v>
      </c>
    </row>
    <row r="1502" spans="1:3" hidden="1">
      <c r="A1502" t="s">
        <v>2331</v>
      </c>
      <c r="B1502">
        <v>49</v>
      </c>
      <c r="C1502" t="s">
        <v>839</v>
      </c>
    </row>
    <row r="1503" spans="1:3" hidden="1">
      <c r="A1503" t="s">
        <v>2332</v>
      </c>
      <c r="B1503">
        <v>41</v>
      </c>
      <c r="C1503" t="s">
        <v>839</v>
      </c>
    </row>
    <row r="1504" spans="1:3" hidden="1">
      <c r="A1504" t="s">
        <v>2333</v>
      </c>
      <c r="B1504">
        <v>41</v>
      </c>
      <c r="C1504" t="s">
        <v>839</v>
      </c>
    </row>
    <row r="1505" spans="1:3" hidden="1">
      <c r="A1505" t="s">
        <v>2334</v>
      </c>
      <c r="B1505">
        <v>43</v>
      </c>
      <c r="C1505" t="s">
        <v>839</v>
      </c>
    </row>
    <row r="1506" spans="1:3" hidden="1">
      <c r="A1506" t="s">
        <v>2335</v>
      </c>
      <c r="B1506">
        <v>43</v>
      </c>
      <c r="C1506" t="s">
        <v>839</v>
      </c>
    </row>
    <row r="1507" spans="1:3" hidden="1">
      <c r="A1507" t="s">
        <v>2336</v>
      </c>
      <c r="B1507">
        <v>49</v>
      </c>
      <c r="C1507" t="s">
        <v>839</v>
      </c>
    </row>
    <row r="1508" spans="1:3" hidden="1">
      <c r="A1508" t="s">
        <v>2337</v>
      </c>
      <c r="B1508">
        <v>48</v>
      </c>
      <c r="C1508" t="s">
        <v>839</v>
      </c>
    </row>
    <row r="1509" spans="1:3" hidden="1">
      <c r="A1509" t="s">
        <v>2338</v>
      </c>
      <c r="B1509">
        <v>48</v>
      </c>
      <c r="C1509" t="s">
        <v>839</v>
      </c>
    </row>
    <row r="1510" spans="1:3" hidden="1">
      <c r="A1510" t="s">
        <v>2339</v>
      </c>
      <c r="B1510">
        <v>93</v>
      </c>
      <c r="C1510" t="s">
        <v>839</v>
      </c>
    </row>
    <row r="1511" spans="1:3" hidden="1">
      <c r="A1511" t="s">
        <v>2340</v>
      </c>
      <c r="B1511">
        <v>10</v>
      </c>
      <c r="C1511" t="s">
        <v>839</v>
      </c>
    </row>
    <row r="1512" spans="1:3" hidden="1">
      <c r="A1512" t="s">
        <v>2341</v>
      </c>
      <c r="B1512">
        <v>31</v>
      </c>
      <c r="C1512" t="s">
        <v>839</v>
      </c>
    </row>
    <row r="1513" spans="1:3" hidden="1">
      <c r="A1513" t="s">
        <v>2342</v>
      </c>
      <c r="B1513">
        <v>49</v>
      </c>
      <c r="C1513" t="s">
        <v>839</v>
      </c>
    </row>
    <row r="1514" spans="1:3" hidden="1">
      <c r="A1514" t="s">
        <v>2343</v>
      </c>
      <c r="B1514">
        <v>11</v>
      </c>
      <c r="C1514" t="s">
        <v>839</v>
      </c>
    </row>
    <row r="1515" spans="1:3" hidden="1">
      <c r="A1515" t="s">
        <v>2344</v>
      </c>
      <c r="B1515">
        <v>11</v>
      </c>
      <c r="C1515" t="s">
        <v>839</v>
      </c>
    </row>
    <row r="1516" spans="1:3" hidden="1">
      <c r="A1516" t="s">
        <v>2345</v>
      </c>
      <c r="B1516">
        <v>11</v>
      </c>
      <c r="C1516" t="s">
        <v>839</v>
      </c>
    </row>
    <row r="1517" spans="1:3" hidden="1">
      <c r="A1517" t="s">
        <v>2346</v>
      </c>
      <c r="B1517">
        <v>95</v>
      </c>
      <c r="C1517" t="s">
        <v>839</v>
      </c>
    </row>
    <row r="1518" spans="1:3" hidden="1">
      <c r="A1518" t="s">
        <v>2347</v>
      </c>
      <c r="B1518">
        <v>12</v>
      </c>
      <c r="C1518" t="s">
        <v>839</v>
      </c>
    </row>
    <row r="1519" spans="1:3" hidden="1">
      <c r="A1519" t="s">
        <v>2348</v>
      </c>
      <c r="B1519">
        <v>54</v>
      </c>
      <c r="C1519" t="s">
        <v>839</v>
      </c>
    </row>
    <row r="1520" spans="1:3" hidden="1">
      <c r="A1520" t="s">
        <v>2349</v>
      </c>
      <c r="B1520">
        <v>60</v>
      </c>
      <c r="C1520" t="s">
        <v>839</v>
      </c>
    </row>
    <row r="1521" spans="1:3" hidden="1">
      <c r="A1521" t="s">
        <v>2350</v>
      </c>
      <c r="B1521">
        <v>60</v>
      </c>
      <c r="C1521" t="s">
        <v>839</v>
      </c>
    </row>
    <row r="1522" spans="1:3" hidden="1">
      <c r="A1522" t="s">
        <v>2351</v>
      </c>
      <c r="B1522">
        <v>60</v>
      </c>
      <c r="C1522" t="s">
        <v>839</v>
      </c>
    </row>
    <row r="1523" spans="1:3" hidden="1">
      <c r="A1523" t="s">
        <v>2352</v>
      </c>
      <c r="B1523">
        <v>13</v>
      </c>
      <c r="C1523" t="s">
        <v>839</v>
      </c>
    </row>
    <row r="1524" spans="1:3" hidden="1">
      <c r="A1524" t="s">
        <v>2353</v>
      </c>
      <c r="B1524">
        <v>60</v>
      </c>
      <c r="C1524" t="s">
        <v>839</v>
      </c>
    </row>
    <row r="1525" spans="1:3" hidden="1">
      <c r="A1525" t="s">
        <v>2354</v>
      </c>
      <c r="B1525">
        <v>95</v>
      </c>
      <c r="C1525" t="s">
        <v>839</v>
      </c>
    </row>
    <row r="1526" spans="1:3" hidden="1">
      <c r="A1526" t="s">
        <v>2355</v>
      </c>
      <c r="B1526">
        <v>93</v>
      </c>
      <c r="C1526" t="s">
        <v>839</v>
      </c>
    </row>
    <row r="1527" spans="1:3" hidden="1">
      <c r="A1527" t="s">
        <v>2356</v>
      </c>
      <c r="B1527">
        <v>49</v>
      </c>
      <c r="C1527" t="s">
        <v>839</v>
      </c>
    </row>
    <row r="1528" spans="1:3" hidden="1">
      <c r="A1528" t="s">
        <v>2357</v>
      </c>
      <c r="B1528">
        <v>95</v>
      </c>
      <c r="C1528" t="s">
        <v>839</v>
      </c>
    </row>
    <row r="1529" spans="1:3" hidden="1">
      <c r="A1529" t="s">
        <v>2358</v>
      </c>
      <c r="B1529">
        <v>95</v>
      </c>
      <c r="C1529" t="s">
        <v>839</v>
      </c>
    </row>
    <row r="1530" spans="1:3">
      <c r="A1530" t="s">
        <v>2359</v>
      </c>
      <c r="B1530">
        <v>83</v>
      </c>
      <c r="C1530" t="s">
        <v>839</v>
      </c>
    </row>
    <row r="1531" spans="1:3">
      <c r="A1531" t="s">
        <v>2360</v>
      </c>
      <c r="B1531">
        <v>83</v>
      </c>
      <c r="C1531" t="s">
        <v>839</v>
      </c>
    </row>
    <row r="1532" spans="1:3" hidden="1">
      <c r="A1532" t="s">
        <v>2361</v>
      </c>
      <c r="B1532">
        <v>37</v>
      </c>
      <c r="C1532" t="s">
        <v>839</v>
      </c>
    </row>
    <row r="1533" spans="1:3" hidden="1">
      <c r="A1533" t="s">
        <v>2362</v>
      </c>
      <c r="B1533">
        <v>93</v>
      </c>
      <c r="C1533" t="s">
        <v>839</v>
      </c>
    </row>
    <row r="1534" spans="1:3" hidden="1">
      <c r="A1534" t="s">
        <v>2363</v>
      </c>
      <c r="B1534">
        <v>95</v>
      </c>
      <c r="C1534" t="s">
        <v>839</v>
      </c>
    </row>
    <row r="1535" spans="1:3" hidden="1">
      <c r="A1535" t="s">
        <v>2364</v>
      </c>
      <c r="B1535">
        <v>93</v>
      </c>
      <c r="C1535" t="s">
        <v>839</v>
      </c>
    </row>
    <row r="1536" spans="1:3" hidden="1">
      <c r="A1536" t="s">
        <v>2365</v>
      </c>
      <c r="B1536">
        <v>48</v>
      </c>
      <c r="C1536" t="s">
        <v>839</v>
      </c>
    </row>
    <row r="1537" spans="1:3" hidden="1">
      <c r="A1537" t="s">
        <v>2366</v>
      </c>
      <c r="B1537">
        <v>48</v>
      </c>
      <c r="C1537" t="s">
        <v>839</v>
      </c>
    </row>
    <row r="1538" spans="1:3" hidden="1">
      <c r="A1538" t="s">
        <v>2367</v>
      </c>
      <c r="B1538">
        <v>48</v>
      </c>
      <c r="C1538" t="s">
        <v>839</v>
      </c>
    </row>
    <row r="1539" spans="1:3" hidden="1">
      <c r="A1539" t="s">
        <v>2368</v>
      </c>
      <c r="B1539">
        <v>37</v>
      </c>
      <c r="C1539" t="s">
        <v>839</v>
      </c>
    </row>
    <row r="1540" spans="1:3" hidden="1">
      <c r="A1540" t="s">
        <v>2369</v>
      </c>
      <c r="B1540">
        <v>72</v>
      </c>
      <c r="C1540" t="s">
        <v>839</v>
      </c>
    </row>
    <row r="1541" spans="1:3" hidden="1">
      <c r="A1541" t="s">
        <v>2370</v>
      </c>
      <c r="B1541">
        <v>60</v>
      </c>
      <c r="C1541" t="s">
        <v>839</v>
      </c>
    </row>
    <row r="1542" spans="1:3" hidden="1">
      <c r="A1542" t="s">
        <v>2371</v>
      </c>
      <c r="B1542">
        <v>66</v>
      </c>
      <c r="C1542" t="s">
        <v>839</v>
      </c>
    </row>
    <row r="1543" spans="1:3" hidden="1">
      <c r="A1543" t="s">
        <v>2372</v>
      </c>
      <c r="B1543">
        <v>5</v>
      </c>
      <c r="C1543" t="s">
        <v>839</v>
      </c>
    </row>
    <row r="1544" spans="1:3" hidden="1">
      <c r="A1544" t="s">
        <v>2373</v>
      </c>
      <c r="B1544">
        <v>12</v>
      </c>
      <c r="C1544" t="s">
        <v>839</v>
      </c>
    </row>
    <row r="1545" spans="1:3" hidden="1">
      <c r="A1545" t="s">
        <v>2374</v>
      </c>
      <c r="B1545">
        <v>95</v>
      </c>
      <c r="C1545" t="s">
        <v>839</v>
      </c>
    </row>
    <row r="1546" spans="1:3" hidden="1">
      <c r="A1546" t="s">
        <v>2375</v>
      </c>
      <c r="B1546">
        <v>95</v>
      </c>
      <c r="C1546" t="s">
        <v>839</v>
      </c>
    </row>
    <row r="1547" spans="1:3" hidden="1">
      <c r="A1547" t="s">
        <v>2376</v>
      </c>
      <c r="B1547">
        <v>95</v>
      </c>
      <c r="C1547" t="s">
        <v>839</v>
      </c>
    </row>
    <row r="1548" spans="1:3" hidden="1">
      <c r="A1548" t="s">
        <v>2377</v>
      </c>
      <c r="B1548">
        <v>95</v>
      </c>
      <c r="C1548" t="s">
        <v>839</v>
      </c>
    </row>
    <row r="1549" spans="1:3" hidden="1">
      <c r="A1549" t="s">
        <v>2378</v>
      </c>
      <c r="B1549">
        <v>95</v>
      </c>
      <c r="C1549" t="s">
        <v>839</v>
      </c>
    </row>
    <row r="1550" spans="1:3" hidden="1">
      <c r="A1550" t="s">
        <v>2379</v>
      </c>
      <c r="B1550">
        <v>12</v>
      </c>
      <c r="C1550" t="s">
        <v>839</v>
      </c>
    </row>
    <row r="1551" spans="1:3" hidden="1">
      <c r="A1551" t="s">
        <v>2380</v>
      </c>
      <c r="B1551">
        <v>12</v>
      </c>
      <c r="C1551" t="s">
        <v>839</v>
      </c>
    </row>
    <row r="1552" spans="1:3" hidden="1">
      <c r="A1552" t="s">
        <v>2381</v>
      </c>
      <c r="B1552">
        <v>12</v>
      </c>
      <c r="C1552" t="s">
        <v>839</v>
      </c>
    </row>
    <row r="1553" spans="1:3" hidden="1">
      <c r="A1553" t="s">
        <v>2382</v>
      </c>
      <c r="B1553">
        <v>37</v>
      </c>
      <c r="C1553" t="s">
        <v>839</v>
      </c>
    </row>
    <row r="1554" spans="1:3" hidden="1">
      <c r="A1554" t="s">
        <v>2383</v>
      </c>
      <c r="B1554">
        <v>48</v>
      </c>
      <c r="C1554" t="s">
        <v>839</v>
      </c>
    </row>
    <row r="1555" spans="1:3" hidden="1">
      <c r="A1555" t="s">
        <v>2384</v>
      </c>
      <c r="B1555">
        <v>48</v>
      </c>
      <c r="C1555" t="s">
        <v>839</v>
      </c>
    </row>
    <row r="1556" spans="1:3" hidden="1">
      <c r="A1556" t="s">
        <v>2385</v>
      </c>
      <c r="B1556">
        <v>48</v>
      </c>
      <c r="C1556" t="s">
        <v>839</v>
      </c>
    </row>
    <row r="1557" spans="1:3" hidden="1">
      <c r="A1557" t="s">
        <v>2386</v>
      </c>
      <c r="B1557">
        <v>51</v>
      </c>
      <c r="C1557" t="s">
        <v>839</v>
      </c>
    </row>
    <row r="1558" spans="1:3" hidden="1">
      <c r="A1558" t="s">
        <v>2387</v>
      </c>
      <c r="B1558">
        <v>51</v>
      </c>
      <c r="C1558" t="s">
        <v>839</v>
      </c>
    </row>
    <row r="1559" spans="1:3" hidden="1">
      <c r="A1559" t="s">
        <v>2388</v>
      </c>
      <c r="B1559">
        <v>86</v>
      </c>
      <c r="C1559" t="s">
        <v>839</v>
      </c>
    </row>
    <row r="1560" spans="1:3" hidden="1">
      <c r="A1560" t="s">
        <v>2389</v>
      </c>
      <c r="B1560">
        <v>68</v>
      </c>
      <c r="C1560" t="s">
        <v>839</v>
      </c>
    </row>
    <row r="1561" spans="1:3" hidden="1">
      <c r="A1561" t="s">
        <v>2390</v>
      </c>
      <c r="B1561">
        <v>72</v>
      </c>
      <c r="C1561" t="s">
        <v>839</v>
      </c>
    </row>
    <row r="1562" spans="1:3" hidden="1">
      <c r="A1562" t="s">
        <v>2391</v>
      </c>
      <c r="B1562">
        <v>72</v>
      </c>
      <c r="C1562" t="s">
        <v>839</v>
      </c>
    </row>
    <row r="1563" spans="1:3" hidden="1">
      <c r="A1563" t="s">
        <v>2392</v>
      </c>
      <c r="B1563">
        <v>48</v>
      </c>
      <c r="C1563" t="s">
        <v>839</v>
      </c>
    </row>
    <row r="1564" spans="1:3" hidden="1">
      <c r="A1564" t="s">
        <v>2393</v>
      </c>
      <c r="B1564">
        <v>95</v>
      </c>
      <c r="C1564" t="s">
        <v>839</v>
      </c>
    </row>
    <row r="1565" spans="1:3" hidden="1">
      <c r="A1565" t="s">
        <v>2394</v>
      </c>
      <c r="B1565">
        <v>37</v>
      </c>
      <c r="C1565" t="s">
        <v>839</v>
      </c>
    </row>
    <row r="1566" spans="1:3" hidden="1">
      <c r="A1566" t="s">
        <v>2395</v>
      </c>
      <c r="B1566">
        <v>2</v>
      </c>
      <c r="C1566" t="s">
        <v>839</v>
      </c>
    </row>
    <row r="1567" spans="1:3" hidden="1">
      <c r="A1567" t="s">
        <v>2396</v>
      </c>
      <c r="B1567">
        <v>10</v>
      </c>
      <c r="C1567" t="s">
        <v>839</v>
      </c>
    </row>
    <row r="1568" spans="1:3" hidden="1">
      <c r="A1568" t="s">
        <v>2397</v>
      </c>
      <c r="B1568">
        <v>68</v>
      </c>
      <c r="C1568" t="s">
        <v>839</v>
      </c>
    </row>
    <row r="1569" spans="1:3" hidden="1">
      <c r="A1569" t="s">
        <v>2398</v>
      </c>
      <c r="B1569">
        <v>95</v>
      </c>
      <c r="C1569" t="s">
        <v>839</v>
      </c>
    </row>
    <row r="1570" spans="1:3" hidden="1">
      <c r="A1570" t="s">
        <v>2399</v>
      </c>
      <c r="B1570">
        <v>42</v>
      </c>
      <c r="C1570" t="s">
        <v>839</v>
      </c>
    </row>
    <row r="1571" spans="1:3" hidden="1">
      <c r="A1571" t="s">
        <v>2400</v>
      </c>
      <c r="B1571">
        <v>43</v>
      </c>
      <c r="C1571" t="s">
        <v>839</v>
      </c>
    </row>
    <row r="1572" spans="1:3" hidden="1">
      <c r="A1572" t="s">
        <v>2401</v>
      </c>
      <c r="B1572">
        <v>94</v>
      </c>
      <c r="C1572" t="s">
        <v>839</v>
      </c>
    </row>
    <row r="1573" spans="1:3" hidden="1">
      <c r="A1573" t="s">
        <v>2402</v>
      </c>
      <c r="B1573">
        <v>84</v>
      </c>
      <c r="C1573" t="s">
        <v>839</v>
      </c>
    </row>
    <row r="1574" spans="1:3" hidden="1">
      <c r="A1574" t="s">
        <v>2403</v>
      </c>
      <c r="B1574">
        <v>84</v>
      </c>
      <c r="C1574" t="s">
        <v>839</v>
      </c>
    </row>
    <row r="1575" spans="1:3" hidden="1">
      <c r="A1575" t="s">
        <v>2404</v>
      </c>
      <c r="B1575">
        <v>12</v>
      </c>
      <c r="C1575" t="s">
        <v>839</v>
      </c>
    </row>
    <row r="1576" spans="1:3" hidden="1">
      <c r="A1576" t="s">
        <v>2405</v>
      </c>
      <c r="B1576">
        <v>12</v>
      </c>
      <c r="C1576" t="s">
        <v>839</v>
      </c>
    </row>
    <row r="1577" spans="1:3" hidden="1">
      <c r="A1577" t="s">
        <v>2406</v>
      </c>
      <c r="B1577">
        <v>12</v>
      </c>
      <c r="C1577" t="s">
        <v>839</v>
      </c>
    </row>
    <row r="1578" spans="1:3" hidden="1">
      <c r="A1578" t="s">
        <v>2407</v>
      </c>
      <c r="B1578">
        <v>84</v>
      </c>
      <c r="C1578" t="s">
        <v>839</v>
      </c>
    </row>
    <row r="1579" spans="1:3" hidden="1">
      <c r="A1579" t="s">
        <v>2408</v>
      </c>
      <c r="B1579">
        <v>84</v>
      </c>
      <c r="C1579" t="s">
        <v>839</v>
      </c>
    </row>
    <row r="1580" spans="1:3" hidden="1">
      <c r="A1580" t="s">
        <v>2409</v>
      </c>
      <c r="B1580">
        <v>84</v>
      </c>
      <c r="C1580" t="s">
        <v>839</v>
      </c>
    </row>
    <row r="1581" spans="1:3" hidden="1">
      <c r="A1581" t="s">
        <v>2410</v>
      </c>
      <c r="B1581">
        <v>94</v>
      </c>
      <c r="C1581" t="s">
        <v>839</v>
      </c>
    </row>
    <row r="1582" spans="1:3" hidden="1">
      <c r="A1582" t="s">
        <v>2411</v>
      </c>
      <c r="B1582">
        <v>94</v>
      </c>
      <c r="C1582" t="s">
        <v>839</v>
      </c>
    </row>
    <row r="1583" spans="1:3" hidden="1">
      <c r="A1583" t="s">
        <v>2412</v>
      </c>
      <c r="B1583">
        <v>42</v>
      </c>
      <c r="C1583" t="s">
        <v>839</v>
      </c>
    </row>
    <row r="1584" spans="1:3" hidden="1">
      <c r="A1584" t="s">
        <v>2413</v>
      </c>
      <c r="B1584">
        <v>43</v>
      </c>
      <c r="C1584" t="s">
        <v>839</v>
      </c>
    </row>
    <row r="1585" spans="1:3">
      <c r="A1585" t="s">
        <v>2414</v>
      </c>
      <c r="B1585">
        <v>83</v>
      </c>
      <c r="C1585" t="s">
        <v>839</v>
      </c>
    </row>
    <row r="1586" spans="1:3" hidden="1">
      <c r="A1586" t="s">
        <v>2415</v>
      </c>
      <c r="B1586">
        <v>2</v>
      </c>
      <c r="C1586" t="s">
        <v>839</v>
      </c>
    </row>
    <row r="1587" spans="1:3" hidden="1">
      <c r="A1587" t="s">
        <v>2416</v>
      </c>
      <c r="B1587">
        <v>24</v>
      </c>
      <c r="C1587" t="s">
        <v>839</v>
      </c>
    </row>
    <row r="1588" spans="1:3" hidden="1">
      <c r="A1588" t="s">
        <v>2417</v>
      </c>
      <c r="B1588">
        <v>48</v>
      </c>
      <c r="C1588" t="s">
        <v>839</v>
      </c>
    </row>
    <row r="1589" spans="1:3" hidden="1">
      <c r="A1589" t="s">
        <v>2418</v>
      </c>
      <c r="B1589">
        <v>89</v>
      </c>
      <c r="C1589" t="s">
        <v>839</v>
      </c>
    </row>
    <row r="1590" spans="1:3" hidden="1">
      <c r="A1590" t="s">
        <v>2419</v>
      </c>
      <c r="B1590">
        <v>90</v>
      </c>
      <c r="C1590" t="s">
        <v>839</v>
      </c>
    </row>
    <row r="1591" spans="1:3" hidden="1">
      <c r="A1591" t="s">
        <v>2420</v>
      </c>
      <c r="B1591">
        <v>89</v>
      </c>
      <c r="C1591" t="s">
        <v>839</v>
      </c>
    </row>
    <row r="1592" spans="1:3" hidden="1">
      <c r="A1592" t="s">
        <v>2421</v>
      </c>
      <c r="B1592">
        <v>12</v>
      </c>
      <c r="C1592" t="s">
        <v>839</v>
      </c>
    </row>
    <row r="1593" spans="1:3" hidden="1">
      <c r="A1593" t="s">
        <v>2422</v>
      </c>
      <c r="B1593">
        <v>31</v>
      </c>
      <c r="C1593" t="s">
        <v>839</v>
      </c>
    </row>
    <row r="1594" spans="1:3" hidden="1">
      <c r="A1594" t="s">
        <v>2423</v>
      </c>
      <c r="B1594">
        <v>31</v>
      </c>
      <c r="C1594" t="s">
        <v>839</v>
      </c>
    </row>
    <row r="1595" spans="1:3" hidden="1">
      <c r="A1595" t="s">
        <v>2424</v>
      </c>
      <c r="B1595">
        <v>31</v>
      </c>
      <c r="C1595" t="s">
        <v>839</v>
      </c>
    </row>
    <row r="1596" spans="1:3" hidden="1">
      <c r="A1596" t="s">
        <v>2425</v>
      </c>
      <c r="B1596">
        <v>50</v>
      </c>
      <c r="C1596" t="s">
        <v>839</v>
      </c>
    </row>
    <row r="1597" spans="1:3" hidden="1">
      <c r="A1597" t="s">
        <v>2426</v>
      </c>
      <c r="B1597">
        <v>61</v>
      </c>
      <c r="C1597" t="s">
        <v>839</v>
      </c>
    </row>
    <row r="1598" spans="1:3" hidden="1">
      <c r="A1598" t="s">
        <v>2427</v>
      </c>
      <c r="B1598">
        <v>50</v>
      </c>
      <c r="C1598" t="s">
        <v>839</v>
      </c>
    </row>
    <row r="1599" spans="1:3" hidden="1">
      <c r="A1599" t="s">
        <v>2428</v>
      </c>
      <c r="B1599">
        <v>59</v>
      </c>
      <c r="C1599" t="s">
        <v>839</v>
      </c>
    </row>
    <row r="1600" spans="1:3" hidden="1">
      <c r="A1600" t="s">
        <v>2429</v>
      </c>
      <c r="B1600">
        <v>10</v>
      </c>
      <c r="C1600" t="s">
        <v>839</v>
      </c>
    </row>
    <row r="1601" spans="1:3" hidden="1">
      <c r="A1601" t="s">
        <v>2430</v>
      </c>
      <c r="B1601">
        <v>88</v>
      </c>
      <c r="C1601" t="s">
        <v>839</v>
      </c>
    </row>
    <row r="1602" spans="1:3" hidden="1">
      <c r="A1602" t="s">
        <v>2431</v>
      </c>
      <c r="B1602">
        <v>51</v>
      </c>
      <c r="C1602" t="s">
        <v>839</v>
      </c>
    </row>
    <row r="1603" spans="1:3" hidden="1">
      <c r="A1603" t="s">
        <v>2432</v>
      </c>
      <c r="B1603">
        <v>56</v>
      </c>
      <c r="C1603" t="s">
        <v>839</v>
      </c>
    </row>
    <row r="1604" spans="1:3" hidden="1">
      <c r="A1604" t="s">
        <v>2433</v>
      </c>
      <c r="B1604">
        <v>52</v>
      </c>
      <c r="C1604" t="s">
        <v>839</v>
      </c>
    </row>
    <row r="1605" spans="1:3" hidden="1">
      <c r="A1605" t="s">
        <v>2434</v>
      </c>
      <c r="B1605">
        <v>93</v>
      </c>
      <c r="C1605" t="s">
        <v>839</v>
      </c>
    </row>
    <row r="1606" spans="1:3">
      <c r="A1606" t="s">
        <v>2435</v>
      </c>
      <c r="B1606">
        <v>83</v>
      </c>
      <c r="C1606" t="s">
        <v>839</v>
      </c>
    </row>
    <row r="1607" spans="1:3" hidden="1">
      <c r="A1607" t="s">
        <v>2436</v>
      </c>
      <c r="B1607">
        <v>65</v>
      </c>
      <c r="C1607" t="s">
        <v>839</v>
      </c>
    </row>
    <row r="1608" spans="1:3" hidden="1">
      <c r="A1608" t="s">
        <v>2437</v>
      </c>
      <c r="B1608">
        <v>71</v>
      </c>
      <c r="C1608" t="s">
        <v>839</v>
      </c>
    </row>
    <row r="1609" spans="1:3" hidden="1">
      <c r="A1609" t="s">
        <v>2438</v>
      </c>
      <c r="B1609">
        <v>65</v>
      </c>
      <c r="C1609" t="s">
        <v>839</v>
      </c>
    </row>
    <row r="1610" spans="1:3" hidden="1">
      <c r="A1610" t="s">
        <v>2439</v>
      </c>
      <c r="B1610">
        <v>72</v>
      </c>
      <c r="C1610" t="s">
        <v>839</v>
      </c>
    </row>
    <row r="1611" spans="1:3" hidden="1">
      <c r="A1611" t="s">
        <v>2440</v>
      </c>
      <c r="B1611">
        <v>66</v>
      </c>
      <c r="C1611" t="s">
        <v>839</v>
      </c>
    </row>
    <row r="1612" spans="1:3" hidden="1">
      <c r="A1612" t="s">
        <v>2441</v>
      </c>
      <c r="B1612">
        <v>94</v>
      </c>
      <c r="C1612" t="s">
        <v>839</v>
      </c>
    </row>
    <row r="1613" spans="1:3" hidden="1">
      <c r="A1613" t="s">
        <v>2442</v>
      </c>
      <c r="B1613">
        <v>37</v>
      </c>
      <c r="C1613" t="s">
        <v>839</v>
      </c>
    </row>
    <row r="1614" spans="1:3" hidden="1">
      <c r="A1614" t="s">
        <v>2443</v>
      </c>
      <c r="B1614">
        <v>80</v>
      </c>
      <c r="C1614" t="s">
        <v>839</v>
      </c>
    </row>
    <row r="1615" spans="1:3" hidden="1">
      <c r="A1615" t="s">
        <v>2444</v>
      </c>
      <c r="B1615">
        <v>43</v>
      </c>
      <c r="C1615" t="s">
        <v>839</v>
      </c>
    </row>
    <row r="1616" spans="1:3" hidden="1">
      <c r="A1616" t="s">
        <v>2445</v>
      </c>
      <c r="B1616">
        <v>72</v>
      </c>
      <c r="C1616" t="s">
        <v>839</v>
      </c>
    </row>
    <row r="1617" spans="1:3" hidden="1">
      <c r="A1617" t="s">
        <v>2446</v>
      </c>
      <c r="B1617">
        <v>10</v>
      </c>
      <c r="C1617" t="s">
        <v>839</v>
      </c>
    </row>
    <row r="1618" spans="1:3" hidden="1">
      <c r="A1618" t="s">
        <v>2447</v>
      </c>
      <c r="B1618">
        <v>10</v>
      </c>
      <c r="C1618" t="s">
        <v>839</v>
      </c>
    </row>
    <row r="1619" spans="1:3" hidden="1">
      <c r="A1619" t="s">
        <v>2448</v>
      </c>
      <c r="B1619">
        <v>60</v>
      </c>
      <c r="C1619" t="s">
        <v>839</v>
      </c>
    </row>
    <row r="1620" spans="1:3" hidden="1">
      <c r="A1620" t="s">
        <v>2449</v>
      </c>
      <c r="B1620">
        <v>72</v>
      </c>
      <c r="C1620" t="s">
        <v>839</v>
      </c>
    </row>
    <row r="1621" spans="1:3" hidden="1">
      <c r="A1621" t="s">
        <v>2450</v>
      </c>
      <c r="B1621">
        <v>65</v>
      </c>
      <c r="C1621" t="s">
        <v>839</v>
      </c>
    </row>
    <row r="1622" spans="1:3" hidden="1">
      <c r="A1622" t="s">
        <v>2451</v>
      </c>
      <c r="B1622">
        <v>51</v>
      </c>
      <c r="C1622" t="s">
        <v>839</v>
      </c>
    </row>
    <row r="1623" spans="1:3" hidden="1">
      <c r="A1623" t="s">
        <v>2452</v>
      </c>
      <c r="B1623">
        <v>68</v>
      </c>
      <c r="C1623" t="s">
        <v>839</v>
      </c>
    </row>
    <row r="1624" spans="1:3" hidden="1">
      <c r="A1624" t="s">
        <v>2453</v>
      </c>
      <c r="B1624">
        <v>71</v>
      </c>
      <c r="C1624" t="s">
        <v>839</v>
      </c>
    </row>
    <row r="1625" spans="1:3" hidden="1">
      <c r="A1625" t="s">
        <v>2454</v>
      </c>
      <c r="B1625">
        <v>65</v>
      </c>
      <c r="C1625" t="s">
        <v>839</v>
      </c>
    </row>
    <row r="1626" spans="1:3" hidden="1">
      <c r="A1626" t="s">
        <v>2455</v>
      </c>
      <c r="B1626">
        <v>71</v>
      </c>
      <c r="C1626" t="s">
        <v>839</v>
      </c>
    </row>
    <row r="1627" spans="1:3" hidden="1">
      <c r="A1627" t="s">
        <v>2456</v>
      </c>
      <c r="B1627">
        <v>90</v>
      </c>
      <c r="C1627" t="s">
        <v>839</v>
      </c>
    </row>
    <row r="1628" spans="1:3" hidden="1">
      <c r="A1628" t="s">
        <v>2457</v>
      </c>
      <c r="B1628">
        <v>72</v>
      </c>
      <c r="C1628" t="s">
        <v>839</v>
      </c>
    </row>
    <row r="1629" spans="1:3" hidden="1">
      <c r="A1629" t="s">
        <v>2458</v>
      </c>
      <c r="B1629">
        <v>72</v>
      </c>
      <c r="C1629" t="s">
        <v>839</v>
      </c>
    </row>
    <row r="1630" spans="1:3" hidden="1">
      <c r="A1630" t="s">
        <v>2459</v>
      </c>
      <c r="B1630">
        <v>72</v>
      </c>
      <c r="C1630" t="s">
        <v>839</v>
      </c>
    </row>
    <row r="1631" spans="1:3" hidden="1">
      <c r="A1631" t="s">
        <v>2460</v>
      </c>
      <c r="B1631">
        <v>66</v>
      </c>
      <c r="C1631" t="s">
        <v>839</v>
      </c>
    </row>
    <row r="1632" spans="1:3" hidden="1">
      <c r="A1632" t="s">
        <v>2461</v>
      </c>
      <c r="B1632">
        <v>72</v>
      </c>
      <c r="C1632" t="s">
        <v>839</v>
      </c>
    </row>
    <row r="1633" spans="1:3" hidden="1">
      <c r="A1633" t="s">
        <v>2462</v>
      </c>
      <c r="B1633">
        <v>17</v>
      </c>
      <c r="C1633" t="s">
        <v>839</v>
      </c>
    </row>
    <row r="1634" spans="1:3" hidden="1">
      <c r="A1634" t="s">
        <v>2463</v>
      </c>
      <c r="B1634">
        <v>59</v>
      </c>
      <c r="C1634" t="s">
        <v>839</v>
      </c>
    </row>
    <row r="1635" spans="1:3" hidden="1">
      <c r="A1635" t="s">
        <v>2464</v>
      </c>
      <c r="B1635">
        <v>93</v>
      </c>
      <c r="C1635" t="s">
        <v>839</v>
      </c>
    </row>
    <row r="1636" spans="1:3" hidden="1">
      <c r="A1636" t="s">
        <v>2465</v>
      </c>
      <c r="B1636">
        <v>2</v>
      </c>
      <c r="C1636" t="s">
        <v>839</v>
      </c>
    </row>
    <row r="1637" spans="1:3" hidden="1">
      <c r="A1637" t="s">
        <v>2466</v>
      </c>
      <c r="B1637">
        <v>55</v>
      </c>
      <c r="C1637" t="s">
        <v>839</v>
      </c>
    </row>
    <row r="1638" spans="1:3" hidden="1">
      <c r="A1638" t="s">
        <v>2467</v>
      </c>
      <c r="B1638">
        <v>55</v>
      </c>
      <c r="C1638" t="s">
        <v>839</v>
      </c>
    </row>
    <row r="1639" spans="1:3" hidden="1">
      <c r="A1639" t="s">
        <v>2468</v>
      </c>
      <c r="B1639">
        <v>37</v>
      </c>
      <c r="C1639" t="s">
        <v>839</v>
      </c>
    </row>
    <row r="1640" spans="1:3" hidden="1">
      <c r="A1640" t="s">
        <v>2469</v>
      </c>
      <c r="B1640">
        <v>48</v>
      </c>
      <c r="C1640" t="s">
        <v>839</v>
      </c>
    </row>
    <row r="1641" spans="1:3" hidden="1">
      <c r="A1641" t="s">
        <v>2470</v>
      </c>
      <c r="B1641">
        <v>95</v>
      </c>
      <c r="C1641" t="s">
        <v>839</v>
      </c>
    </row>
    <row r="1642" spans="1:3" hidden="1">
      <c r="A1642" t="s">
        <v>2471</v>
      </c>
      <c r="B1642">
        <v>95</v>
      </c>
      <c r="C1642" t="s">
        <v>839</v>
      </c>
    </row>
    <row r="1643" spans="1:3" hidden="1">
      <c r="A1643" t="s">
        <v>2472</v>
      </c>
      <c r="B1643">
        <v>95</v>
      </c>
      <c r="C1643" t="s">
        <v>839</v>
      </c>
    </row>
    <row r="1644" spans="1:3" hidden="1">
      <c r="A1644" t="s">
        <v>2473</v>
      </c>
      <c r="B1644">
        <v>6</v>
      </c>
      <c r="C1644" t="s">
        <v>839</v>
      </c>
    </row>
    <row r="1645" spans="1:3" hidden="1">
      <c r="A1645" t="s">
        <v>2474</v>
      </c>
      <c r="B1645">
        <v>24</v>
      </c>
      <c r="C1645" t="s">
        <v>839</v>
      </c>
    </row>
    <row r="1646" spans="1:3" hidden="1">
      <c r="A1646" t="s">
        <v>2475</v>
      </c>
      <c r="B1646">
        <v>6</v>
      </c>
      <c r="C1646" t="s">
        <v>839</v>
      </c>
    </row>
    <row r="1647" spans="1:3" hidden="1">
      <c r="A1647" t="s">
        <v>2476</v>
      </c>
      <c r="B1647">
        <v>12</v>
      </c>
      <c r="C1647" t="s">
        <v>839</v>
      </c>
    </row>
    <row r="1648" spans="1:3" hidden="1">
      <c r="A1648" t="s">
        <v>2477</v>
      </c>
      <c r="B1648">
        <v>95</v>
      </c>
      <c r="C1648" t="s">
        <v>839</v>
      </c>
    </row>
    <row r="1649" spans="1:3" hidden="1">
      <c r="A1649" t="s">
        <v>2478</v>
      </c>
      <c r="B1649">
        <v>95</v>
      </c>
      <c r="C1649" t="s">
        <v>839</v>
      </c>
    </row>
    <row r="1650" spans="1:3" hidden="1">
      <c r="A1650" t="s">
        <v>2479</v>
      </c>
      <c r="B1650">
        <v>40</v>
      </c>
      <c r="C1650" t="s">
        <v>839</v>
      </c>
    </row>
    <row r="1651" spans="1:3" hidden="1">
      <c r="A1651" t="s">
        <v>2480</v>
      </c>
      <c r="B1651">
        <v>40</v>
      </c>
      <c r="C1651" t="s">
        <v>839</v>
      </c>
    </row>
    <row r="1652" spans="1:3" hidden="1">
      <c r="A1652" t="s">
        <v>2481</v>
      </c>
      <c r="B1652">
        <v>93</v>
      </c>
      <c r="C1652" t="s">
        <v>839</v>
      </c>
    </row>
    <row r="1653" spans="1:3" hidden="1">
      <c r="A1653" t="s">
        <v>2482</v>
      </c>
      <c r="B1653">
        <v>86</v>
      </c>
      <c r="C1653" t="s">
        <v>839</v>
      </c>
    </row>
    <row r="1654" spans="1:3" hidden="1">
      <c r="A1654" t="s">
        <v>2483</v>
      </c>
      <c r="B1654">
        <v>86</v>
      </c>
      <c r="C1654" t="s">
        <v>839</v>
      </c>
    </row>
    <row r="1655" spans="1:3" hidden="1">
      <c r="A1655" t="s">
        <v>2484</v>
      </c>
      <c r="B1655">
        <v>81</v>
      </c>
      <c r="C1655" t="s">
        <v>839</v>
      </c>
    </row>
    <row r="1656" spans="1:3" hidden="1">
      <c r="A1656" t="s">
        <v>2485</v>
      </c>
      <c r="B1656">
        <v>4</v>
      </c>
      <c r="C1656" t="s">
        <v>839</v>
      </c>
    </row>
    <row r="1657" spans="1:3" hidden="1">
      <c r="A1657" t="s">
        <v>2486</v>
      </c>
      <c r="B1657">
        <v>4</v>
      </c>
      <c r="C1657" t="s">
        <v>839</v>
      </c>
    </row>
    <row r="1658" spans="1:3" hidden="1">
      <c r="A1658" t="s">
        <v>2487</v>
      </c>
      <c r="B1658">
        <v>12</v>
      </c>
      <c r="C1658" t="s">
        <v>839</v>
      </c>
    </row>
    <row r="1659" spans="1:3" hidden="1">
      <c r="A1659" t="s">
        <v>2488</v>
      </c>
      <c r="B1659">
        <v>10</v>
      </c>
      <c r="C1659" t="s">
        <v>839</v>
      </c>
    </row>
    <row r="1660" spans="1:3" hidden="1">
      <c r="A1660" t="s">
        <v>2489</v>
      </c>
      <c r="B1660">
        <v>10</v>
      </c>
      <c r="C1660" t="s">
        <v>839</v>
      </c>
    </row>
    <row r="1661" spans="1:3" hidden="1">
      <c r="A1661" t="s">
        <v>2490</v>
      </c>
      <c r="B1661">
        <v>86</v>
      </c>
      <c r="C1661" t="s">
        <v>839</v>
      </c>
    </row>
    <row r="1662" spans="1:3" hidden="1">
      <c r="A1662" t="s">
        <v>2491</v>
      </c>
      <c r="B1662">
        <v>26</v>
      </c>
      <c r="C1662" t="s">
        <v>839</v>
      </c>
    </row>
    <row r="1663" spans="1:3" hidden="1">
      <c r="A1663" t="s">
        <v>2492</v>
      </c>
      <c r="B1663">
        <v>2</v>
      </c>
      <c r="C1663" t="s">
        <v>839</v>
      </c>
    </row>
    <row r="1664" spans="1:3" hidden="1">
      <c r="A1664" t="s">
        <v>2493</v>
      </c>
      <c r="B1664">
        <v>2</v>
      </c>
      <c r="C1664" t="s">
        <v>839</v>
      </c>
    </row>
    <row r="1665" spans="1:3" hidden="1">
      <c r="A1665" t="s">
        <v>2494</v>
      </c>
      <c r="B1665">
        <v>2</v>
      </c>
      <c r="C1665" t="s">
        <v>839</v>
      </c>
    </row>
    <row r="1666" spans="1:3" hidden="1">
      <c r="A1666" t="s">
        <v>2495</v>
      </c>
      <c r="B1666">
        <v>48</v>
      </c>
      <c r="C1666" t="s">
        <v>839</v>
      </c>
    </row>
    <row r="1667" spans="1:3" hidden="1">
      <c r="A1667" t="s">
        <v>2496</v>
      </c>
      <c r="B1667">
        <v>4</v>
      </c>
      <c r="C1667" t="s">
        <v>839</v>
      </c>
    </row>
    <row r="1668" spans="1:3" hidden="1">
      <c r="A1668" t="s">
        <v>2497</v>
      </c>
      <c r="B1668">
        <v>10</v>
      </c>
      <c r="C1668" t="s">
        <v>839</v>
      </c>
    </row>
    <row r="1669" spans="1:3" hidden="1">
      <c r="A1669" t="s">
        <v>2498</v>
      </c>
      <c r="B1669">
        <v>89</v>
      </c>
      <c r="C1669" t="s">
        <v>839</v>
      </c>
    </row>
    <row r="1670" spans="1:3" hidden="1">
      <c r="A1670" t="s">
        <v>2499</v>
      </c>
      <c r="B1670">
        <v>72</v>
      </c>
      <c r="C1670" t="s">
        <v>839</v>
      </c>
    </row>
    <row r="1671" spans="1:3" hidden="1">
      <c r="A1671" t="s">
        <v>2500</v>
      </c>
      <c r="B1671">
        <v>77</v>
      </c>
      <c r="C1671" t="s">
        <v>839</v>
      </c>
    </row>
    <row r="1672" spans="1:3" hidden="1">
      <c r="A1672" t="s">
        <v>2501</v>
      </c>
      <c r="B1672">
        <v>77</v>
      </c>
      <c r="C1672" t="s">
        <v>839</v>
      </c>
    </row>
    <row r="1673" spans="1:3" hidden="1">
      <c r="A1673" t="s">
        <v>2502</v>
      </c>
      <c r="B1673">
        <v>72</v>
      </c>
      <c r="C1673" t="s">
        <v>839</v>
      </c>
    </row>
    <row r="1674" spans="1:3" hidden="1">
      <c r="A1674" t="s">
        <v>2503</v>
      </c>
      <c r="B1674">
        <v>12</v>
      </c>
      <c r="C1674" t="s">
        <v>839</v>
      </c>
    </row>
    <row r="1675" spans="1:3" hidden="1">
      <c r="A1675" t="s">
        <v>2504</v>
      </c>
      <c r="B1675">
        <v>12</v>
      </c>
      <c r="C1675" t="s">
        <v>839</v>
      </c>
    </row>
    <row r="1676" spans="1:3" hidden="1">
      <c r="A1676" t="s">
        <v>2505</v>
      </c>
      <c r="B1676">
        <v>12</v>
      </c>
      <c r="C1676" t="s">
        <v>839</v>
      </c>
    </row>
    <row r="1677" spans="1:3" hidden="1">
      <c r="A1677" t="s">
        <v>2757</v>
      </c>
      <c r="B1677">
        <v>2</v>
      </c>
      <c r="C1677" t="s">
        <v>839</v>
      </c>
    </row>
    <row r="1678" spans="1:3" hidden="1">
      <c r="A1678" t="s">
        <v>2758</v>
      </c>
      <c r="B1678">
        <v>2</v>
      </c>
      <c r="C1678" t="s">
        <v>839</v>
      </c>
    </row>
    <row r="1679" spans="1:3" hidden="1">
      <c r="A1679" t="s">
        <v>2759</v>
      </c>
      <c r="B1679">
        <v>37</v>
      </c>
      <c r="C1679" t="s">
        <v>839</v>
      </c>
    </row>
    <row r="1680" spans="1:3" hidden="1">
      <c r="A1680" t="s">
        <v>2760</v>
      </c>
      <c r="B1680">
        <v>2</v>
      </c>
      <c r="C1680" t="s">
        <v>839</v>
      </c>
    </row>
    <row r="1681" spans="1:5" hidden="1">
      <c r="A1681" t="s">
        <v>2761</v>
      </c>
      <c r="B1681">
        <v>2</v>
      </c>
      <c r="C1681" t="s">
        <v>839</v>
      </c>
    </row>
    <row r="1682" spans="1:5" hidden="1">
      <c r="A1682" t="s">
        <v>2762</v>
      </c>
      <c r="B1682">
        <v>95</v>
      </c>
      <c r="C1682" t="s">
        <v>839</v>
      </c>
    </row>
    <row r="1683" spans="1:5" hidden="1">
      <c r="A1683" t="s">
        <v>2763</v>
      </c>
      <c r="B1683">
        <v>2</v>
      </c>
      <c r="C1683" t="s">
        <v>839</v>
      </c>
    </row>
    <row r="1684" spans="1:5" hidden="1">
      <c r="A1684" t="s">
        <v>2508</v>
      </c>
      <c r="B1684">
        <v>49</v>
      </c>
      <c r="C1684" t="s">
        <v>839</v>
      </c>
      <c r="E1684" t="s">
        <v>2959</v>
      </c>
    </row>
    <row r="1685" spans="1:5" hidden="1">
      <c r="A1685" t="s">
        <v>2506</v>
      </c>
      <c r="B1685">
        <v>26</v>
      </c>
      <c r="C1685" t="s">
        <v>839</v>
      </c>
    </row>
    <row r="1686" spans="1:5" hidden="1">
      <c r="A1686" t="s">
        <v>2507</v>
      </c>
      <c r="B1686">
        <v>30</v>
      </c>
      <c r="C1686" t="s">
        <v>839</v>
      </c>
    </row>
    <row r="1687" spans="1:5" hidden="1">
      <c r="A1687" t="s">
        <v>2509</v>
      </c>
      <c r="B1687">
        <v>49</v>
      </c>
      <c r="C1687" t="s">
        <v>839</v>
      </c>
    </row>
    <row r="1688" spans="1:5" hidden="1">
      <c r="A1688" t="s">
        <v>2510</v>
      </c>
      <c r="B1688">
        <v>49</v>
      </c>
      <c r="C1688" t="s">
        <v>839</v>
      </c>
    </row>
    <row r="1689" spans="1:5" hidden="1">
      <c r="A1689" t="s">
        <v>2511</v>
      </c>
      <c r="B1689">
        <v>49</v>
      </c>
      <c r="C1689" t="s">
        <v>839</v>
      </c>
    </row>
    <row r="1690" spans="1:5" hidden="1">
      <c r="A1690" t="s">
        <v>2512</v>
      </c>
      <c r="B1690">
        <v>49</v>
      </c>
      <c r="C1690" t="s">
        <v>839</v>
      </c>
    </row>
    <row r="1691" spans="1:5" hidden="1">
      <c r="A1691" t="s">
        <v>2513</v>
      </c>
      <c r="B1691">
        <v>49</v>
      </c>
      <c r="C1691" t="s">
        <v>839</v>
      </c>
    </row>
    <row r="1692" spans="1:5" hidden="1">
      <c r="A1692" t="s">
        <v>2514</v>
      </c>
      <c r="B1692">
        <v>49</v>
      </c>
      <c r="C1692" t="s">
        <v>839</v>
      </c>
    </row>
    <row r="1693" spans="1:5" hidden="1">
      <c r="A1693" t="s">
        <v>2515</v>
      </c>
      <c r="B1693">
        <v>49</v>
      </c>
      <c r="C1693" t="s">
        <v>839</v>
      </c>
    </row>
    <row r="1694" spans="1:5" hidden="1">
      <c r="A1694" t="s">
        <v>2516</v>
      </c>
      <c r="B1694">
        <v>93</v>
      </c>
      <c r="C1694" t="s">
        <v>839</v>
      </c>
    </row>
    <row r="1695" spans="1:5" hidden="1">
      <c r="A1695" t="s">
        <v>2518</v>
      </c>
      <c r="B1695">
        <v>71</v>
      </c>
      <c r="C1695" t="s">
        <v>839</v>
      </c>
    </row>
    <row r="1696" spans="1:5" hidden="1">
      <c r="A1696" t="s">
        <v>2519</v>
      </c>
      <c r="B1696">
        <v>72</v>
      </c>
      <c r="C1696" t="s">
        <v>839</v>
      </c>
    </row>
    <row r="1697" spans="1:3" hidden="1">
      <c r="A1697" t="s">
        <v>2517</v>
      </c>
      <c r="B1697">
        <v>72</v>
      </c>
      <c r="C1697" t="s">
        <v>839</v>
      </c>
    </row>
    <row r="1698" spans="1:3" hidden="1">
      <c r="A1698" t="s">
        <v>2520</v>
      </c>
      <c r="B1698">
        <v>95</v>
      </c>
      <c r="C1698" t="s">
        <v>839</v>
      </c>
    </row>
    <row r="1699" spans="1:3" hidden="1">
      <c r="A1699" t="s">
        <v>2521</v>
      </c>
      <c r="B1699">
        <v>95</v>
      </c>
      <c r="C1699" t="s">
        <v>839</v>
      </c>
    </row>
    <row r="1700" spans="1:3" hidden="1">
      <c r="A1700" t="s">
        <v>2522</v>
      </c>
      <c r="B1700">
        <v>95</v>
      </c>
      <c r="C1700" t="s">
        <v>839</v>
      </c>
    </row>
    <row r="1701" spans="1:3" hidden="1">
      <c r="A1701" t="s">
        <v>2523</v>
      </c>
      <c r="B1701">
        <v>95</v>
      </c>
      <c r="C1701" t="s">
        <v>839</v>
      </c>
    </row>
    <row r="1702" spans="1:3" hidden="1">
      <c r="A1702" t="s">
        <v>2524</v>
      </c>
      <c r="B1702">
        <v>30</v>
      </c>
      <c r="C1702" t="s">
        <v>839</v>
      </c>
    </row>
    <row r="1703" spans="1:3" hidden="1">
      <c r="A1703" t="s">
        <v>2525</v>
      </c>
      <c r="B1703">
        <v>33</v>
      </c>
      <c r="C1703" t="s">
        <v>839</v>
      </c>
    </row>
    <row r="1704" spans="1:3" hidden="1">
      <c r="A1704" t="s">
        <v>2526</v>
      </c>
      <c r="B1704">
        <v>92</v>
      </c>
      <c r="C1704" t="s">
        <v>839</v>
      </c>
    </row>
    <row r="1705" spans="1:3" hidden="1">
      <c r="A1705" t="s">
        <v>2527</v>
      </c>
      <c r="B1705">
        <v>32</v>
      </c>
      <c r="C1705" t="s">
        <v>839</v>
      </c>
    </row>
    <row r="1706" spans="1:3" hidden="1">
      <c r="A1706" t="s">
        <v>2528</v>
      </c>
      <c r="B1706">
        <v>52</v>
      </c>
      <c r="C1706" t="s">
        <v>839</v>
      </c>
    </row>
    <row r="1707" spans="1:3" hidden="1">
      <c r="A1707" t="s">
        <v>2529</v>
      </c>
      <c r="B1707">
        <v>43</v>
      </c>
      <c r="C1707" t="s">
        <v>839</v>
      </c>
    </row>
    <row r="1708" spans="1:3" hidden="1">
      <c r="A1708" t="s">
        <v>2530</v>
      </c>
      <c r="B1708">
        <v>31</v>
      </c>
      <c r="C1708" t="s">
        <v>839</v>
      </c>
    </row>
    <row r="1709" spans="1:3" hidden="1">
      <c r="A1709" t="s">
        <v>2531</v>
      </c>
      <c r="B1709">
        <v>2</v>
      </c>
      <c r="C1709" t="s">
        <v>839</v>
      </c>
    </row>
    <row r="1710" spans="1:3" hidden="1">
      <c r="A1710" t="s">
        <v>2532</v>
      </c>
      <c r="B1710">
        <v>30</v>
      </c>
      <c r="C1710" t="s">
        <v>839</v>
      </c>
    </row>
    <row r="1711" spans="1:3">
      <c r="A1711" t="s">
        <v>2533</v>
      </c>
      <c r="B1711">
        <v>83</v>
      </c>
      <c r="C1711" t="s">
        <v>839</v>
      </c>
    </row>
    <row r="1712" spans="1:3" hidden="1">
      <c r="A1712" t="s">
        <v>2534</v>
      </c>
      <c r="B1712">
        <v>44</v>
      </c>
      <c r="C1712" t="s">
        <v>839</v>
      </c>
    </row>
    <row r="1713" spans="1:3" hidden="1">
      <c r="A1713" t="s">
        <v>2535</v>
      </c>
      <c r="B1713">
        <v>44</v>
      </c>
      <c r="C1713" t="s">
        <v>839</v>
      </c>
    </row>
    <row r="1714" spans="1:3" hidden="1">
      <c r="A1714" t="s">
        <v>2536</v>
      </c>
      <c r="B1714">
        <v>44</v>
      </c>
      <c r="C1714" t="s">
        <v>839</v>
      </c>
    </row>
    <row r="1715" spans="1:3" hidden="1">
      <c r="A1715" t="s">
        <v>2537</v>
      </c>
      <c r="B1715">
        <v>84</v>
      </c>
      <c r="C1715" t="s">
        <v>839</v>
      </c>
    </row>
    <row r="1716" spans="1:3" hidden="1">
      <c r="A1716" t="s">
        <v>2538</v>
      </c>
      <c r="B1716">
        <v>44</v>
      </c>
      <c r="C1716" t="s">
        <v>839</v>
      </c>
    </row>
    <row r="1717" spans="1:3" hidden="1">
      <c r="A1717" t="s">
        <v>2539</v>
      </c>
      <c r="B1717">
        <v>44</v>
      </c>
      <c r="C1717" t="s">
        <v>839</v>
      </c>
    </row>
    <row r="1718" spans="1:3" hidden="1">
      <c r="A1718" t="s">
        <v>2540</v>
      </c>
      <c r="B1718">
        <v>44</v>
      </c>
      <c r="C1718" t="s">
        <v>839</v>
      </c>
    </row>
    <row r="1719" spans="1:3" hidden="1">
      <c r="A1719" t="s">
        <v>2541</v>
      </c>
      <c r="B1719">
        <v>44</v>
      </c>
      <c r="C1719" t="s">
        <v>839</v>
      </c>
    </row>
    <row r="1720" spans="1:3" hidden="1">
      <c r="A1720" t="s">
        <v>2542</v>
      </c>
      <c r="B1720">
        <v>48</v>
      </c>
      <c r="C1720" t="s">
        <v>839</v>
      </c>
    </row>
    <row r="1721" spans="1:3" hidden="1">
      <c r="A1721" t="s">
        <v>2543</v>
      </c>
      <c r="B1721">
        <v>49</v>
      </c>
      <c r="C1721" t="s">
        <v>839</v>
      </c>
    </row>
    <row r="1722" spans="1:3" hidden="1">
      <c r="A1722" t="s">
        <v>2544</v>
      </c>
      <c r="B1722">
        <v>95</v>
      </c>
      <c r="C1722" t="s">
        <v>839</v>
      </c>
    </row>
    <row r="1723" spans="1:3" hidden="1">
      <c r="A1723" t="s">
        <v>2545</v>
      </c>
      <c r="B1723">
        <v>48</v>
      </c>
      <c r="C1723" t="s">
        <v>839</v>
      </c>
    </row>
    <row r="1724" spans="1:3" hidden="1">
      <c r="A1724" t="s">
        <v>2546</v>
      </c>
      <c r="B1724">
        <v>9</v>
      </c>
      <c r="C1724" t="s">
        <v>839</v>
      </c>
    </row>
    <row r="1725" spans="1:3" hidden="1">
      <c r="A1725" t="s">
        <v>2547</v>
      </c>
      <c r="B1725">
        <v>72</v>
      </c>
      <c r="C1725" t="s">
        <v>839</v>
      </c>
    </row>
    <row r="1726" spans="1:3" hidden="1">
      <c r="A1726" t="s">
        <v>2548</v>
      </c>
      <c r="B1726">
        <v>65</v>
      </c>
      <c r="C1726" t="s">
        <v>839</v>
      </c>
    </row>
    <row r="1727" spans="1:3" hidden="1">
      <c r="A1727" t="s">
        <v>2549</v>
      </c>
      <c r="B1727">
        <v>65</v>
      </c>
      <c r="C1727" t="s">
        <v>839</v>
      </c>
    </row>
    <row r="1728" spans="1:3" hidden="1">
      <c r="A1728" t="s">
        <v>2550</v>
      </c>
      <c r="B1728">
        <v>65</v>
      </c>
      <c r="C1728" t="s">
        <v>839</v>
      </c>
    </row>
    <row r="1729" spans="1:3" hidden="1">
      <c r="A1729" t="s">
        <v>2551</v>
      </c>
      <c r="B1729">
        <v>65</v>
      </c>
      <c r="C1729" t="s">
        <v>839</v>
      </c>
    </row>
    <row r="1730" spans="1:3" hidden="1">
      <c r="A1730" t="s">
        <v>2552</v>
      </c>
      <c r="B1730">
        <v>65</v>
      </c>
      <c r="C1730" t="s">
        <v>839</v>
      </c>
    </row>
    <row r="1731" spans="1:3" hidden="1">
      <c r="A1731" t="s">
        <v>2553</v>
      </c>
      <c r="B1731">
        <v>65</v>
      </c>
      <c r="C1731" t="s">
        <v>839</v>
      </c>
    </row>
    <row r="1732" spans="1:3" hidden="1">
      <c r="A1732" t="s">
        <v>2554</v>
      </c>
      <c r="B1732">
        <v>68</v>
      </c>
      <c r="C1732" t="s">
        <v>839</v>
      </c>
    </row>
    <row r="1733" spans="1:3" hidden="1">
      <c r="A1733" t="s">
        <v>2555</v>
      </c>
      <c r="B1733">
        <v>68</v>
      </c>
      <c r="C1733" t="s">
        <v>839</v>
      </c>
    </row>
    <row r="1734" spans="1:3" hidden="1">
      <c r="A1734" t="s">
        <v>2556</v>
      </c>
      <c r="B1734">
        <v>68</v>
      </c>
      <c r="C1734" t="s">
        <v>839</v>
      </c>
    </row>
    <row r="1735" spans="1:3" hidden="1">
      <c r="A1735" t="s">
        <v>2557</v>
      </c>
      <c r="B1735">
        <v>68</v>
      </c>
      <c r="C1735" t="s">
        <v>839</v>
      </c>
    </row>
    <row r="1736" spans="1:3" hidden="1">
      <c r="A1736" t="s">
        <v>2558</v>
      </c>
      <c r="B1736">
        <v>31</v>
      </c>
      <c r="C1736" t="s">
        <v>839</v>
      </c>
    </row>
    <row r="1737" spans="1:3" hidden="1">
      <c r="A1737" t="s">
        <v>2559</v>
      </c>
      <c r="B1737">
        <v>31</v>
      </c>
      <c r="C1737" t="s">
        <v>839</v>
      </c>
    </row>
    <row r="1738" spans="1:3" hidden="1">
      <c r="A1738" t="s">
        <v>2560</v>
      </c>
      <c r="B1738">
        <v>89</v>
      </c>
      <c r="C1738" t="s">
        <v>839</v>
      </c>
    </row>
    <row r="1739" spans="1:3" hidden="1">
      <c r="A1739" t="s">
        <v>2561</v>
      </c>
      <c r="B1739">
        <v>71</v>
      </c>
      <c r="C1739" t="s">
        <v>839</v>
      </c>
    </row>
    <row r="1740" spans="1:3" hidden="1">
      <c r="A1740" t="s">
        <v>2562</v>
      </c>
      <c r="B1740">
        <v>71</v>
      </c>
      <c r="C1740" t="s">
        <v>839</v>
      </c>
    </row>
    <row r="1741" spans="1:3" hidden="1">
      <c r="A1741" t="s">
        <v>2563</v>
      </c>
      <c r="B1741">
        <v>65</v>
      </c>
      <c r="C1741" t="s">
        <v>839</v>
      </c>
    </row>
    <row r="1742" spans="1:3" hidden="1">
      <c r="A1742" t="s">
        <v>2564</v>
      </c>
      <c r="B1742">
        <v>90</v>
      </c>
      <c r="C1742" t="s">
        <v>839</v>
      </c>
    </row>
    <row r="1743" spans="1:3" hidden="1">
      <c r="A1743" t="s">
        <v>2565</v>
      </c>
      <c r="B1743">
        <v>72</v>
      </c>
      <c r="C1743" t="s">
        <v>839</v>
      </c>
    </row>
    <row r="1744" spans="1:3" hidden="1">
      <c r="A1744" t="s">
        <v>2566</v>
      </c>
      <c r="B1744">
        <v>72</v>
      </c>
      <c r="C1744" t="s">
        <v>839</v>
      </c>
    </row>
    <row r="1745" spans="1:3" hidden="1">
      <c r="A1745" t="s">
        <v>2567</v>
      </c>
      <c r="B1745">
        <v>72</v>
      </c>
      <c r="C1745" t="s">
        <v>839</v>
      </c>
    </row>
    <row r="1746" spans="1:3" hidden="1">
      <c r="A1746" t="s">
        <v>2568</v>
      </c>
      <c r="B1746">
        <v>66</v>
      </c>
      <c r="C1746" t="s">
        <v>839</v>
      </c>
    </row>
    <row r="1747" spans="1:3" hidden="1">
      <c r="A1747" t="s">
        <v>2569</v>
      </c>
      <c r="B1747">
        <v>66</v>
      </c>
      <c r="C1747" t="s">
        <v>839</v>
      </c>
    </row>
    <row r="1748" spans="1:3" hidden="1">
      <c r="A1748" t="s">
        <v>2570</v>
      </c>
      <c r="B1748">
        <v>65</v>
      </c>
      <c r="C1748" t="s">
        <v>839</v>
      </c>
    </row>
    <row r="1749" spans="1:3" hidden="1">
      <c r="A1749" t="s">
        <v>2571</v>
      </c>
      <c r="B1749">
        <v>90</v>
      </c>
      <c r="C1749" t="s">
        <v>839</v>
      </c>
    </row>
    <row r="1750" spans="1:3" hidden="1">
      <c r="A1750" t="s">
        <v>2572</v>
      </c>
      <c r="B1750">
        <v>90</v>
      </c>
      <c r="C1750" t="s">
        <v>839</v>
      </c>
    </row>
    <row r="1751" spans="1:3" hidden="1">
      <c r="A1751" t="s">
        <v>2573</v>
      </c>
      <c r="B1751">
        <v>90</v>
      </c>
      <c r="C1751" t="s">
        <v>839</v>
      </c>
    </row>
    <row r="1752" spans="1:3" hidden="1">
      <c r="A1752" t="s">
        <v>2574</v>
      </c>
      <c r="B1752">
        <v>90</v>
      </c>
      <c r="C1752" t="s">
        <v>839</v>
      </c>
    </row>
    <row r="1753" spans="1:3" hidden="1">
      <c r="A1753" t="s">
        <v>2575</v>
      </c>
      <c r="B1753">
        <v>90</v>
      </c>
      <c r="C1753" t="s">
        <v>839</v>
      </c>
    </row>
    <row r="1754" spans="1:3" hidden="1">
      <c r="A1754" t="s">
        <v>2576</v>
      </c>
      <c r="B1754">
        <v>90</v>
      </c>
      <c r="C1754" t="s">
        <v>839</v>
      </c>
    </row>
    <row r="1755" spans="1:3" hidden="1">
      <c r="A1755" t="s">
        <v>2577</v>
      </c>
      <c r="B1755">
        <v>89</v>
      </c>
      <c r="C1755" t="s">
        <v>839</v>
      </c>
    </row>
    <row r="1756" spans="1:3" hidden="1">
      <c r="A1756" t="s">
        <v>2578</v>
      </c>
      <c r="B1756">
        <v>72</v>
      </c>
      <c r="C1756" t="s">
        <v>839</v>
      </c>
    </row>
    <row r="1757" spans="1:3" hidden="1">
      <c r="A1757" t="s">
        <v>2579</v>
      </c>
      <c r="B1757">
        <v>72</v>
      </c>
      <c r="C1757" t="s">
        <v>839</v>
      </c>
    </row>
    <row r="1758" spans="1:3" hidden="1">
      <c r="A1758" t="s">
        <v>2580</v>
      </c>
      <c r="B1758">
        <v>72</v>
      </c>
      <c r="C1758" t="s">
        <v>839</v>
      </c>
    </row>
    <row r="1759" spans="1:3" hidden="1">
      <c r="A1759" t="s">
        <v>2581</v>
      </c>
      <c r="B1759">
        <v>72</v>
      </c>
      <c r="C1759" t="s">
        <v>839</v>
      </c>
    </row>
    <row r="1760" spans="1:3" hidden="1">
      <c r="A1760" t="s">
        <v>2582</v>
      </c>
      <c r="B1760">
        <v>72</v>
      </c>
      <c r="C1760" t="s">
        <v>839</v>
      </c>
    </row>
    <row r="1761" spans="1:3" hidden="1">
      <c r="A1761" t="s">
        <v>2583</v>
      </c>
      <c r="B1761">
        <v>66</v>
      </c>
      <c r="C1761" t="s">
        <v>839</v>
      </c>
    </row>
    <row r="1762" spans="1:3" hidden="1">
      <c r="A1762" t="s">
        <v>2584</v>
      </c>
      <c r="B1762">
        <v>66</v>
      </c>
      <c r="C1762" t="s">
        <v>839</v>
      </c>
    </row>
    <row r="1763" spans="1:3" hidden="1">
      <c r="A1763" t="s">
        <v>2585</v>
      </c>
      <c r="B1763">
        <v>72</v>
      </c>
      <c r="C1763" t="s">
        <v>839</v>
      </c>
    </row>
    <row r="1764" spans="1:3" hidden="1">
      <c r="A1764" t="s">
        <v>2586</v>
      </c>
      <c r="B1764">
        <v>66</v>
      </c>
      <c r="C1764" t="s">
        <v>839</v>
      </c>
    </row>
    <row r="1765" spans="1:3" hidden="1">
      <c r="A1765" t="s">
        <v>2587</v>
      </c>
      <c r="B1765">
        <v>72</v>
      </c>
      <c r="C1765" t="s">
        <v>839</v>
      </c>
    </row>
    <row r="1766" spans="1:3" hidden="1">
      <c r="A1766" t="s">
        <v>2588</v>
      </c>
      <c r="B1766">
        <v>65</v>
      </c>
      <c r="C1766" t="s">
        <v>839</v>
      </c>
    </row>
    <row r="1767" spans="1:3" hidden="1">
      <c r="A1767" t="s">
        <v>2589</v>
      </c>
      <c r="B1767">
        <v>65</v>
      </c>
      <c r="C1767" t="s">
        <v>839</v>
      </c>
    </row>
    <row r="1768" spans="1:3" hidden="1">
      <c r="A1768" t="s">
        <v>2590</v>
      </c>
      <c r="B1768">
        <v>65</v>
      </c>
      <c r="C1768" t="s">
        <v>839</v>
      </c>
    </row>
    <row r="1769" spans="1:3" hidden="1">
      <c r="A1769" t="s">
        <v>2591</v>
      </c>
      <c r="B1769">
        <v>65</v>
      </c>
      <c r="C1769" t="s">
        <v>839</v>
      </c>
    </row>
    <row r="1770" spans="1:3" hidden="1">
      <c r="A1770" t="s">
        <v>2592</v>
      </c>
      <c r="B1770">
        <v>52</v>
      </c>
      <c r="C1770" t="s">
        <v>839</v>
      </c>
    </row>
    <row r="1771" spans="1:3" hidden="1">
      <c r="A1771" t="s">
        <v>2593</v>
      </c>
      <c r="B1771">
        <v>10</v>
      </c>
      <c r="C1771" t="s">
        <v>839</v>
      </c>
    </row>
    <row r="1772" spans="1:3" hidden="1">
      <c r="A1772" t="s">
        <v>2594</v>
      </c>
      <c r="B1772">
        <v>30</v>
      </c>
      <c r="C1772" t="s">
        <v>839</v>
      </c>
    </row>
    <row r="1773" spans="1:3" hidden="1">
      <c r="A1773" t="s">
        <v>2595</v>
      </c>
      <c r="B1773">
        <v>93</v>
      </c>
      <c r="C1773" t="s">
        <v>839</v>
      </c>
    </row>
    <row r="1774" spans="1:3" hidden="1">
      <c r="A1774" t="s">
        <v>2596</v>
      </c>
      <c r="B1774">
        <v>90</v>
      </c>
      <c r="C1774" t="s">
        <v>839</v>
      </c>
    </row>
    <row r="1775" spans="1:3" hidden="1">
      <c r="A1775" t="s">
        <v>2597</v>
      </c>
      <c r="B1775">
        <v>12</v>
      </c>
      <c r="C1775" t="s">
        <v>839</v>
      </c>
    </row>
    <row r="1776" spans="1:3" hidden="1">
      <c r="A1776" t="s">
        <v>2598</v>
      </c>
      <c r="B1776">
        <v>12</v>
      </c>
      <c r="C1776" t="s">
        <v>839</v>
      </c>
    </row>
    <row r="1777" spans="1:3" hidden="1">
      <c r="A1777" t="s">
        <v>2599</v>
      </c>
      <c r="B1777">
        <v>65</v>
      </c>
      <c r="C1777" t="s">
        <v>839</v>
      </c>
    </row>
    <row r="1778" spans="1:3" hidden="1">
      <c r="A1778" t="s">
        <v>2600</v>
      </c>
      <c r="B1778">
        <v>65</v>
      </c>
      <c r="C1778" t="s">
        <v>839</v>
      </c>
    </row>
    <row r="1779" spans="1:3" hidden="1">
      <c r="A1779" t="s">
        <v>2601</v>
      </c>
      <c r="B1779">
        <v>65</v>
      </c>
      <c r="C1779" t="s">
        <v>839</v>
      </c>
    </row>
    <row r="1780" spans="1:3" hidden="1">
      <c r="A1780" t="s">
        <v>2602</v>
      </c>
      <c r="B1780">
        <v>52</v>
      </c>
      <c r="C1780" t="s">
        <v>839</v>
      </c>
    </row>
    <row r="1781" spans="1:3" hidden="1">
      <c r="A1781" t="s">
        <v>2603</v>
      </c>
      <c r="B1781">
        <v>65</v>
      </c>
      <c r="C1781" t="s">
        <v>839</v>
      </c>
    </row>
    <row r="1782" spans="1:3" hidden="1">
      <c r="A1782" t="s">
        <v>2604</v>
      </c>
      <c r="B1782">
        <v>65</v>
      </c>
      <c r="C1782" t="s">
        <v>839</v>
      </c>
    </row>
    <row r="1783" spans="1:3" hidden="1">
      <c r="A1783" t="s">
        <v>2605</v>
      </c>
      <c r="B1783">
        <v>65</v>
      </c>
      <c r="C1783" t="s">
        <v>839</v>
      </c>
    </row>
    <row r="1784" spans="1:3" hidden="1">
      <c r="A1784" t="s">
        <v>2606</v>
      </c>
      <c r="B1784">
        <v>52</v>
      </c>
      <c r="C1784" t="s">
        <v>839</v>
      </c>
    </row>
    <row r="1785" spans="1:3" hidden="1">
      <c r="A1785" t="s">
        <v>2607</v>
      </c>
      <c r="B1785">
        <v>2</v>
      </c>
      <c r="C1785" t="s">
        <v>839</v>
      </c>
    </row>
    <row r="1786" spans="1:3" hidden="1">
      <c r="A1786" t="s">
        <v>2608</v>
      </c>
      <c r="B1786">
        <v>2</v>
      </c>
      <c r="C1786" t="s">
        <v>839</v>
      </c>
    </row>
    <row r="1787" spans="1:3" hidden="1">
      <c r="A1787" t="s">
        <v>2609</v>
      </c>
      <c r="B1787">
        <v>2</v>
      </c>
      <c r="C1787" t="s">
        <v>839</v>
      </c>
    </row>
    <row r="1788" spans="1:3" hidden="1">
      <c r="A1788" t="s">
        <v>2610</v>
      </c>
      <c r="B1788">
        <v>2</v>
      </c>
      <c r="C1788" t="s">
        <v>839</v>
      </c>
    </row>
    <row r="1789" spans="1:3" hidden="1">
      <c r="A1789" t="s">
        <v>2611</v>
      </c>
      <c r="B1789">
        <v>2</v>
      </c>
      <c r="C1789" t="s">
        <v>839</v>
      </c>
    </row>
    <row r="1790" spans="1:3" hidden="1">
      <c r="A1790" t="s">
        <v>2612</v>
      </c>
      <c r="B1790">
        <v>2</v>
      </c>
      <c r="C1790" t="s">
        <v>839</v>
      </c>
    </row>
    <row r="1791" spans="1:3" hidden="1">
      <c r="A1791" t="s">
        <v>2613</v>
      </c>
      <c r="B1791">
        <v>48</v>
      </c>
      <c r="C1791" t="s">
        <v>839</v>
      </c>
    </row>
    <row r="1792" spans="1:3" hidden="1">
      <c r="A1792" t="s">
        <v>2614</v>
      </c>
      <c r="B1792">
        <v>95</v>
      </c>
      <c r="C1792" t="s">
        <v>839</v>
      </c>
    </row>
    <row r="1793" spans="1:3" hidden="1">
      <c r="A1793" t="s">
        <v>2615</v>
      </c>
      <c r="B1793">
        <v>95</v>
      </c>
      <c r="C1793" t="s">
        <v>839</v>
      </c>
    </row>
    <row r="1794" spans="1:3" hidden="1">
      <c r="A1794" t="s">
        <v>2616</v>
      </c>
      <c r="B1794">
        <v>72</v>
      </c>
      <c r="C1794" t="s">
        <v>839</v>
      </c>
    </row>
    <row r="1795" spans="1:3" hidden="1">
      <c r="A1795" t="s">
        <v>2617</v>
      </c>
      <c r="B1795">
        <v>65</v>
      </c>
      <c r="C1795" t="s">
        <v>839</v>
      </c>
    </row>
    <row r="1796" spans="1:3" hidden="1">
      <c r="A1796" t="s">
        <v>2618</v>
      </c>
      <c r="B1796">
        <v>68</v>
      </c>
      <c r="C1796" t="s">
        <v>839</v>
      </c>
    </row>
    <row r="1797" spans="1:3" hidden="1">
      <c r="A1797" t="s">
        <v>2619</v>
      </c>
      <c r="B1797">
        <v>72</v>
      </c>
      <c r="C1797" t="s">
        <v>839</v>
      </c>
    </row>
    <row r="1798" spans="1:3" hidden="1">
      <c r="A1798" t="s">
        <v>2620</v>
      </c>
      <c r="B1798">
        <v>72</v>
      </c>
      <c r="C1798" t="s">
        <v>839</v>
      </c>
    </row>
    <row r="1799" spans="1:3" hidden="1">
      <c r="A1799" t="s">
        <v>2621</v>
      </c>
      <c r="B1799">
        <v>72</v>
      </c>
      <c r="C1799" t="s">
        <v>839</v>
      </c>
    </row>
    <row r="1800" spans="1:3" hidden="1">
      <c r="A1800" t="s">
        <v>2622</v>
      </c>
      <c r="B1800">
        <v>72</v>
      </c>
      <c r="C1800" t="s">
        <v>839</v>
      </c>
    </row>
    <row r="1801" spans="1:3" hidden="1">
      <c r="A1801" t="s">
        <v>2623</v>
      </c>
      <c r="B1801">
        <v>72</v>
      </c>
      <c r="C1801" t="s">
        <v>839</v>
      </c>
    </row>
    <row r="1802" spans="1:3" hidden="1">
      <c r="A1802" t="s">
        <v>2624</v>
      </c>
      <c r="B1802">
        <v>72</v>
      </c>
      <c r="C1802" t="s">
        <v>839</v>
      </c>
    </row>
    <row r="1803" spans="1:3" hidden="1">
      <c r="A1803" t="s">
        <v>2625</v>
      </c>
      <c r="B1803">
        <v>72</v>
      </c>
      <c r="C1803" t="s">
        <v>839</v>
      </c>
    </row>
    <row r="1804" spans="1:3" hidden="1">
      <c r="A1804" t="s">
        <v>2626</v>
      </c>
      <c r="B1804">
        <v>66</v>
      </c>
      <c r="C1804" t="s">
        <v>839</v>
      </c>
    </row>
    <row r="1805" spans="1:3" hidden="1">
      <c r="A1805" t="s">
        <v>2627</v>
      </c>
      <c r="B1805">
        <v>72</v>
      </c>
      <c r="C1805" t="s">
        <v>839</v>
      </c>
    </row>
    <row r="1806" spans="1:3" hidden="1">
      <c r="A1806" t="s">
        <v>2628</v>
      </c>
      <c r="B1806">
        <v>65</v>
      </c>
      <c r="C1806" t="s">
        <v>839</v>
      </c>
    </row>
    <row r="1807" spans="1:3" hidden="1">
      <c r="A1807" t="s">
        <v>2629</v>
      </c>
      <c r="B1807">
        <v>72</v>
      </c>
      <c r="C1807" t="s">
        <v>839</v>
      </c>
    </row>
    <row r="1808" spans="1:3" hidden="1">
      <c r="A1808" t="s">
        <v>2630</v>
      </c>
      <c r="B1808">
        <v>72</v>
      </c>
      <c r="C1808" t="s">
        <v>839</v>
      </c>
    </row>
    <row r="1809" spans="1:3" hidden="1">
      <c r="A1809" t="s">
        <v>2631</v>
      </c>
      <c r="B1809">
        <v>72</v>
      </c>
      <c r="C1809" t="s">
        <v>839</v>
      </c>
    </row>
    <row r="1810" spans="1:3" hidden="1">
      <c r="A1810" t="s">
        <v>2632</v>
      </c>
      <c r="B1810">
        <v>72</v>
      </c>
      <c r="C1810" t="s">
        <v>839</v>
      </c>
    </row>
    <row r="1811" spans="1:3" hidden="1">
      <c r="A1811" t="s">
        <v>2633</v>
      </c>
      <c r="B1811">
        <v>65</v>
      </c>
      <c r="C1811" t="s">
        <v>839</v>
      </c>
    </row>
    <row r="1812" spans="1:3" hidden="1">
      <c r="A1812" t="s">
        <v>2634</v>
      </c>
      <c r="B1812">
        <v>95</v>
      </c>
      <c r="C1812" t="s">
        <v>839</v>
      </c>
    </row>
    <row r="1813" spans="1:3" hidden="1">
      <c r="A1813" t="s">
        <v>2635</v>
      </c>
      <c r="B1813">
        <v>10</v>
      </c>
      <c r="C1813" t="s">
        <v>839</v>
      </c>
    </row>
    <row r="1814" spans="1:3" hidden="1">
      <c r="A1814" t="s">
        <v>2636</v>
      </c>
      <c r="B1814">
        <v>10</v>
      </c>
      <c r="C1814" t="s">
        <v>839</v>
      </c>
    </row>
    <row r="1815" spans="1:3" hidden="1">
      <c r="A1815" t="s">
        <v>2637</v>
      </c>
      <c r="B1815">
        <v>39</v>
      </c>
      <c r="C1815" t="s">
        <v>839</v>
      </c>
    </row>
    <row r="1816" spans="1:3" hidden="1">
      <c r="A1816" t="s">
        <v>2638</v>
      </c>
      <c r="B1816">
        <v>49</v>
      </c>
      <c r="C1816" t="s">
        <v>839</v>
      </c>
    </row>
    <row r="1817" spans="1:3" hidden="1">
      <c r="A1817" t="s">
        <v>2639</v>
      </c>
      <c r="B1817">
        <v>77</v>
      </c>
      <c r="C1817" t="s">
        <v>839</v>
      </c>
    </row>
    <row r="1818" spans="1:3" hidden="1">
      <c r="A1818" t="s">
        <v>2640</v>
      </c>
      <c r="B1818">
        <v>77</v>
      </c>
      <c r="C1818" t="s">
        <v>839</v>
      </c>
    </row>
    <row r="1819" spans="1:3" hidden="1">
      <c r="A1819" t="s">
        <v>2641</v>
      </c>
      <c r="B1819">
        <v>66</v>
      </c>
      <c r="C1819" t="s">
        <v>839</v>
      </c>
    </row>
    <row r="1820" spans="1:3" hidden="1">
      <c r="A1820" t="s">
        <v>2642</v>
      </c>
      <c r="B1820">
        <v>77</v>
      </c>
      <c r="C1820" t="s">
        <v>839</v>
      </c>
    </row>
    <row r="1821" spans="1:3" hidden="1">
      <c r="A1821" t="s">
        <v>2643</v>
      </c>
      <c r="B1821">
        <v>77</v>
      </c>
      <c r="C1821" t="s">
        <v>839</v>
      </c>
    </row>
    <row r="1822" spans="1:3" hidden="1">
      <c r="A1822" t="s">
        <v>2644</v>
      </c>
      <c r="B1822">
        <v>78</v>
      </c>
      <c r="C1822" t="s">
        <v>839</v>
      </c>
    </row>
    <row r="1823" spans="1:3" hidden="1">
      <c r="A1823" t="s">
        <v>2645</v>
      </c>
      <c r="B1823">
        <v>77</v>
      </c>
      <c r="C1823" t="s">
        <v>839</v>
      </c>
    </row>
    <row r="1824" spans="1:3" hidden="1">
      <c r="A1824" t="s">
        <v>2646</v>
      </c>
      <c r="B1824">
        <v>78</v>
      </c>
      <c r="C1824" t="s">
        <v>839</v>
      </c>
    </row>
    <row r="1825" spans="1:3" hidden="1">
      <c r="A1825" t="s">
        <v>2647</v>
      </c>
      <c r="B1825">
        <v>78</v>
      </c>
      <c r="C1825" t="s">
        <v>839</v>
      </c>
    </row>
    <row r="1826" spans="1:3" hidden="1">
      <c r="A1826" t="s">
        <v>2648</v>
      </c>
      <c r="B1826">
        <v>77</v>
      </c>
      <c r="C1826" t="s">
        <v>839</v>
      </c>
    </row>
    <row r="1827" spans="1:3" hidden="1">
      <c r="A1827" t="s">
        <v>2649</v>
      </c>
      <c r="B1827">
        <v>78</v>
      </c>
      <c r="C1827" t="s">
        <v>839</v>
      </c>
    </row>
    <row r="1828" spans="1:3" hidden="1">
      <c r="A1828" t="s">
        <v>2650</v>
      </c>
      <c r="B1828">
        <v>77</v>
      </c>
      <c r="C1828" t="s">
        <v>839</v>
      </c>
    </row>
    <row r="1829" spans="1:3" hidden="1">
      <c r="A1829" t="s">
        <v>2651</v>
      </c>
      <c r="B1829">
        <v>78</v>
      </c>
      <c r="C1829" t="s">
        <v>839</v>
      </c>
    </row>
    <row r="1830" spans="1:3" hidden="1">
      <c r="A1830" t="s">
        <v>2652</v>
      </c>
      <c r="B1830">
        <v>78</v>
      </c>
      <c r="C1830" t="s">
        <v>839</v>
      </c>
    </row>
    <row r="1831" spans="1:3" hidden="1">
      <c r="A1831" t="s">
        <v>2653</v>
      </c>
      <c r="B1831">
        <v>77</v>
      </c>
      <c r="C1831" t="s">
        <v>839</v>
      </c>
    </row>
    <row r="1832" spans="1:3" hidden="1">
      <c r="A1832" t="s">
        <v>2654</v>
      </c>
      <c r="B1832">
        <v>78</v>
      </c>
      <c r="C1832" t="s">
        <v>839</v>
      </c>
    </row>
    <row r="1833" spans="1:3" hidden="1">
      <c r="A1833" t="s">
        <v>2655</v>
      </c>
      <c r="B1833">
        <v>78</v>
      </c>
      <c r="C1833" t="s">
        <v>839</v>
      </c>
    </row>
    <row r="1834" spans="1:3" hidden="1">
      <c r="A1834" t="s">
        <v>2656</v>
      </c>
      <c r="B1834">
        <v>78</v>
      </c>
      <c r="C1834" t="s">
        <v>839</v>
      </c>
    </row>
    <row r="1835" spans="1:3" hidden="1">
      <c r="A1835" t="s">
        <v>2657</v>
      </c>
      <c r="B1835">
        <v>78</v>
      </c>
      <c r="C1835" t="s">
        <v>839</v>
      </c>
    </row>
    <row r="1836" spans="1:3" hidden="1">
      <c r="A1836" t="s">
        <v>2658</v>
      </c>
      <c r="B1836">
        <v>72</v>
      </c>
      <c r="C1836" t="s">
        <v>839</v>
      </c>
    </row>
    <row r="1837" spans="1:3" hidden="1">
      <c r="A1837" t="s">
        <v>2659</v>
      </c>
      <c r="B1837">
        <v>77</v>
      </c>
      <c r="C1837" t="s">
        <v>839</v>
      </c>
    </row>
    <row r="1838" spans="1:3" hidden="1">
      <c r="A1838" t="s">
        <v>2660</v>
      </c>
      <c r="B1838">
        <v>77</v>
      </c>
      <c r="C1838" t="s">
        <v>839</v>
      </c>
    </row>
    <row r="1839" spans="1:3" hidden="1">
      <c r="A1839" t="s">
        <v>2661</v>
      </c>
      <c r="B1839">
        <v>78</v>
      </c>
      <c r="C1839" t="s">
        <v>839</v>
      </c>
    </row>
    <row r="1840" spans="1:3" hidden="1">
      <c r="A1840" t="s">
        <v>2662</v>
      </c>
      <c r="B1840">
        <v>78</v>
      </c>
      <c r="C1840" t="s">
        <v>839</v>
      </c>
    </row>
    <row r="1841" spans="1:3" hidden="1">
      <c r="A1841" t="s">
        <v>2663</v>
      </c>
      <c r="B1841">
        <v>78</v>
      </c>
      <c r="C1841" t="s">
        <v>839</v>
      </c>
    </row>
    <row r="1842" spans="1:3" hidden="1">
      <c r="A1842" t="s">
        <v>2664</v>
      </c>
      <c r="B1842">
        <v>78</v>
      </c>
      <c r="C1842" t="s">
        <v>839</v>
      </c>
    </row>
    <row r="1843" spans="1:3" hidden="1">
      <c r="A1843" t="s">
        <v>2665</v>
      </c>
      <c r="B1843">
        <v>78</v>
      </c>
      <c r="C1843" t="s">
        <v>839</v>
      </c>
    </row>
    <row r="1844" spans="1:3" hidden="1">
      <c r="A1844" t="s">
        <v>2666</v>
      </c>
      <c r="B1844">
        <v>90</v>
      </c>
      <c r="C1844" t="s">
        <v>839</v>
      </c>
    </row>
    <row r="1845" spans="1:3" hidden="1">
      <c r="A1845" t="s">
        <v>2667</v>
      </c>
      <c r="B1845">
        <v>77</v>
      </c>
      <c r="C1845" t="s">
        <v>839</v>
      </c>
    </row>
    <row r="1846" spans="1:3" hidden="1">
      <c r="A1846" t="s">
        <v>2668</v>
      </c>
      <c r="B1846">
        <v>72</v>
      </c>
      <c r="C1846" t="s">
        <v>839</v>
      </c>
    </row>
    <row r="1847" spans="1:3" hidden="1">
      <c r="A1847" t="s">
        <v>2669</v>
      </c>
      <c r="B1847">
        <v>78</v>
      </c>
      <c r="C1847" t="s">
        <v>839</v>
      </c>
    </row>
    <row r="1848" spans="1:3" hidden="1">
      <c r="A1848" t="s">
        <v>2670</v>
      </c>
      <c r="B1848">
        <v>77</v>
      </c>
      <c r="C1848" t="s">
        <v>839</v>
      </c>
    </row>
    <row r="1849" spans="1:3" hidden="1">
      <c r="A1849" t="s">
        <v>2671</v>
      </c>
      <c r="B1849">
        <v>78</v>
      </c>
      <c r="C1849" t="s">
        <v>839</v>
      </c>
    </row>
    <row r="1850" spans="1:3" hidden="1">
      <c r="A1850" t="s">
        <v>2672</v>
      </c>
      <c r="B1850">
        <v>78</v>
      </c>
      <c r="C1850" t="s">
        <v>839</v>
      </c>
    </row>
    <row r="1851" spans="1:3" hidden="1">
      <c r="A1851" t="s">
        <v>2673</v>
      </c>
      <c r="B1851">
        <v>77</v>
      </c>
      <c r="C1851" t="s">
        <v>839</v>
      </c>
    </row>
    <row r="1852" spans="1:3" hidden="1">
      <c r="A1852" t="s">
        <v>2674</v>
      </c>
      <c r="B1852">
        <v>72</v>
      </c>
      <c r="C1852" t="s">
        <v>839</v>
      </c>
    </row>
    <row r="1853" spans="1:3" hidden="1">
      <c r="A1853" t="s">
        <v>2675</v>
      </c>
      <c r="B1853">
        <v>72</v>
      </c>
      <c r="C1853" t="s">
        <v>839</v>
      </c>
    </row>
    <row r="1854" spans="1:3" hidden="1">
      <c r="A1854" t="s">
        <v>2676</v>
      </c>
      <c r="B1854">
        <v>77</v>
      </c>
      <c r="C1854" t="s">
        <v>839</v>
      </c>
    </row>
    <row r="1855" spans="1:3" hidden="1">
      <c r="A1855" t="s">
        <v>2677</v>
      </c>
      <c r="B1855">
        <v>77</v>
      </c>
      <c r="C1855" t="s">
        <v>839</v>
      </c>
    </row>
    <row r="1856" spans="1:3" hidden="1">
      <c r="A1856" t="s">
        <v>2678</v>
      </c>
      <c r="B1856">
        <v>77</v>
      </c>
      <c r="C1856" t="s">
        <v>839</v>
      </c>
    </row>
    <row r="1857" spans="1:3" hidden="1">
      <c r="A1857" t="s">
        <v>2679</v>
      </c>
      <c r="B1857">
        <v>78</v>
      </c>
      <c r="C1857" t="s">
        <v>839</v>
      </c>
    </row>
    <row r="1858" spans="1:3" hidden="1">
      <c r="A1858" t="s">
        <v>2680</v>
      </c>
      <c r="B1858">
        <v>78</v>
      </c>
      <c r="C1858" t="s">
        <v>839</v>
      </c>
    </row>
    <row r="1859" spans="1:3" hidden="1">
      <c r="A1859" t="s">
        <v>2681</v>
      </c>
      <c r="B1859">
        <v>78</v>
      </c>
      <c r="C1859" t="s">
        <v>839</v>
      </c>
    </row>
    <row r="1860" spans="1:3" hidden="1">
      <c r="A1860" t="s">
        <v>2682</v>
      </c>
      <c r="B1860">
        <v>66</v>
      </c>
      <c r="C1860" t="s">
        <v>839</v>
      </c>
    </row>
    <row r="1861" spans="1:3" hidden="1">
      <c r="A1861" t="s">
        <v>2683</v>
      </c>
      <c r="B1861">
        <v>10</v>
      </c>
      <c r="C1861" t="s">
        <v>839</v>
      </c>
    </row>
    <row r="1862" spans="1:3" hidden="1">
      <c r="A1862" t="s">
        <v>2684</v>
      </c>
      <c r="B1862">
        <v>77</v>
      </c>
      <c r="C1862" t="s">
        <v>839</v>
      </c>
    </row>
    <row r="1863" spans="1:3" hidden="1">
      <c r="A1863" t="s">
        <v>2685</v>
      </c>
      <c r="B1863">
        <v>77</v>
      </c>
      <c r="C1863" t="s">
        <v>839</v>
      </c>
    </row>
    <row r="1864" spans="1:3" hidden="1">
      <c r="A1864" t="s">
        <v>2686</v>
      </c>
      <c r="B1864">
        <v>77</v>
      </c>
      <c r="C1864" t="s">
        <v>839</v>
      </c>
    </row>
    <row r="1865" spans="1:3" hidden="1">
      <c r="A1865" t="s">
        <v>2687</v>
      </c>
      <c r="B1865">
        <v>77</v>
      </c>
      <c r="C1865" t="s">
        <v>839</v>
      </c>
    </row>
    <row r="1866" spans="1:3" hidden="1">
      <c r="A1866" t="s">
        <v>2688</v>
      </c>
      <c r="B1866">
        <v>77</v>
      </c>
      <c r="C1866" t="s">
        <v>839</v>
      </c>
    </row>
    <row r="1867" spans="1:3" hidden="1">
      <c r="A1867" t="s">
        <v>2689</v>
      </c>
      <c r="B1867">
        <v>77</v>
      </c>
      <c r="C1867" t="s">
        <v>839</v>
      </c>
    </row>
    <row r="1868" spans="1:3" hidden="1">
      <c r="A1868" t="s">
        <v>2690</v>
      </c>
      <c r="B1868">
        <v>2</v>
      </c>
      <c r="C1868" t="s">
        <v>839</v>
      </c>
    </row>
    <row r="1869" spans="1:3" hidden="1">
      <c r="A1869" t="s">
        <v>2691</v>
      </c>
      <c r="B1869">
        <v>6</v>
      </c>
      <c r="C1869" t="s">
        <v>839</v>
      </c>
    </row>
    <row r="1870" spans="1:3" hidden="1">
      <c r="A1870" t="s">
        <v>2692</v>
      </c>
      <c r="C1870" t="s">
        <v>785</v>
      </c>
    </row>
    <row r="1871" spans="1:3" hidden="1">
      <c r="A1871" t="s">
        <v>2692</v>
      </c>
      <c r="C1871" t="s">
        <v>809</v>
      </c>
    </row>
    <row r="1872" spans="1:3" hidden="1">
      <c r="A1872" t="s">
        <v>2692</v>
      </c>
      <c r="C1872" t="s">
        <v>809</v>
      </c>
    </row>
    <row r="1873" spans="1:3" hidden="1">
      <c r="A1873" t="s">
        <v>2694</v>
      </c>
      <c r="B1873">
        <v>95</v>
      </c>
      <c r="C1873" t="s">
        <v>839</v>
      </c>
    </row>
    <row r="1874" spans="1:3" hidden="1">
      <c r="A1874" t="s">
        <v>2695</v>
      </c>
      <c r="B1874">
        <v>95</v>
      </c>
      <c r="C1874" t="s">
        <v>839</v>
      </c>
    </row>
    <row r="1875" spans="1:3" hidden="1">
      <c r="A1875" t="s">
        <v>2693</v>
      </c>
      <c r="B1875">
        <v>95</v>
      </c>
      <c r="C1875" t="s">
        <v>839</v>
      </c>
    </row>
    <row r="1876" spans="1:3" hidden="1">
      <c r="A1876" t="s">
        <v>2696</v>
      </c>
      <c r="B1876">
        <v>95</v>
      </c>
      <c r="C1876" t="s">
        <v>839</v>
      </c>
    </row>
    <row r="1877" spans="1:3" hidden="1">
      <c r="A1877" t="s">
        <v>2697</v>
      </c>
      <c r="B1877">
        <v>48</v>
      </c>
      <c r="C1877" t="s">
        <v>839</v>
      </c>
    </row>
    <row r="1878" spans="1:3" hidden="1">
      <c r="A1878" t="s">
        <v>2698</v>
      </c>
      <c r="B1878">
        <v>95</v>
      </c>
      <c r="C1878" t="s">
        <v>839</v>
      </c>
    </row>
    <row r="1879" spans="1:3" hidden="1">
      <c r="A1879" t="s">
        <v>2699</v>
      </c>
      <c r="B1879">
        <v>79</v>
      </c>
      <c r="C1879" t="s">
        <v>839</v>
      </c>
    </row>
    <row r="1880" spans="1:3" hidden="1">
      <c r="A1880" t="s">
        <v>2700</v>
      </c>
      <c r="B1880">
        <v>79</v>
      </c>
      <c r="C1880" t="s">
        <v>839</v>
      </c>
    </row>
    <row r="1881" spans="1:3" hidden="1">
      <c r="A1881" t="s">
        <v>2701</v>
      </c>
      <c r="B1881">
        <v>79</v>
      </c>
      <c r="C1881" t="s">
        <v>839</v>
      </c>
    </row>
    <row r="1882" spans="1:3" hidden="1">
      <c r="A1882" t="s">
        <v>2702</v>
      </c>
      <c r="B1882">
        <v>79</v>
      </c>
      <c r="C1882" t="s">
        <v>839</v>
      </c>
    </row>
    <row r="1883" spans="1:3" hidden="1">
      <c r="A1883" t="s">
        <v>2703</v>
      </c>
      <c r="B1883">
        <v>79</v>
      </c>
      <c r="C1883" t="s">
        <v>839</v>
      </c>
    </row>
    <row r="1884" spans="1:3" hidden="1">
      <c r="A1884" t="s">
        <v>2704</v>
      </c>
      <c r="B1884">
        <v>79</v>
      </c>
      <c r="C1884" t="s">
        <v>839</v>
      </c>
    </row>
    <row r="1885" spans="1:3" hidden="1">
      <c r="A1885" t="s">
        <v>2705</v>
      </c>
      <c r="B1885">
        <v>79</v>
      </c>
      <c r="C1885" t="s">
        <v>839</v>
      </c>
    </row>
    <row r="1886" spans="1:3" hidden="1">
      <c r="A1886" t="s">
        <v>2706</v>
      </c>
      <c r="B1886">
        <v>79</v>
      </c>
      <c r="C1886" t="s">
        <v>839</v>
      </c>
    </row>
    <row r="1887" spans="1:3" hidden="1">
      <c r="A1887" t="s">
        <v>2707</v>
      </c>
      <c r="B1887">
        <v>79</v>
      </c>
      <c r="C1887" t="s">
        <v>839</v>
      </c>
    </row>
    <row r="1888" spans="1:3" hidden="1">
      <c r="A1888" t="s">
        <v>2708</v>
      </c>
      <c r="B1888">
        <v>79</v>
      </c>
      <c r="C1888" t="s">
        <v>839</v>
      </c>
    </row>
    <row r="1889" spans="1:3" hidden="1">
      <c r="A1889" t="s">
        <v>2709</v>
      </c>
      <c r="B1889">
        <v>79</v>
      </c>
      <c r="C1889" t="s">
        <v>839</v>
      </c>
    </row>
    <row r="1890" spans="1:3" hidden="1">
      <c r="A1890" t="s">
        <v>2710</v>
      </c>
      <c r="B1890">
        <v>79</v>
      </c>
      <c r="C1890" t="s">
        <v>839</v>
      </c>
    </row>
    <row r="1891" spans="1:3" hidden="1">
      <c r="A1891" t="s">
        <v>2711</v>
      </c>
      <c r="B1891">
        <v>79</v>
      </c>
      <c r="C1891" t="s">
        <v>839</v>
      </c>
    </row>
    <row r="1892" spans="1:3" hidden="1">
      <c r="A1892" t="s">
        <v>2712</v>
      </c>
      <c r="B1892">
        <v>79</v>
      </c>
      <c r="C1892" t="s">
        <v>839</v>
      </c>
    </row>
    <row r="1893" spans="1:3" hidden="1">
      <c r="A1893" t="s">
        <v>2713</v>
      </c>
      <c r="B1893">
        <v>79</v>
      </c>
      <c r="C1893" t="s">
        <v>839</v>
      </c>
    </row>
    <row r="1894" spans="1:3" hidden="1">
      <c r="A1894" t="s">
        <v>2714</v>
      </c>
      <c r="B1894">
        <v>79</v>
      </c>
      <c r="C1894" t="s">
        <v>839</v>
      </c>
    </row>
    <row r="1895" spans="1:3" hidden="1">
      <c r="A1895" t="s">
        <v>2715</v>
      </c>
      <c r="B1895">
        <v>79</v>
      </c>
      <c r="C1895" t="s">
        <v>839</v>
      </c>
    </row>
    <row r="1896" spans="1:3" hidden="1">
      <c r="A1896" t="s">
        <v>2716</v>
      </c>
      <c r="B1896">
        <v>79</v>
      </c>
      <c r="C1896" t="s">
        <v>839</v>
      </c>
    </row>
    <row r="1897" spans="1:3" hidden="1">
      <c r="A1897" t="s">
        <v>2717</v>
      </c>
      <c r="B1897">
        <v>51</v>
      </c>
      <c r="C1897" t="s">
        <v>839</v>
      </c>
    </row>
    <row r="1898" spans="1:3" hidden="1">
      <c r="A1898" t="s">
        <v>2718</v>
      </c>
      <c r="B1898">
        <v>42</v>
      </c>
      <c r="C1898" t="s">
        <v>839</v>
      </c>
    </row>
    <row r="1899" spans="1:3" hidden="1">
      <c r="A1899" t="s">
        <v>2719</v>
      </c>
      <c r="B1899">
        <v>31</v>
      </c>
      <c r="C1899" t="s">
        <v>839</v>
      </c>
    </row>
    <row r="1900" spans="1:3" hidden="1">
      <c r="A1900" t="s">
        <v>2720</v>
      </c>
      <c r="B1900">
        <v>47</v>
      </c>
      <c r="C1900" t="s">
        <v>839</v>
      </c>
    </row>
    <row r="1901" spans="1:3" hidden="1">
      <c r="A1901" t="s">
        <v>2721</v>
      </c>
      <c r="B1901">
        <v>31</v>
      </c>
      <c r="C1901" t="s">
        <v>839</v>
      </c>
    </row>
    <row r="1902" spans="1:3" hidden="1">
      <c r="A1902" t="s">
        <v>2722</v>
      </c>
      <c r="B1902">
        <v>49</v>
      </c>
      <c r="C1902" t="s">
        <v>839</v>
      </c>
    </row>
    <row r="1903" spans="1:3" hidden="1">
      <c r="A1903" t="s">
        <v>2723</v>
      </c>
      <c r="B1903">
        <v>48</v>
      </c>
      <c r="C1903" t="s">
        <v>839</v>
      </c>
    </row>
    <row r="1904" spans="1:3" hidden="1">
      <c r="A1904" t="s">
        <v>2724</v>
      </c>
      <c r="B1904">
        <v>10</v>
      </c>
      <c r="C1904" t="s">
        <v>839</v>
      </c>
    </row>
    <row r="1905" spans="1:3" hidden="1">
      <c r="A1905" t="s">
        <v>2725</v>
      </c>
      <c r="B1905">
        <v>10</v>
      </c>
      <c r="C1905" t="s">
        <v>839</v>
      </c>
    </row>
    <row r="1906" spans="1:3" hidden="1">
      <c r="A1906" t="s">
        <v>2726</v>
      </c>
      <c r="B1906">
        <v>12</v>
      </c>
      <c r="C1906" t="s">
        <v>839</v>
      </c>
    </row>
    <row r="1907" spans="1:3" hidden="1">
      <c r="A1907" t="s">
        <v>2727</v>
      </c>
      <c r="B1907">
        <v>6</v>
      </c>
      <c r="C1907" t="s">
        <v>839</v>
      </c>
    </row>
    <row r="1908" spans="1:3" hidden="1">
      <c r="A1908" t="s">
        <v>2728</v>
      </c>
      <c r="B1908">
        <v>72</v>
      </c>
      <c r="C1908" t="s">
        <v>839</v>
      </c>
    </row>
    <row r="1909" spans="1:3" hidden="1">
      <c r="A1909" t="s">
        <v>2729</v>
      </c>
      <c r="B1909">
        <v>37</v>
      </c>
      <c r="C1909" t="s">
        <v>839</v>
      </c>
    </row>
    <row r="1910" spans="1:3" hidden="1">
      <c r="A1910" t="s">
        <v>2730</v>
      </c>
      <c r="B1910">
        <v>37</v>
      </c>
      <c r="C1910" t="s">
        <v>839</v>
      </c>
    </row>
    <row r="1911" spans="1:3" hidden="1">
      <c r="A1911" t="s">
        <v>2731</v>
      </c>
      <c r="B1911">
        <v>48</v>
      </c>
      <c r="C1911" t="s">
        <v>839</v>
      </c>
    </row>
    <row r="1912" spans="1:3" hidden="1">
      <c r="A1912" t="s">
        <v>2732</v>
      </c>
      <c r="B1912">
        <v>71</v>
      </c>
      <c r="C1912" t="s">
        <v>839</v>
      </c>
    </row>
    <row r="1913" spans="1:3" hidden="1">
      <c r="A1913" t="s">
        <v>2733</v>
      </c>
      <c r="B1913">
        <v>71</v>
      </c>
      <c r="C1913" t="s">
        <v>839</v>
      </c>
    </row>
    <row r="1914" spans="1:3" hidden="1">
      <c r="A1914" t="s">
        <v>2734</v>
      </c>
      <c r="B1914">
        <v>72</v>
      </c>
      <c r="C1914" t="s">
        <v>839</v>
      </c>
    </row>
    <row r="1915" spans="1:3" hidden="1">
      <c r="A1915" t="s">
        <v>2735</v>
      </c>
      <c r="B1915">
        <v>72</v>
      </c>
      <c r="C1915" t="s">
        <v>839</v>
      </c>
    </row>
    <row r="1916" spans="1:3" hidden="1">
      <c r="A1916" t="s">
        <v>2736</v>
      </c>
      <c r="B1916">
        <v>4</v>
      </c>
      <c r="C1916" t="s">
        <v>839</v>
      </c>
    </row>
    <row r="1917" spans="1:3" hidden="1">
      <c r="A1917" t="s">
        <v>2737</v>
      </c>
      <c r="B1917">
        <v>37</v>
      </c>
      <c r="C1917" t="s">
        <v>839</v>
      </c>
    </row>
    <row r="1918" spans="1:3" hidden="1">
      <c r="A1918" t="s">
        <v>2738</v>
      </c>
      <c r="B1918">
        <v>93</v>
      </c>
      <c r="C1918" t="s">
        <v>839</v>
      </c>
    </row>
    <row r="1919" spans="1:3">
      <c r="A1919" t="s">
        <v>2739</v>
      </c>
      <c r="B1919">
        <v>83</v>
      </c>
      <c r="C1919" t="s">
        <v>839</v>
      </c>
    </row>
    <row r="1920" spans="1:3" hidden="1">
      <c r="A1920" t="s">
        <v>2740</v>
      </c>
      <c r="B1920">
        <v>49</v>
      </c>
      <c r="C1920" t="s">
        <v>839</v>
      </c>
    </row>
    <row r="1921" spans="1:3" hidden="1">
      <c r="A1921" t="s">
        <v>2741</v>
      </c>
      <c r="B1921">
        <v>49</v>
      </c>
      <c r="C1921" t="s">
        <v>839</v>
      </c>
    </row>
    <row r="1922" spans="1:3" hidden="1">
      <c r="A1922" t="s">
        <v>2742</v>
      </c>
      <c r="B1922">
        <v>51</v>
      </c>
      <c r="C1922" t="s">
        <v>839</v>
      </c>
    </row>
    <row r="1923" spans="1:3" hidden="1">
      <c r="A1923" t="s">
        <v>2743</v>
      </c>
      <c r="B1923">
        <v>52</v>
      </c>
      <c r="C1923" t="s">
        <v>839</v>
      </c>
    </row>
    <row r="1924" spans="1:3" hidden="1">
      <c r="A1924" t="s">
        <v>2744</v>
      </c>
      <c r="B1924">
        <v>43</v>
      </c>
      <c r="C1924" t="s">
        <v>839</v>
      </c>
    </row>
    <row r="1925" spans="1:3" hidden="1">
      <c r="A1925" t="s">
        <v>2745</v>
      </c>
      <c r="B1925">
        <v>16</v>
      </c>
      <c r="C1925" t="s">
        <v>839</v>
      </c>
    </row>
    <row r="1926" spans="1:3" hidden="1">
      <c r="A1926" t="s">
        <v>2746</v>
      </c>
      <c r="B1926">
        <v>40</v>
      </c>
      <c r="C1926" t="s">
        <v>839</v>
      </c>
    </row>
    <row r="1927" spans="1:3" hidden="1">
      <c r="A1927" t="s">
        <v>2747</v>
      </c>
      <c r="B1927">
        <v>40</v>
      </c>
      <c r="C1927" t="s">
        <v>839</v>
      </c>
    </row>
    <row r="1928" spans="1:3" hidden="1">
      <c r="A1928" t="s">
        <v>2748</v>
      </c>
      <c r="B1928">
        <v>16</v>
      </c>
      <c r="C1928" t="s">
        <v>839</v>
      </c>
    </row>
    <row r="1929" spans="1:3" hidden="1">
      <c r="A1929" t="s">
        <v>2749</v>
      </c>
      <c r="B1929">
        <v>12</v>
      </c>
      <c r="C1929" t="s">
        <v>839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ABF03-FCE4-4EA5-B54A-AFFDD52308E3}">
  <dimension ref="A2:H1946"/>
  <sheetViews>
    <sheetView tabSelected="1" topLeftCell="A271" zoomScale="85" zoomScaleNormal="85" workbookViewId="0">
      <selection activeCell="D719" sqref="D719"/>
    </sheetView>
  </sheetViews>
  <sheetFormatPr baseColWidth="10" defaultColWidth="11.59765625" defaultRowHeight="15"/>
  <cols>
    <col min="1" max="1" width="7.73046875" style="58" customWidth="1"/>
    <col min="2" max="2" width="10.1328125" style="58" customWidth="1"/>
    <col min="3" max="3" width="7.73046875" style="58" customWidth="1"/>
    <col min="4" max="4" width="167.1328125" style="59" customWidth="1"/>
    <col min="5" max="5" width="11.59765625" style="59"/>
    <col min="6" max="8" width="11.59765625" style="59" customWidth="1"/>
    <col min="9" max="16384" width="11.59765625" style="59"/>
  </cols>
  <sheetData>
    <row r="2" spans="1:8">
      <c r="A2" s="92" t="e" vm="1">
        <v>#VALUE!</v>
      </c>
      <c r="B2" s="92"/>
      <c r="C2" s="92"/>
      <c r="D2" s="93" t="s">
        <v>3827</v>
      </c>
      <c r="E2" s="93"/>
      <c r="F2" s="93"/>
      <c r="G2" s="93"/>
      <c r="H2" s="93"/>
    </row>
    <row r="3" spans="1:8">
      <c r="A3" s="92"/>
      <c r="B3" s="92"/>
      <c r="C3" s="92"/>
      <c r="D3" s="93"/>
      <c r="E3" s="93"/>
      <c r="F3" s="93"/>
      <c r="G3" s="93"/>
      <c r="H3" s="93"/>
    </row>
    <row r="4" spans="1:8">
      <c r="A4" s="92"/>
      <c r="B4" s="92"/>
      <c r="C4" s="92"/>
      <c r="D4" s="93"/>
      <c r="E4" s="93"/>
      <c r="F4" s="93"/>
      <c r="G4" s="93"/>
      <c r="H4" s="93"/>
    </row>
    <row r="5" spans="1:8">
      <c r="A5" s="92"/>
      <c r="B5" s="92"/>
      <c r="C5" s="92"/>
      <c r="D5" s="93"/>
      <c r="E5" s="93"/>
      <c r="F5" s="93"/>
      <c r="G5" s="93"/>
      <c r="H5" s="93"/>
    </row>
    <row r="6" spans="1:8">
      <c r="A6" s="92"/>
      <c r="B6" s="92"/>
      <c r="C6" s="92"/>
      <c r="D6" s="93"/>
      <c r="E6" s="93"/>
      <c r="F6" s="93"/>
      <c r="G6" s="93"/>
      <c r="H6" s="93"/>
    </row>
    <row r="7" spans="1:8">
      <c r="A7" s="92"/>
      <c r="B7" s="92"/>
      <c r="C7" s="92"/>
      <c r="D7" s="93"/>
      <c r="E7" s="93"/>
      <c r="F7" s="93"/>
      <c r="G7" s="93"/>
      <c r="H7" s="93"/>
    </row>
    <row r="9" spans="1:8" ht="18.75">
      <c r="A9" s="60" t="s">
        <v>7</v>
      </c>
      <c r="B9" s="60" t="s">
        <v>831</v>
      </c>
      <c r="C9" s="60" t="s">
        <v>834</v>
      </c>
      <c r="D9" s="60" t="s">
        <v>828</v>
      </c>
      <c r="E9" s="60" t="s">
        <v>829</v>
      </c>
      <c r="F9" s="60" t="s">
        <v>6</v>
      </c>
      <c r="G9" s="60" t="s">
        <v>3828</v>
      </c>
      <c r="H9" s="61" t="s">
        <v>3829</v>
      </c>
    </row>
    <row r="10" spans="1:8" ht="18.75">
      <c r="A10" s="62">
        <v>1</v>
      </c>
      <c r="B10" s="62">
        <v>0</v>
      </c>
      <c r="C10" s="62">
        <v>0</v>
      </c>
      <c r="D10" s="63" t="s">
        <v>2938</v>
      </c>
      <c r="E10" s="64"/>
      <c r="F10" s="63"/>
      <c r="G10" s="63"/>
      <c r="H10" s="65"/>
    </row>
    <row r="11" spans="1:8" ht="18.75">
      <c r="A11" s="66">
        <v>1</v>
      </c>
      <c r="B11" s="66">
        <v>1</v>
      </c>
      <c r="C11" s="66">
        <v>0</v>
      </c>
      <c r="D11" s="67" t="s">
        <v>2939</v>
      </c>
      <c r="E11" s="68"/>
      <c r="F11" s="68"/>
      <c r="G11" s="68"/>
      <c r="H11" s="69"/>
    </row>
    <row r="12" spans="1:8" ht="18.75">
      <c r="A12" s="70">
        <v>1</v>
      </c>
      <c r="B12" s="70">
        <v>1</v>
      </c>
      <c r="C12" s="70">
        <v>11</v>
      </c>
      <c r="D12" s="71" t="s">
        <v>2940</v>
      </c>
      <c r="E12" s="72" t="s">
        <v>829</v>
      </c>
      <c r="F12" s="73" t="str">
        <f>TEXT(A12,"00")&amp;TEXT(B12,"00")&amp;TEXT(C12,"00")</f>
        <v>010111</v>
      </c>
      <c r="G12" s="72" t="str">
        <f>TEXT(F12,"000000")</f>
        <v>010111</v>
      </c>
      <c r="H12" s="74" t="s">
        <v>3830</v>
      </c>
    </row>
    <row r="13" spans="1:8" ht="18.75">
      <c r="A13" s="62">
        <v>2</v>
      </c>
      <c r="B13" s="62">
        <v>0</v>
      </c>
      <c r="C13" s="62">
        <v>0</v>
      </c>
      <c r="D13" s="63" t="s">
        <v>832</v>
      </c>
      <c r="E13" s="64"/>
      <c r="F13" s="75"/>
      <c r="G13" s="76"/>
      <c r="H13" s="77"/>
    </row>
    <row r="14" spans="1:8" ht="18.75">
      <c r="A14" s="66">
        <v>2</v>
      </c>
      <c r="B14" s="66">
        <v>1</v>
      </c>
      <c r="C14" s="66">
        <v>0</v>
      </c>
      <c r="D14" s="67" t="s">
        <v>2765</v>
      </c>
      <c r="E14" s="68"/>
      <c r="F14" s="78"/>
      <c r="G14" s="79"/>
      <c r="H14" s="80"/>
    </row>
    <row r="15" spans="1:8" ht="18.75">
      <c r="A15" s="70">
        <v>2</v>
      </c>
      <c r="B15" s="70">
        <v>1</v>
      </c>
      <c r="C15" s="70">
        <v>9</v>
      </c>
      <c r="D15" s="71" t="s">
        <v>5795</v>
      </c>
      <c r="E15" s="72" t="s">
        <v>829</v>
      </c>
      <c r="F15" s="73" t="str">
        <f t="shared" ref="F15:F78" si="0">TEXT(A15,"00")&amp;TEXT(B15,"00")&amp;TEXT(C15,"00")</f>
        <v>020109</v>
      </c>
      <c r="G15" s="72" t="str">
        <f t="shared" ref="G15:G78" si="1">TEXT(F15,"000000")</f>
        <v>020109</v>
      </c>
      <c r="H15" s="74" t="s">
        <v>5796</v>
      </c>
    </row>
    <row r="16" spans="1:8" ht="18.75">
      <c r="A16" s="70">
        <v>2</v>
      </c>
      <c r="B16" s="70">
        <v>1</v>
      </c>
      <c r="C16" s="70">
        <v>10</v>
      </c>
      <c r="D16" s="71" t="s">
        <v>3014</v>
      </c>
      <c r="E16" s="72" t="s">
        <v>829</v>
      </c>
      <c r="F16" s="73" t="str">
        <f t="shared" si="0"/>
        <v>020110</v>
      </c>
      <c r="G16" s="72" t="str">
        <f t="shared" si="1"/>
        <v>020110</v>
      </c>
      <c r="H16" s="74" t="s">
        <v>3831</v>
      </c>
    </row>
    <row r="17" spans="1:8" ht="18.75">
      <c r="A17" s="70">
        <v>2</v>
      </c>
      <c r="B17" s="70">
        <v>1</v>
      </c>
      <c r="C17" s="70">
        <v>11</v>
      </c>
      <c r="D17" s="71" t="s">
        <v>3015</v>
      </c>
      <c r="E17" s="72" t="s">
        <v>829</v>
      </c>
      <c r="F17" s="73" t="str">
        <f t="shared" si="0"/>
        <v>020111</v>
      </c>
      <c r="G17" s="72" t="str">
        <f t="shared" si="1"/>
        <v>020111</v>
      </c>
      <c r="H17" s="74" t="s">
        <v>3832</v>
      </c>
    </row>
    <row r="18" spans="1:8" ht="18.75">
      <c r="A18" s="70">
        <v>2</v>
      </c>
      <c r="B18" s="70">
        <v>1</v>
      </c>
      <c r="C18" s="70">
        <v>12</v>
      </c>
      <c r="D18" s="71" t="s">
        <v>3016</v>
      </c>
      <c r="E18" s="72" t="s">
        <v>829</v>
      </c>
      <c r="F18" s="73" t="str">
        <f t="shared" si="0"/>
        <v>020112</v>
      </c>
      <c r="G18" s="72" t="str">
        <f t="shared" si="1"/>
        <v>020112</v>
      </c>
      <c r="H18" s="74" t="s">
        <v>3833</v>
      </c>
    </row>
    <row r="19" spans="1:8" ht="18.75">
      <c r="A19" s="70">
        <v>2</v>
      </c>
      <c r="B19" s="70">
        <v>1</v>
      </c>
      <c r="C19" s="70">
        <v>13</v>
      </c>
      <c r="D19" s="71" t="s">
        <v>3017</v>
      </c>
      <c r="E19" s="72" t="s">
        <v>829</v>
      </c>
      <c r="F19" s="73" t="str">
        <f t="shared" si="0"/>
        <v>020113</v>
      </c>
      <c r="G19" s="72" t="str">
        <f t="shared" si="1"/>
        <v>020113</v>
      </c>
      <c r="H19" s="74" t="s">
        <v>3834</v>
      </c>
    </row>
    <row r="20" spans="1:8" ht="18.75">
      <c r="A20" s="70">
        <v>2</v>
      </c>
      <c r="B20" s="70">
        <v>1</v>
      </c>
      <c r="C20" s="70">
        <v>14</v>
      </c>
      <c r="D20" s="71" t="s">
        <v>3018</v>
      </c>
      <c r="E20" s="72" t="s">
        <v>829</v>
      </c>
      <c r="F20" s="73" t="str">
        <f t="shared" si="0"/>
        <v>020114</v>
      </c>
      <c r="G20" s="72" t="str">
        <f t="shared" si="1"/>
        <v>020114</v>
      </c>
      <c r="H20" s="74" t="s">
        <v>3835</v>
      </c>
    </row>
    <row r="21" spans="1:8" ht="18.75">
      <c r="A21" s="70">
        <v>2</v>
      </c>
      <c r="B21" s="70">
        <v>1</v>
      </c>
      <c r="C21" s="70">
        <v>15</v>
      </c>
      <c r="D21" s="71" t="s">
        <v>3019</v>
      </c>
      <c r="E21" s="72" t="s">
        <v>829</v>
      </c>
      <c r="F21" s="73" t="str">
        <f t="shared" si="0"/>
        <v>020115</v>
      </c>
      <c r="G21" s="72" t="str">
        <f t="shared" si="1"/>
        <v>020115</v>
      </c>
      <c r="H21" s="74" t="s">
        <v>3836</v>
      </c>
    </row>
    <row r="22" spans="1:8" ht="18.75">
      <c r="A22" s="70">
        <v>2</v>
      </c>
      <c r="B22" s="70">
        <v>1</v>
      </c>
      <c r="C22" s="70">
        <v>16</v>
      </c>
      <c r="D22" s="71" t="s">
        <v>3020</v>
      </c>
      <c r="E22" s="72" t="s">
        <v>829</v>
      </c>
      <c r="F22" s="73" t="str">
        <f t="shared" si="0"/>
        <v>020116</v>
      </c>
      <c r="G22" s="72" t="str">
        <f t="shared" si="1"/>
        <v>020116</v>
      </c>
      <c r="H22" s="74" t="s">
        <v>3837</v>
      </c>
    </row>
    <row r="23" spans="1:8" ht="18.75">
      <c r="A23" s="70">
        <v>2</v>
      </c>
      <c r="B23" s="70">
        <v>1</v>
      </c>
      <c r="C23" s="70">
        <v>17</v>
      </c>
      <c r="D23" s="71" t="s">
        <v>3021</v>
      </c>
      <c r="E23" s="72" t="s">
        <v>829</v>
      </c>
      <c r="F23" s="73" t="str">
        <f t="shared" si="0"/>
        <v>020117</v>
      </c>
      <c r="G23" s="72" t="str">
        <f t="shared" si="1"/>
        <v>020117</v>
      </c>
      <c r="H23" s="74" t="s">
        <v>3838</v>
      </c>
    </row>
    <row r="24" spans="1:8" ht="18.75">
      <c r="A24" s="70">
        <v>2</v>
      </c>
      <c r="B24" s="70">
        <v>1</v>
      </c>
      <c r="C24" s="70">
        <v>18</v>
      </c>
      <c r="D24" s="71" t="s">
        <v>3022</v>
      </c>
      <c r="E24" s="72" t="s">
        <v>829</v>
      </c>
      <c r="F24" s="73" t="str">
        <f t="shared" si="0"/>
        <v>020118</v>
      </c>
      <c r="G24" s="72" t="str">
        <f t="shared" si="1"/>
        <v>020118</v>
      </c>
      <c r="H24" s="74" t="s">
        <v>3839</v>
      </c>
    </row>
    <row r="25" spans="1:8" ht="18.75">
      <c r="A25" s="70">
        <v>2</v>
      </c>
      <c r="B25" s="70">
        <v>1</v>
      </c>
      <c r="C25" s="70">
        <v>19</v>
      </c>
      <c r="D25" s="71" t="s">
        <v>3023</v>
      </c>
      <c r="E25" s="72" t="s">
        <v>829</v>
      </c>
      <c r="F25" s="73" t="str">
        <f t="shared" si="0"/>
        <v>020119</v>
      </c>
      <c r="G25" s="72" t="str">
        <f t="shared" si="1"/>
        <v>020119</v>
      </c>
      <c r="H25" s="74" t="s">
        <v>3840</v>
      </c>
    </row>
    <row r="26" spans="1:8" ht="18.75">
      <c r="A26" s="70">
        <v>2</v>
      </c>
      <c r="B26" s="70">
        <v>1</v>
      </c>
      <c r="C26" s="70">
        <v>20</v>
      </c>
      <c r="D26" s="71" t="s">
        <v>3024</v>
      </c>
      <c r="E26" s="72" t="s">
        <v>829</v>
      </c>
      <c r="F26" s="73" t="str">
        <f t="shared" si="0"/>
        <v>020120</v>
      </c>
      <c r="G26" s="72" t="str">
        <f t="shared" si="1"/>
        <v>020120</v>
      </c>
      <c r="H26" s="74" t="s">
        <v>3841</v>
      </c>
    </row>
    <row r="27" spans="1:8" ht="18.75">
      <c r="A27" s="70">
        <v>2</v>
      </c>
      <c r="B27" s="70">
        <v>1</v>
      </c>
      <c r="C27" s="70">
        <v>21</v>
      </c>
      <c r="D27" s="71" t="s">
        <v>3025</v>
      </c>
      <c r="E27" s="72" t="s">
        <v>829</v>
      </c>
      <c r="F27" s="73" t="str">
        <f t="shared" si="0"/>
        <v>020121</v>
      </c>
      <c r="G27" s="72" t="str">
        <f t="shared" si="1"/>
        <v>020121</v>
      </c>
      <c r="H27" s="74" t="s">
        <v>3842</v>
      </c>
    </row>
    <row r="28" spans="1:8" ht="18.75">
      <c r="A28" s="70">
        <v>2</v>
      </c>
      <c r="B28" s="70">
        <v>1</v>
      </c>
      <c r="C28" s="70">
        <v>22</v>
      </c>
      <c r="D28" s="71" t="s">
        <v>3026</v>
      </c>
      <c r="E28" s="72" t="s">
        <v>829</v>
      </c>
      <c r="F28" s="73" t="str">
        <f t="shared" si="0"/>
        <v>020122</v>
      </c>
      <c r="G28" s="72" t="str">
        <f t="shared" si="1"/>
        <v>020122</v>
      </c>
      <c r="H28" s="74" t="s">
        <v>3843</v>
      </c>
    </row>
    <row r="29" spans="1:8" ht="18.75">
      <c r="A29" s="70">
        <v>2</v>
      </c>
      <c r="B29" s="70">
        <v>1</v>
      </c>
      <c r="C29" s="70">
        <v>23</v>
      </c>
      <c r="D29" s="71" t="s">
        <v>3027</v>
      </c>
      <c r="E29" s="72" t="s">
        <v>829</v>
      </c>
      <c r="F29" s="73" t="str">
        <f t="shared" si="0"/>
        <v>020123</v>
      </c>
      <c r="G29" s="72" t="str">
        <f t="shared" si="1"/>
        <v>020123</v>
      </c>
      <c r="H29" s="74" t="s">
        <v>3844</v>
      </c>
    </row>
    <row r="30" spans="1:8" ht="18.75">
      <c r="A30" s="70">
        <v>2</v>
      </c>
      <c r="B30" s="70">
        <v>1</v>
      </c>
      <c r="C30" s="70">
        <v>24</v>
      </c>
      <c r="D30" s="71" t="s">
        <v>3028</v>
      </c>
      <c r="E30" s="72" t="s">
        <v>829</v>
      </c>
      <c r="F30" s="73" t="str">
        <f t="shared" si="0"/>
        <v>020124</v>
      </c>
      <c r="G30" s="72" t="str">
        <f t="shared" si="1"/>
        <v>020124</v>
      </c>
      <c r="H30" s="74" t="s">
        <v>3845</v>
      </c>
    </row>
    <row r="31" spans="1:8" ht="18.75">
      <c r="A31" s="70">
        <v>2</v>
      </c>
      <c r="B31" s="70">
        <v>1</v>
      </c>
      <c r="C31" s="70">
        <v>25</v>
      </c>
      <c r="D31" s="71" t="s">
        <v>3029</v>
      </c>
      <c r="E31" s="72" t="s">
        <v>829</v>
      </c>
      <c r="F31" s="73" t="str">
        <f t="shared" si="0"/>
        <v>020125</v>
      </c>
      <c r="G31" s="72" t="str">
        <f t="shared" si="1"/>
        <v>020125</v>
      </c>
      <c r="H31" s="74" t="s">
        <v>3846</v>
      </c>
    </row>
    <row r="32" spans="1:8" ht="18.75">
      <c r="A32" s="70">
        <v>2</v>
      </c>
      <c r="B32" s="70">
        <v>1</v>
      </c>
      <c r="C32" s="70">
        <v>26</v>
      </c>
      <c r="D32" s="71" t="s">
        <v>3030</v>
      </c>
      <c r="E32" s="72" t="s">
        <v>829</v>
      </c>
      <c r="F32" s="73" t="str">
        <f t="shared" si="0"/>
        <v>020126</v>
      </c>
      <c r="G32" s="72" t="str">
        <f t="shared" si="1"/>
        <v>020126</v>
      </c>
      <c r="H32" s="74" t="s">
        <v>3847</v>
      </c>
    </row>
    <row r="33" spans="1:8" ht="18.75">
      <c r="A33" s="70">
        <v>2</v>
      </c>
      <c r="B33" s="70">
        <v>1</v>
      </c>
      <c r="C33" s="70">
        <v>27</v>
      </c>
      <c r="D33" s="71" t="s">
        <v>3031</v>
      </c>
      <c r="E33" s="72" t="s">
        <v>829</v>
      </c>
      <c r="F33" s="73" t="str">
        <f t="shared" si="0"/>
        <v>020127</v>
      </c>
      <c r="G33" s="72" t="str">
        <f t="shared" si="1"/>
        <v>020127</v>
      </c>
      <c r="H33" s="74" t="s">
        <v>3848</v>
      </c>
    </row>
    <row r="34" spans="1:8" ht="18.75">
      <c r="A34" s="70">
        <v>2</v>
      </c>
      <c r="B34" s="70">
        <v>1</v>
      </c>
      <c r="C34" s="70">
        <v>28</v>
      </c>
      <c r="D34" s="71" t="s">
        <v>3032</v>
      </c>
      <c r="E34" s="72" t="s">
        <v>829</v>
      </c>
      <c r="F34" s="73" t="str">
        <f t="shared" si="0"/>
        <v>020128</v>
      </c>
      <c r="G34" s="72" t="str">
        <f t="shared" si="1"/>
        <v>020128</v>
      </c>
      <c r="H34" s="74" t="s">
        <v>3849</v>
      </c>
    </row>
    <row r="35" spans="1:8" ht="18.75">
      <c r="A35" s="70">
        <v>2</v>
      </c>
      <c r="B35" s="70">
        <v>1</v>
      </c>
      <c r="C35" s="70">
        <v>29</v>
      </c>
      <c r="D35" s="71" t="s">
        <v>3033</v>
      </c>
      <c r="E35" s="72" t="s">
        <v>829</v>
      </c>
      <c r="F35" s="73" t="str">
        <f t="shared" si="0"/>
        <v>020129</v>
      </c>
      <c r="G35" s="72" t="str">
        <f t="shared" si="1"/>
        <v>020129</v>
      </c>
      <c r="H35" s="74" t="s">
        <v>3850</v>
      </c>
    </row>
    <row r="36" spans="1:8" ht="18.75">
      <c r="A36" s="70">
        <v>2</v>
      </c>
      <c r="B36" s="70">
        <v>1</v>
      </c>
      <c r="C36" s="70">
        <v>31</v>
      </c>
      <c r="D36" s="71" t="s">
        <v>3034</v>
      </c>
      <c r="E36" s="72" t="s">
        <v>829</v>
      </c>
      <c r="F36" s="73" t="str">
        <f t="shared" si="0"/>
        <v>020131</v>
      </c>
      <c r="G36" s="72" t="str">
        <f t="shared" si="1"/>
        <v>020131</v>
      </c>
      <c r="H36" s="74" t="s">
        <v>3851</v>
      </c>
    </row>
    <row r="37" spans="1:8" ht="18.75">
      <c r="A37" s="70">
        <v>2</v>
      </c>
      <c r="B37" s="70">
        <v>1</v>
      </c>
      <c r="C37" s="70">
        <v>32</v>
      </c>
      <c r="D37" s="71" t="s">
        <v>3035</v>
      </c>
      <c r="E37" s="72" t="s">
        <v>829</v>
      </c>
      <c r="F37" s="73" t="str">
        <f t="shared" si="0"/>
        <v>020132</v>
      </c>
      <c r="G37" s="72" t="str">
        <f t="shared" si="1"/>
        <v>020132</v>
      </c>
      <c r="H37" s="74" t="s">
        <v>3852</v>
      </c>
    </row>
    <row r="38" spans="1:8" ht="18.75">
      <c r="A38" s="70">
        <v>2</v>
      </c>
      <c r="B38" s="70">
        <v>1</v>
      </c>
      <c r="C38" s="70">
        <v>33</v>
      </c>
      <c r="D38" s="71" t="s">
        <v>3036</v>
      </c>
      <c r="E38" s="72" t="s">
        <v>829</v>
      </c>
      <c r="F38" s="73" t="str">
        <f t="shared" si="0"/>
        <v>020133</v>
      </c>
      <c r="G38" s="72" t="str">
        <f t="shared" si="1"/>
        <v>020133</v>
      </c>
      <c r="H38" s="74" t="s">
        <v>3853</v>
      </c>
    </row>
    <row r="39" spans="1:8" ht="18.75">
      <c r="A39" s="70">
        <v>2</v>
      </c>
      <c r="B39" s="70">
        <v>1</v>
      </c>
      <c r="C39" s="70">
        <v>34</v>
      </c>
      <c r="D39" s="71" t="s">
        <v>3037</v>
      </c>
      <c r="E39" s="72" t="s">
        <v>829</v>
      </c>
      <c r="F39" s="73" t="str">
        <f t="shared" si="0"/>
        <v>020134</v>
      </c>
      <c r="G39" s="72" t="str">
        <f t="shared" si="1"/>
        <v>020134</v>
      </c>
      <c r="H39" s="74" t="s">
        <v>3854</v>
      </c>
    </row>
    <row r="40" spans="1:8" ht="18.75">
      <c r="A40" s="70">
        <v>2</v>
      </c>
      <c r="B40" s="70">
        <v>1</v>
      </c>
      <c r="C40" s="70">
        <v>35</v>
      </c>
      <c r="D40" s="71" t="s">
        <v>3038</v>
      </c>
      <c r="E40" s="72" t="s">
        <v>829</v>
      </c>
      <c r="F40" s="73" t="str">
        <f t="shared" si="0"/>
        <v>020135</v>
      </c>
      <c r="G40" s="72" t="str">
        <f t="shared" si="1"/>
        <v>020135</v>
      </c>
      <c r="H40" s="74" t="s">
        <v>3855</v>
      </c>
    </row>
    <row r="41" spans="1:8" ht="18.75">
      <c r="A41" s="70">
        <v>2</v>
      </c>
      <c r="B41" s="70">
        <v>1</v>
      </c>
      <c r="C41" s="70">
        <v>36</v>
      </c>
      <c r="D41" s="71" t="s">
        <v>3039</v>
      </c>
      <c r="E41" s="72" t="s">
        <v>829</v>
      </c>
      <c r="F41" s="73" t="str">
        <f t="shared" si="0"/>
        <v>020136</v>
      </c>
      <c r="G41" s="72" t="str">
        <f t="shared" si="1"/>
        <v>020136</v>
      </c>
      <c r="H41" s="74" t="s">
        <v>3856</v>
      </c>
    </row>
    <row r="42" spans="1:8" ht="18.75">
      <c r="A42" s="70">
        <v>2</v>
      </c>
      <c r="B42" s="70">
        <v>1</v>
      </c>
      <c r="C42" s="70">
        <v>37</v>
      </c>
      <c r="D42" s="71" t="s">
        <v>3040</v>
      </c>
      <c r="E42" s="72" t="s">
        <v>829</v>
      </c>
      <c r="F42" s="73" t="str">
        <f t="shared" si="0"/>
        <v>020137</v>
      </c>
      <c r="G42" s="72" t="str">
        <f t="shared" si="1"/>
        <v>020137</v>
      </c>
      <c r="H42" s="74" t="s">
        <v>3857</v>
      </c>
    </row>
    <row r="43" spans="1:8" ht="18.75">
      <c r="A43" s="70">
        <v>2</v>
      </c>
      <c r="B43" s="70">
        <v>1</v>
      </c>
      <c r="C43" s="70">
        <v>38</v>
      </c>
      <c r="D43" s="71" t="s">
        <v>3041</v>
      </c>
      <c r="E43" s="72" t="s">
        <v>829</v>
      </c>
      <c r="F43" s="73" t="str">
        <f t="shared" si="0"/>
        <v>020138</v>
      </c>
      <c r="G43" s="72" t="str">
        <f t="shared" si="1"/>
        <v>020138</v>
      </c>
      <c r="H43" s="74" t="s">
        <v>3858</v>
      </c>
    </row>
    <row r="44" spans="1:8" ht="18.75">
      <c r="A44" s="70">
        <v>2</v>
      </c>
      <c r="B44" s="70">
        <v>1</v>
      </c>
      <c r="C44" s="70">
        <v>39</v>
      </c>
      <c r="D44" s="71" t="s">
        <v>3042</v>
      </c>
      <c r="E44" s="72" t="s">
        <v>829</v>
      </c>
      <c r="F44" s="73" t="str">
        <f t="shared" si="0"/>
        <v>020139</v>
      </c>
      <c r="G44" s="72" t="str">
        <f t="shared" si="1"/>
        <v>020139</v>
      </c>
      <c r="H44" s="74" t="s">
        <v>3859</v>
      </c>
    </row>
    <row r="45" spans="1:8" ht="18.75">
      <c r="A45" s="70">
        <v>2</v>
      </c>
      <c r="B45" s="70">
        <v>1</v>
      </c>
      <c r="C45" s="70">
        <v>40</v>
      </c>
      <c r="D45" s="71" t="s">
        <v>3043</v>
      </c>
      <c r="E45" s="72" t="s">
        <v>829</v>
      </c>
      <c r="F45" s="73" t="str">
        <f t="shared" si="0"/>
        <v>020140</v>
      </c>
      <c r="G45" s="72" t="str">
        <f t="shared" si="1"/>
        <v>020140</v>
      </c>
      <c r="H45" s="74" t="s">
        <v>3860</v>
      </c>
    </row>
    <row r="46" spans="1:8" ht="18.75">
      <c r="A46" s="70">
        <v>2</v>
      </c>
      <c r="B46" s="70">
        <v>1</v>
      </c>
      <c r="C46" s="70">
        <v>41</v>
      </c>
      <c r="D46" s="71" t="s">
        <v>3044</v>
      </c>
      <c r="E46" s="72" t="s">
        <v>829</v>
      </c>
      <c r="F46" s="73" t="str">
        <f t="shared" si="0"/>
        <v>020141</v>
      </c>
      <c r="G46" s="72" t="str">
        <f t="shared" si="1"/>
        <v>020141</v>
      </c>
      <c r="H46" s="74" t="s">
        <v>3861</v>
      </c>
    </row>
    <row r="47" spans="1:8" ht="18.75">
      <c r="A47" s="70">
        <v>2</v>
      </c>
      <c r="B47" s="70">
        <v>1</v>
      </c>
      <c r="C47" s="70">
        <v>42</v>
      </c>
      <c r="D47" s="71" t="s">
        <v>3045</v>
      </c>
      <c r="E47" s="72" t="s">
        <v>829</v>
      </c>
      <c r="F47" s="73" t="str">
        <f t="shared" si="0"/>
        <v>020142</v>
      </c>
      <c r="G47" s="72" t="str">
        <f t="shared" si="1"/>
        <v>020142</v>
      </c>
      <c r="H47" s="74" t="s">
        <v>3862</v>
      </c>
    </row>
    <row r="48" spans="1:8" ht="18.75">
      <c r="A48" s="70">
        <v>2</v>
      </c>
      <c r="B48" s="70">
        <v>1</v>
      </c>
      <c r="C48" s="70">
        <v>43</v>
      </c>
      <c r="D48" s="71" t="s">
        <v>3046</v>
      </c>
      <c r="E48" s="72" t="s">
        <v>829</v>
      </c>
      <c r="F48" s="73" t="str">
        <f t="shared" si="0"/>
        <v>020143</v>
      </c>
      <c r="G48" s="72" t="str">
        <f t="shared" si="1"/>
        <v>020143</v>
      </c>
      <c r="H48" s="74" t="s">
        <v>3863</v>
      </c>
    </row>
    <row r="49" spans="1:8" ht="18.75">
      <c r="A49" s="70">
        <v>2</v>
      </c>
      <c r="B49" s="70">
        <v>1</v>
      </c>
      <c r="C49" s="70">
        <v>44</v>
      </c>
      <c r="D49" s="71" t="s">
        <v>3047</v>
      </c>
      <c r="E49" s="72" t="s">
        <v>829</v>
      </c>
      <c r="F49" s="73" t="str">
        <f t="shared" si="0"/>
        <v>020144</v>
      </c>
      <c r="G49" s="72" t="str">
        <f t="shared" si="1"/>
        <v>020144</v>
      </c>
      <c r="H49" s="74" t="s">
        <v>3864</v>
      </c>
    </row>
    <row r="50" spans="1:8" ht="18.75">
      <c r="A50" s="70">
        <v>2</v>
      </c>
      <c r="B50" s="70">
        <v>1</v>
      </c>
      <c r="C50" s="70">
        <v>51</v>
      </c>
      <c r="D50" s="71" t="s">
        <v>2773</v>
      </c>
      <c r="E50" s="72" t="s">
        <v>829</v>
      </c>
      <c r="F50" s="73" t="str">
        <f t="shared" si="0"/>
        <v>020151</v>
      </c>
      <c r="G50" s="72" t="str">
        <f t="shared" si="1"/>
        <v>020151</v>
      </c>
      <c r="H50" s="74" t="s">
        <v>3865</v>
      </c>
    </row>
    <row r="51" spans="1:8" ht="18.75">
      <c r="A51" s="70">
        <v>2</v>
      </c>
      <c r="B51" s="70">
        <v>1</v>
      </c>
      <c r="C51" s="70">
        <v>52</v>
      </c>
      <c r="D51" s="71" t="s">
        <v>2775</v>
      </c>
      <c r="E51" s="72" t="s">
        <v>829</v>
      </c>
      <c r="F51" s="73" t="str">
        <f t="shared" si="0"/>
        <v>020152</v>
      </c>
      <c r="G51" s="72" t="str">
        <f t="shared" si="1"/>
        <v>020152</v>
      </c>
      <c r="H51" s="74" t="s">
        <v>3866</v>
      </c>
    </row>
    <row r="52" spans="1:8" ht="18.75">
      <c r="A52" s="70">
        <v>2</v>
      </c>
      <c r="B52" s="70">
        <v>1</v>
      </c>
      <c r="C52" s="70">
        <v>53</v>
      </c>
      <c r="D52" s="71" t="s">
        <v>2772</v>
      </c>
      <c r="E52" s="72" t="s">
        <v>829</v>
      </c>
      <c r="F52" s="73" t="str">
        <f t="shared" si="0"/>
        <v>020153</v>
      </c>
      <c r="G52" s="72" t="str">
        <f t="shared" si="1"/>
        <v>020153</v>
      </c>
      <c r="H52" s="74" t="s">
        <v>3867</v>
      </c>
    </row>
    <row r="53" spans="1:8" ht="18.75">
      <c r="A53" s="70">
        <v>2</v>
      </c>
      <c r="B53" s="70">
        <v>1</v>
      </c>
      <c r="C53" s="70">
        <v>54</v>
      </c>
      <c r="D53" s="71" t="s">
        <v>2776</v>
      </c>
      <c r="E53" s="72" t="s">
        <v>829</v>
      </c>
      <c r="F53" s="73" t="str">
        <f t="shared" si="0"/>
        <v>020154</v>
      </c>
      <c r="G53" s="72" t="str">
        <f t="shared" si="1"/>
        <v>020154</v>
      </c>
      <c r="H53" s="74" t="s">
        <v>3868</v>
      </c>
    </row>
    <row r="54" spans="1:8" ht="18.75">
      <c r="A54" s="70">
        <v>2</v>
      </c>
      <c r="B54" s="70">
        <v>1</v>
      </c>
      <c r="C54" s="70">
        <v>55</v>
      </c>
      <c r="D54" s="71" t="s">
        <v>2777</v>
      </c>
      <c r="E54" s="72" t="s">
        <v>829</v>
      </c>
      <c r="F54" s="73" t="str">
        <f t="shared" si="0"/>
        <v>020155</v>
      </c>
      <c r="G54" s="72" t="str">
        <f t="shared" si="1"/>
        <v>020155</v>
      </c>
      <c r="H54" s="74" t="s">
        <v>3869</v>
      </c>
    </row>
    <row r="55" spans="1:8" ht="18.75">
      <c r="A55" s="70">
        <v>2</v>
      </c>
      <c r="B55" s="70">
        <v>1</v>
      </c>
      <c r="C55" s="70">
        <v>56</v>
      </c>
      <c r="D55" s="71" t="s">
        <v>2784</v>
      </c>
      <c r="E55" s="72" t="s">
        <v>829</v>
      </c>
      <c r="F55" s="73" t="str">
        <f t="shared" si="0"/>
        <v>020156</v>
      </c>
      <c r="G55" s="72" t="str">
        <f t="shared" si="1"/>
        <v>020156</v>
      </c>
      <c r="H55" s="74" t="s">
        <v>3870</v>
      </c>
    </row>
    <row r="56" spans="1:8" ht="18.75">
      <c r="A56" s="70">
        <v>2</v>
      </c>
      <c r="B56" s="70">
        <v>1</v>
      </c>
      <c r="C56" s="70">
        <v>57</v>
      </c>
      <c r="D56" s="71" t="s">
        <v>2778</v>
      </c>
      <c r="E56" s="72" t="s">
        <v>829</v>
      </c>
      <c r="F56" s="73" t="str">
        <f t="shared" si="0"/>
        <v>020157</v>
      </c>
      <c r="G56" s="72" t="str">
        <f t="shared" si="1"/>
        <v>020157</v>
      </c>
      <c r="H56" s="74" t="s">
        <v>3871</v>
      </c>
    </row>
    <row r="57" spans="1:8" ht="18.75">
      <c r="A57" s="70">
        <v>2</v>
      </c>
      <c r="B57" s="70">
        <v>1</v>
      </c>
      <c r="C57" s="70">
        <v>58</v>
      </c>
      <c r="D57" s="71" t="s">
        <v>2779</v>
      </c>
      <c r="E57" s="72" t="s">
        <v>829</v>
      </c>
      <c r="F57" s="73" t="str">
        <f t="shared" si="0"/>
        <v>020158</v>
      </c>
      <c r="G57" s="72" t="str">
        <f t="shared" si="1"/>
        <v>020158</v>
      </c>
      <c r="H57" s="74" t="s">
        <v>3872</v>
      </c>
    </row>
    <row r="58" spans="1:8" ht="18.75">
      <c r="A58" s="70">
        <v>2</v>
      </c>
      <c r="B58" s="70">
        <v>1</v>
      </c>
      <c r="C58" s="70">
        <v>59</v>
      </c>
      <c r="D58" s="71" t="s">
        <v>2780</v>
      </c>
      <c r="E58" s="72" t="s">
        <v>829</v>
      </c>
      <c r="F58" s="73" t="str">
        <f t="shared" si="0"/>
        <v>020159</v>
      </c>
      <c r="G58" s="72" t="str">
        <f t="shared" si="1"/>
        <v>020159</v>
      </c>
      <c r="H58" s="74" t="s">
        <v>3873</v>
      </c>
    </row>
    <row r="59" spans="1:8" ht="18.75">
      <c r="A59" s="70">
        <v>2</v>
      </c>
      <c r="B59" s="70">
        <v>1</v>
      </c>
      <c r="C59" s="70">
        <v>60</v>
      </c>
      <c r="D59" s="71" t="s">
        <v>2781</v>
      </c>
      <c r="E59" s="72" t="s">
        <v>829</v>
      </c>
      <c r="F59" s="73" t="str">
        <f t="shared" si="0"/>
        <v>020160</v>
      </c>
      <c r="G59" s="72" t="str">
        <f t="shared" si="1"/>
        <v>020160</v>
      </c>
      <c r="H59" s="74" t="s">
        <v>3874</v>
      </c>
    </row>
    <row r="60" spans="1:8" ht="18.75">
      <c r="A60" s="70">
        <v>2</v>
      </c>
      <c r="B60" s="70">
        <v>1</v>
      </c>
      <c r="C60" s="70">
        <v>61</v>
      </c>
      <c r="D60" s="71" t="s">
        <v>2782</v>
      </c>
      <c r="E60" s="72" t="s">
        <v>829</v>
      </c>
      <c r="F60" s="73" t="str">
        <f t="shared" si="0"/>
        <v>020161</v>
      </c>
      <c r="G60" s="72" t="str">
        <f t="shared" si="1"/>
        <v>020161</v>
      </c>
      <c r="H60" s="74" t="s">
        <v>3875</v>
      </c>
    </row>
    <row r="61" spans="1:8" ht="18.75">
      <c r="A61" s="70">
        <v>2</v>
      </c>
      <c r="B61" s="70">
        <v>1</v>
      </c>
      <c r="C61" s="70">
        <v>62</v>
      </c>
      <c r="D61" s="71" t="s">
        <v>2783</v>
      </c>
      <c r="E61" s="72" t="s">
        <v>829</v>
      </c>
      <c r="F61" s="73" t="str">
        <f t="shared" si="0"/>
        <v>020162</v>
      </c>
      <c r="G61" s="72" t="str">
        <f t="shared" si="1"/>
        <v>020162</v>
      </c>
      <c r="H61" s="74" t="s">
        <v>3876</v>
      </c>
    </row>
    <row r="62" spans="1:8" ht="18.75">
      <c r="A62" s="70">
        <v>2</v>
      </c>
      <c r="B62" s="70">
        <v>1</v>
      </c>
      <c r="C62" s="70">
        <v>71</v>
      </c>
      <c r="D62" s="71" t="s">
        <v>3048</v>
      </c>
      <c r="E62" s="72" t="s">
        <v>829</v>
      </c>
      <c r="F62" s="73" t="str">
        <f t="shared" si="0"/>
        <v>020171</v>
      </c>
      <c r="G62" s="72" t="str">
        <f t="shared" si="1"/>
        <v>020171</v>
      </c>
      <c r="H62" s="74" t="s">
        <v>3877</v>
      </c>
    </row>
    <row r="63" spans="1:8" ht="18.75">
      <c r="A63" s="70">
        <v>2</v>
      </c>
      <c r="B63" s="70">
        <v>1</v>
      </c>
      <c r="C63" s="70">
        <v>72</v>
      </c>
      <c r="D63" s="71" t="s">
        <v>3049</v>
      </c>
      <c r="E63" s="72" t="s">
        <v>829</v>
      </c>
      <c r="F63" s="73" t="str">
        <f t="shared" si="0"/>
        <v>020172</v>
      </c>
      <c r="G63" s="72" t="str">
        <f t="shared" si="1"/>
        <v>020172</v>
      </c>
      <c r="H63" s="74" t="s">
        <v>3878</v>
      </c>
    </row>
    <row r="64" spans="1:8" ht="18.75">
      <c r="A64" s="70">
        <v>2</v>
      </c>
      <c r="B64" s="70">
        <v>1</v>
      </c>
      <c r="C64" s="70">
        <v>73</v>
      </c>
      <c r="D64" s="71" t="s">
        <v>3050</v>
      </c>
      <c r="E64" s="72" t="s">
        <v>829</v>
      </c>
      <c r="F64" s="73" t="str">
        <f t="shared" si="0"/>
        <v>020173</v>
      </c>
      <c r="G64" s="72" t="str">
        <f t="shared" si="1"/>
        <v>020173</v>
      </c>
      <c r="H64" s="74" t="s">
        <v>3879</v>
      </c>
    </row>
    <row r="65" spans="1:8" ht="18.75">
      <c r="A65" s="70">
        <v>2</v>
      </c>
      <c r="B65" s="70">
        <v>1</v>
      </c>
      <c r="C65" s="70">
        <v>74</v>
      </c>
      <c r="D65" s="71" t="s">
        <v>3051</v>
      </c>
      <c r="E65" s="72" t="s">
        <v>829</v>
      </c>
      <c r="F65" s="73" t="str">
        <f t="shared" si="0"/>
        <v>020174</v>
      </c>
      <c r="G65" s="72" t="str">
        <f t="shared" si="1"/>
        <v>020174</v>
      </c>
      <c r="H65" s="74" t="s">
        <v>3880</v>
      </c>
    </row>
    <row r="66" spans="1:8" ht="18.75">
      <c r="A66" s="70">
        <v>2</v>
      </c>
      <c r="B66" s="70">
        <v>1</v>
      </c>
      <c r="C66" s="70">
        <v>75</v>
      </c>
      <c r="D66" s="71" t="s">
        <v>3052</v>
      </c>
      <c r="E66" s="72" t="s">
        <v>829</v>
      </c>
      <c r="F66" s="73" t="str">
        <f t="shared" si="0"/>
        <v>020175</v>
      </c>
      <c r="G66" s="72" t="str">
        <f t="shared" si="1"/>
        <v>020175</v>
      </c>
      <c r="H66" s="74" t="s">
        <v>3881</v>
      </c>
    </row>
    <row r="67" spans="1:8" ht="18.75">
      <c r="A67" s="70">
        <v>2</v>
      </c>
      <c r="B67" s="70">
        <v>1</v>
      </c>
      <c r="C67" s="70">
        <v>76</v>
      </c>
      <c r="D67" s="71" t="s">
        <v>3053</v>
      </c>
      <c r="E67" s="72" t="s">
        <v>829</v>
      </c>
      <c r="F67" s="73" t="str">
        <f t="shared" si="0"/>
        <v>020176</v>
      </c>
      <c r="G67" s="72" t="str">
        <f t="shared" si="1"/>
        <v>020176</v>
      </c>
      <c r="H67" s="74" t="s">
        <v>3882</v>
      </c>
    </row>
    <row r="68" spans="1:8" ht="18.75">
      <c r="A68" s="70">
        <v>2</v>
      </c>
      <c r="B68" s="70">
        <v>1</v>
      </c>
      <c r="C68" s="70">
        <v>77</v>
      </c>
      <c r="D68" s="71" t="s">
        <v>3054</v>
      </c>
      <c r="E68" s="72" t="s">
        <v>829</v>
      </c>
      <c r="F68" s="73" t="str">
        <f t="shared" si="0"/>
        <v>020177</v>
      </c>
      <c r="G68" s="72" t="str">
        <f t="shared" si="1"/>
        <v>020177</v>
      </c>
      <c r="H68" s="74" t="s">
        <v>3883</v>
      </c>
    </row>
    <row r="69" spans="1:8" ht="18.75">
      <c r="A69" s="70">
        <v>2</v>
      </c>
      <c r="B69" s="70">
        <v>1</v>
      </c>
      <c r="C69" s="70">
        <v>78</v>
      </c>
      <c r="D69" s="71" t="s">
        <v>3055</v>
      </c>
      <c r="E69" s="72" t="s">
        <v>829</v>
      </c>
      <c r="F69" s="73" t="str">
        <f t="shared" si="0"/>
        <v>020178</v>
      </c>
      <c r="G69" s="72" t="str">
        <f t="shared" si="1"/>
        <v>020178</v>
      </c>
      <c r="H69" s="74" t="s">
        <v>3884</v>
      </c>
    </row>
    <row r="70" spans="1:8" ht="18.75">
      <c r="A70" s="70">
        <v>2</v>
      </c>
      <c r="B70" s="70">
        <v>1</v>
      </c>
      <c r="C70" s="70">
        <v>79</v>
      </c>
      <c r="D70" s="71" t="s">
        <v>3056</v>
      </c>
      <c r="E70" s="72" t="s">
        <v>829</v>
      </c>
      <c r="F70" s="73" t="str">
        <f t="shared" si="0"/>
        <v>020179</v>
      </c>
      <c r="G70" s="72" t="str">
        <f t="shared" si="1"/>
        <v>020179</v>
      </c>
      <c r="H70" s="74" t="s">
        <v>3885</v>
      </c>
    </row>
    <row r="71" spans="1:8" ht="18.75">
      <c r="A71" s="70">
        <v>2</v>
      </c>
      <c r="B71" s="70">
        <v>1</v>
      </c>
      <c r="C71" s="70">
        <v>80</v>
      </c>
      <c r="D71" s="71" t="s">
        <v>3057</v>
      </c>
      <c r="E71" s="72" t="s">
        <v>829</v>
      </c>
      <c r="F71" s="73" t="str">
        <f t="shared" si="0"/>
        <v>020180</v>
      </c>
      <c r="G71" s="72" t="str">
        <f t="shared" si="1"/>
        <v>020180</v>
      </c>
      <c r="H71" s="74" t="s">
        <v>3886</v>
      </c>
    </row>
    <row r="72" spans="1:8" ht="18.75">
      <c r="A72" s="70">
        <v>2</v>
      </c>
      <c r="B72" s="70">
        <v>1</v>
      </c>
      <c r="C72" s="70">
        <v>81</v>
      </c>
      <c r="D72" s="71" t="s">
        <v>3058</v>
      </c>
      <c r="E72" s="72" t="s">
        <v>829</v>
      </c>
      <c r="F72" s="73" t="str">
        <f t="shared" si="0"/>
        <v>020181</v>
      </c>
      <c r="G72" s="72" t="str">
        <f t="shared" si="1"/>
        <v>020181</v>
      </c>
      <c r="H72" s="74" t="s">
        <v>3887</v>
      </c>
    </row>
    <row r="73" spans="1:8" ht="18.75">
      <c r="A73" s="70">
        <v>2</v>
      </c>
      <c r="B73" s="70">
        <v>1</v>
      </c>
      <c r="C73" s="70">
        <v>82</v>
      </c>
      <c r="D73" s="71" t="s">
        <v>3059</v>
      </c>
      <c r="E73" s="72" t="s">
        <v>829</v>
      </c>
      <c r="F73" s="73" t="str">
        <f t="shared" si="0"/>
        <v>020182</v>
      </c>
      <c r="G73" s="72" t="str">
        <f t="shared" si="1"/>
        <v>020182</v>
      </c>
      <c r="H73" s="74" t="s">
        <v>3888</v>
      </c>
    </row>
    <row r="74" spans="1:8" ht="18.75">
      <c r="A74" s="70">
        <v>2</v>
      </c>
      <c r="B74" s="70">
        <v>1</v>
      </c>
      <c r="C74" s="70">
        <v>83</v>
      </c>
      <c r="D74" s="71" t="s">
        <v>3060</v>
      </c>
      <c r="E74" s="72" t="s">
        <v>829</v>
      </c>
      <c r="F74" s="73" t="str">
        <f t="shared" si="0"/>
        <v>020183</v>
      </c>
      <c r="G74" s="72" t="str">
        <f t="shared" si="1"/>
        <v>020183</v>
      </c>
      <c r="H74" s="74" t="s">
        <v>3889</v>
      </c>
    </row>
    <row r="75" spans="1:8" ht="18.75">
      <c r="A75" s="70">
        <v>2</v>
      </c>
      <c r="B75" s="70">
        <v>1</v>
      </c>
      <c r="C75" s="70">
        <v>84</v>
      </c>
      <c r="D75" s="71" t="s">
        <v>3061</v>
      </c>
      <c r="E75" s="72" t="s">
        <v>829</v>
      </c>
      <c r="F75" s="73" t="str">
        <f t="shared" si="0"/>
        <v>020184</v>
      </c>
      <c r="G75" s="72" t="str">
        <f t="shared" si="1"/>
        <v>020184</v>
      </c>
      <c r="H75" s="74" t="s">
        <v>3890</v>
      </c>
    </row>
    <row r="76" spans="1:8" ht="18.75">
      <c r="A76" s="70">
        <v>2</v>
      </c>
      <c r="B76" s="70">
        <v>1</v>
      </c>
      <c r="C76" s="70">
        <v>91</v>
      </c>
      <c r="D76" s="71" t="s">
        <v>3062</v>
      </c>
      <c r="E76" s="72" t="s">
        <v>3891</v>
      </c>
      <c r="F76" s="73" t="str">
        <f t="shared" si="0"/>
        <v>020191</v>
      </c>
      <c r="G76" s="72" t="str">
        <f t="shared" si="1"/>
        <v>020191</v>
      </c>
      <c r="H76" s="74" t="s">
        <v>3892</v>
      </c>
    </row>
    <row r="77" spans="1:8" ht="18.75">
      <c r="A77" s="70">
        <v>2</v>
      </c>
      <c r="B77" s="70">
        <v>1</v>
      </c>
      <c r="C77" s="70">
        <v>92</v>
      </c>
      <c r="D77" s="71" t="s">
        <v>3063</v>
      </c>
      <c r="E77" s="72" t="s">
        <v>3891</v>
      </c>
      <c r="F77" s="73" t="str">
        <f t="shared" si="0"/>
        <v>020192</v>
      </c>
      <c r="G77" s="72" t="str">
        <f t="shared" si="1"/>
        <v>020192</v>
      </c>
      <c r="H77" s="74" t="s">
        <v>3893</v>
      </c>
    </row>
    <row r="78" spans="1:8" ht="18.75">
      <c r="A78" s="70">
        <v>2</v>
      </c>
      <c r="B78" s="70">
        <v>1</v>
      </c>
      <c r="C78" s="70">
        <v>93</v>
      </c>
      <c r="D78" s="71" t="s">
        <v>3064</v>
      </c>
      <c r="E78" s="72" t="s">
        <v>3891</v>
      </c>
      <c r="F78" s="73" t="str">
        <f t="shared" si="0"/>
        <v>020193</v>
      </c>
      <c r="G78" s="72" t="str">
        <f t="shared" si="1"/>
        <v>020193</v>
      </c>
      <c r="H78" s="74" t="s">
        <v>3894</v>
      </c>
    </row>
    <row r="79" spans="1:8" ht="18.75">
      <c r="A79" s="70">
        <v>2</v>
      </c>
      <c r="B79" s="70">
        <v>1</v>
      </c>
      <c r="C79" s="70">
        <v>94</v>
      </c>
      <c r="D79" s="71" t="s">
        <v>3065</v>
      </c>
      <c r="E79" s="72" t="s">
        <v>3891</v>
      </c>
      <c r="F79" s="73" t="str">
        <f t="shared" ref="F79:F84" si="2">TEXT(A79,"00")&amp;TEXT(B79,"00")&amp;TEXT(C79,"00")</f>
        <v>020194</v>
      </c>
      <c r="G79" s="72" t="str">
        <f t="shared" ref="G79:G84" si="3">TEXT(F79,"000000")</f>
        <v>020194</v>
      </c>
      <c r="H79" s="74" t="s">
        <v>3895</v>
      </c>
    </row>
    <row r="80" spans="1:8" ht="18.75">
      <c r="A80" s="70">
        <v>2</v>
      </c>
      <c r="B80" s="70">
        <v>1</v>
      </c>
      <c r="C80" s="70">
        <v>95</v>
      </c>
      <c r="D80" s="71" t="s">
        <v>3066</v>
      </c>
      <c r="E80" s="72" t="s">
        <v>3891</v>
      </c>
      <c r="F80" s="73" t="str">
        <f t="shared" si="2"/>
        <v>020195</v>
      </c>
      <c r="G80" s="72" t="str">
        <f t="shared" si="3"/>
        <v>020195</v>
      </c>
      <c r="H80" s="74" t="s">
        <v>3896</v>
      </c>
    </row>
    <row r="81" spans="1:8" ht="18.75">
      <c r="A81" s="70">
        <v>2</v>
      </c>
      <c r="B81" s="70">
        <v>1</v>
      </c>
      <c r="C81" s="70">
        <v>96</v>
      </c>
      <c r="D81" s="71" t="s">
        <v>3067</v>
      </c>
      <c r="E81" s="72" t="s">
        <v>3891</v>
      </c>
      <c r="F81" s="73" t="str">
        <f t="shared" si="2"/>
        <v>020196</v>
      </c>
      <c r="G81" s="72" t="str">
        <f t="shared" si="3"/>
        <v>020196</v>
      </c>
      <c r="H81" s="74" t="s">
        <v>3897</v>
      </c>
    </row>
    <row r="82" spans="1:8" ht="18.75">
      <c r="A82" s="70">
        <v>2</v>
      </c>
      <c r="B82" s="70">
        <v>1</v>
      </c>
      <c r="C82" s="70">
        <v>97</v>
      </c>
      <c r="D82" s="71" t="s">
        <v>3068</v>
      </c>
      <c r="E82" s="72" t="s">
        <v>3891</v>
      </c>
      <c r="F82" s="73" t="str">
        <f t="shared" si="2"/>
        <v>020197</v>
      </c>
      <c r="G82" s="72" t="str">
        <f t="shared" si="3"/>
        <v>020197</v>
      </c>
      <c r="H82" s="74" t="s">
        <v>3898</v>
      </c>
    </row>
    <row r="83" spans="1:8" ht="18.75">
      <c r="A83" s="70">
        <v>2</v>
      </c>
      <c r="B83" s="70">
        <v>1</v>
      </c>
      <c r="C83" s="70">
        <v>98</v>
      </c>
      <c r="D83" s="71" t="s">
        <v>3069</v>
      </c>
      <c r="E83" s="72" t="s">
        <v>3891</v>
      </c>
      <c r="F83" s="73" t="str">
        <f t="shared" si="2"/>
        <v>020198</v>
      </c>
      <c r="G83" s="72" t="str">
        <f t="shared" si="3"/>
        <v>020198</v>
      </c>
      <c r="H83" s="74" t="s">
        <v>3899</v>
      </c>
    </row>
    <row r="84" spans="1:8" ht="18.75">
      <c r="A84" s="70">
        <v>2</v>
      </c>
      <c r="B84" s="70">
        <v>1</v>
      </c>
      <c r="C84" s="70">
        <v>99</v>
      </c>
      <c r="D84" s="71" t="s">
        <v>3070</v>
      </c>
      <c r="E84" s="72" t="s">
        <v>3891</v>
      </c>
      <c r="F84" s="73" t="str">
        <f t="shared" si="2"/>
        <v>020199</v>
      </c>
      <c r="G84" s="72" t="str">
        <f t="shared" si="3"/>
        <v>020199</v>
      </c>
      <c r="H84" s="74" t="s">
        <v>3900</v>
      </c>
    </row>
    <row r="85" spans="1:8" ht="18.75">
      <c r="A85" s="66">
        <v>2</v>
      </c>
      <c r="B85" s="66">
        <v>2</v>
      </c>
      <c r="C85" s="66">
        <v>0</v>
      </c>
      <c r="D85" s="67" t="s">
        <v>2766</v>
      </c>
      <c r="E85" s="68"/>
      <c r="F85" s="78"/>
      <c r="G85" s="79"/>
      <c r="H85" s="80"/>
    </row>
    <row r="86" spans="1:8" ht="18.75">
      <c r="A86" s="70">
        <v>2</v>
      </c>
      <c r="B86" s="70">
        <v>2</v>
      </c>
      <c r="C86" s="70">
        <v>10</v>
      </c>
      <c r="D86" s="71" t="s">
        <v>3625</v>
      </c>
      <c r="E86" s="72" t="s">
        <v>3901</v>
      </c>
      <c r="F86" s="73" t="str">
        <f>TEXT(A86,"00")&amp;TEXT(B86,"00")&amp;TEXT(C86,"00")</f>
        <v>020210</v>
      </c>
      <c r="G86" s="72" t="str">
        <f>TEXT(F86,"000000")</f>
        <v>020210</v>
      </c>
      <c r="H86" s="74" t="s">
        <v>3902</v>
      </c>
    </row>
    <row r="87" spans="1:8" ht="18.75">
      <c r="A87" s="70">
        <v>2</v>
      </c>
      <c r="B87" s="70">
        <v>2</v>
      </c>
      <c r="C87" s="70">
        <v>11</v>
      </c>
      <c r="D87" s="71" t="s">
        <v>2789</v>
      </c>
      <c r="E87" s="72" t="s">
        <v>3901</v>
      </c>
      <c r="F87" s="73" t="str">
        <f>TEXT(A87,"00")&amp;TEXT(B87,"00")&amp;TEXT(C87,"00")</f>
        <v>020211</v>
      </c>
      <c r="G87" s="72" t="str">
        <f>TEXT(F87,"000000")</f>
        <v>020211</v>
      </c>
      <c r="H87" s="74" t="s">
        <v>3903</v>
      </c>
    </row>
    <row r="88" spans="1:8" ht="18.75">
      <c r="A88" s="70">
        <v>2</v>
      </c>
      <c r="B88" s="70">
        <v>2</v>
      </c>
      <c r="C88" s="70">
        <v>12</v>
      </c>
      <c r="D88" s="71" t="s">
        <v>2788</v>
      </c>
      <c r="E88" s="72" t="s">
        <v>3901</v>
      </c>
      <c r="F88" s="73" t="str">
        <f>TEXT(A88,"00")&amp;TEXT(B88,"00")&amp;TEXT(C88,"00")</f>
        <v>020212</v>
      </c>
      <c r="G88" s="72" t="str">
        <f>TEXT(F88,"000000")</f>
        <v>020212</v>
      </c>
      <c r="H88" s="74" t="s">
        <v>3904</v>
      </c>
    </row>
    <row r="89" spans="1:8" ht="18.75">
      <c r="A89" s="70">
        <v>2</v>
      </c>
      <c r="B89" s="70">
        <v>2</v>
      </c>
      <c r="C89" s="70">
        <v>21</v>
      </c>
      <c r="D89" s="71" t="s">
        <v>2790</v>
      </c>
      <c r="E89" s="72" t="s">
        <v>3901</v>
      </c>
      <c r="F89" s="73" t="str">
        <f>TEXT(A89,"00")&amp;TEXT(B89,"00")&amp;TEXT(C89,"00")</f>
        <v>020221</v>
      </c>
      <c r="G89" s="72" t="str">
        <f>TEXT(F89,"000000")</f>
        <v>020221</v>
      </c>
      <c r="H89" s="74" t="s">
        <v>3905</v>
      </c>
    </row>
    <row r="90" spans="1:8" ht="18.75">
      <c r="A90" s="70">
        <v>2</v>
      </c>
      <c r="B90" s="70">
        <v>2</v>
      </c>
      <c r="C90" s="70">
        <v>22</v>
      </c>
      <c r="D90" s="71" t="s">
        <v>2791</v>
      </c>
      <c r="E90" s="72" t="s">
        <v>3901</v>
      </c>
      <c r="F90" s="73" t="str">
        <f>TEXT(A90,"00")&amp;TEXT(B90,"00")&amp;TEXT(C90,"00")</f>
        <v>020222</v>
      </c>
      <c r="G90" s="72" t="str">
        <f>TEXT(F90,"000000")</f>
        <v>020222</v>
      </c>
      <c r="H90" s="74" t="s">
        <v>3906</v>
      </c>
    </row>
    <row r="91" spans="1:8" ht="18.75">
      <c r="A91" s="66">
        <v>2</v>
      </c>
      <c r="B91" s="66">
        <v>3</v>
      </c>
      <c r="C91" s="66">
        <v>0</v>
      </c>
      <c r="D91" s="67" t="s">
        <v>2941</v>
      </c>
      <c r="E91" s="68"/>
      <c r="F91" s="78"/>
      <c r="G91" s="79"/>
      <c r="H91" s="80"/>
    </row>
    <row r="92" spans="1:8" ht="18.75">
      <c r="A92" s="70">
        <v>2</v>
      </c>
      <c r="B92" s="70">
        <v>3</v>
      </c>
      <c r="C92" s="70">
        <v>11</v>
      </c>
      <c r="D92" s="71" t="s">
        <v>3071</v>
      </c>
      <c r="E92" s="72" t="s">
        <v>3907</v>
      </c>
      <c r="F92" s="73" t="str">
        <f>TEXT(A92,"00")&amp;TEXT(B92,"00")&amp;TEXT(C92,"00")</f>
        <v>020311</v>
      </c>
      <c r="G92" s="72" t="str">
        <f>TEXT(F92,"000000")</f>
        <v>020311</v>
      </c>
      <c r="H92" s="74" t="s">
        <v>3908</v>
      </c>
    </row>
    <row r="93" spans="1:8" ht="18.75">
      <c r="A93" s="66">
        <v>2</v>
      </c>
      <c r="B93" s="66">
        <v>4</v>
      </c>
      <c r="C93" s="66">
        <v>0</v>
      </c>
      <c r="D93" s="67" t="s">
        <v>833</v>
      </c>
      <c r="E93" s="68"/>
      <c r="F93" s="78"/>
      <c r="G93" s="79"/>
      <c r="H93" s="80"/>
    </row>
    <row r="94" spans="1:8" ht="18.75">
      <c r="A94" s="70">
        <v>2</v>
      </c>
      <c r="B94" s="70">
        <v>4</v>
      </c>
      <c r="C94" s="70">
        <v>11</v>
      </c>
      <c r="D94" s="71" t="s">
        <v>3081</v>
      </c>
      <c r="E94" s="72" t="s">
        <v>829</v>
      </c>
      <c r="F94" s="73" t="str">
        <f t="shared" ref="F94:F135" si="4">TEXT(A94,"00")&amp;TEXT(B94,"00")&amp;TEXT(C94,"00")</f>
        <v>020411</v>
      </c>
      <c r="G94" s="72" t="str">
        <f t="shared" ref="G94:G135" si="5">TEXT(F94,"000000")</f>
        <v>020411</v>
      </c>
      <c r="H94" s="74" t="s">
        <v>3909</v>
      </c>
    </row>
    <row r="95" spans="1:8" ht="18.75">
      <c r="A95" s="70">
        <v>2</v>
      </c>
      <c r="B95" s="70">
        <v>4</v>
      </c>
      <c r="C95" s="70">
        <v>15</v>
      </c>
      <c r="D95" s="71" t="s">
        <v>3072</v>
      </c>
      <c r="E95" s="72" t="s">
        <v>3910</v>
      </c>
      <c r="F95" s="73" t="str">
        <f t="shared" si="4"/>
        <v>020415</v>
      </c>
      <c r="G95" s="72" t="str">
        <f t="shared" si="5"/>
        <v>020415</v>
      </c>
      <c r="H95" s="74" t="s">
        <v>3911</v>
      </c>
    </row>
    <row r="96" spans="1:8" ht="18.75">
      <c r="A96" s="70">
        <v>2</v>
      </c>
      <c r="B96" s="70">
        <v>4</v>
      </c>
      <c r="C96" s="70">
        <v>16</v>
      </c>
      <c r="D96" s="71" t="s">
        <v>3073</v>
      </c>
      <c r="E96" s="72" t="s">
        <v>3910</v>
      </c>
      <c r="F96" s="73" t="str">
        <f t="shared" si="4"/>
        <v>020416</v>
      </c>
      <c r="G96" s="72" t="str">
        <f t="shared" si="5"/>
        <v>020416</v>
      </c>
      <c r="H96" s="74" t="s">
        <v>3912</v>
      </c>
    </row>
    <row r="97" spans="1:8" ht="18.75">
      <c r="A97" s="70">
        <v>2</v>
      </c>
      <c r="B97" s="70">
        <v>4</v>
      </c>
      <c r="C97" s="70">
        <v>17</v>
      </c>
      <c r="D97" s="71" t="s">
        <v>3074</v>
      </c>
      <c r="E97" s="72" t="s">
        <v>3910</v>
      </c>
      <c r="F97" s="73" t="str">
        <f t="shared" si="4"/>
        <v>020417</v>
      </c>
      <c r="G97" s="72" t="str">
        <f t="shared" si="5"/>
        <v>020417</v>
      </c>
      <c r="H97" s="74" t="s">
        <v>3913</v>
      </c>
    </row>
    <row r="98" spans="1:8" ht="18.75">
      <c r="A98" s="70">
        <v>2</v>
      </c>
      <c r="B98" s="70">
        <v>4</v>
      </c>
      <c r="C98" s="70">
        <v>18</v>
      </c>
      <c r="D98" s="71" t="s">
        <v>3075</v>
      </c>
      <c r="E98" s="72" t="s">
        <v>3910</v>
      </c>
      <c r="F98" s="73" t="str">
        <f t="shared" si="4"/>
        <v>020418</v>
      </c>
      <c r="G98" s="72" t="str">
        <f t="shared" si="5"/>
        <v>020418</v>
      </c>
      <c r="H98" s="74" t="s">
        <v>3914</v>
      </c>
    </row>
    <row r="99" spans="1:8" ht="18.75">
      <c r="A99" s="70">
        <v>2</v>
      </c>
      <c r="B99" s="70">
        <v>4</v>
      </c>
      <c r="C99" s="70">
        <v>19</v>
      </c>
      <c r="D99" s="71" t="s">
        <v>3076</v>
      </c>
      <c r="E99" s="72" t="s">
        <v>3910</v>
      </c>
      <c r="F99" s="73" t="str">
        <f t="shared" si="4"/>
        <v>020419</v>
      </c>
      <c r="G99" s="72" t="str">
        <f t="shared" si="5"/>
        <v>020419</v>
      </c>
      <c r="H99" s="74" t="s">
        <v>3915</v>
      </c>
    </row>
    <row r="100" spans="1:8" ht="18.75">
      <c r="A100" s="70">
        <v>2</v>
      </c>
      <c r="B100" s="70">
        <v>4</v>
      </c>
      <c r="C100" s="70">
        <v>20</v>
      </c>
      <c r="D100" s="71" t="s">
        <v>3077</v>
      </c>
      <c r="E100" s="72" t="s">
        <v>3910</v>
      </c>
      <c r="F100" s="73" t="str">
        <f t="shared" si="4"/>
        <v>020420</v>
      </c>
      <c r="G100" s="72" t="str">
        <f t="shared" si="5"/>
        <v>020420</v>
      </c>
      <c r="H100" s="74" t="s">
        <v>3916</v>
      </c>
    </row>
    <row r="101" spans="1:8" ht="18.75">
      <c r="A101" s="70">
        <v>2</v>
      </c>
      <c r="B101" s="70">
        <v>4</v>
      </c>
      <c r="C101" s="70">
        <v>21</v>
      </c>
      <c r="D101" s="71" t="s">
        <v>3078</v>
      </c>
      <c r="E101" s="72" t="s">
        <v>3910</v>
      </c>
      <c r="F101" s="73" t="str">
        <f t="shared" si="4"/>
        <v>020421</v>
      </c>
      <c r="G101" s="72" t="str">
        <f t="shared" si="5"/>
        <v>020421</v>
      </c>
      <c r="H101" s="74" t="s">
        <v>3917</v>
      </c>
    </row>
    <row r="102" spans="1:8" ht="18.75">
      <c r="A102" s="70">
        <v>2</v>
      </c>
      <c r="B102" s="70">
        <v>4</v>
      </c>
      <c r="C102" s="70">
        <v>22</v>
      </c>
      <c r="D102" s="71" t="s">
        <v>3079</v>
      </c>
      <c r="E102" s="72" t="s">
        <v>3910</v>
      </c>
      <c r="F102" s="73" t="str">
        <f t="shared" si="4"/>
        <v>020422</v>
      </c>
      <c r="G102" s="72" t="str">
        <f t="shared" si="5"/>
        <v>020422</v>
      </c>
      <c r="H102" s="74" t="s">
        <v>3918</v>
      </c>
    </row>
    <row r="103" spans="1:8" ht="18.75">
      <c r="A103" s="70">
        <v>2</v>
      </c>
      <c r="B103" s="70">
        <v>4</v>
      </c>
      <c r="C103" s="70">
        <v>23</v>
      </c>
      <c r="D103" s="71" t="s">
        <v>3080</v>
      </c>
      <c r="E103" s="72" t="s">
        <v>3910</v>
      </c>
      <c r="F103" s="73" t="str">
        <f t="shared" si="4"/>
        <v>020423</v>
      </c>
      <c r="G103" s="72" t="str">
        <f t="shared" si="5"/>
        <v>020423</v>
      </c>
      <c r="H103" s="74" t="s">
        <v>3919</v>
      </c>
    </row>
    <row r="104" spans="1:8" ht="18.75">
      <c r="A104" s="70">
        <v>2</v>
      </c>
      <c r="B104" s="70">
        <v>4</v>
      </c>
      <c r="C104" s="70">
        <v>30</v>
      </c>
      <c r="D104" s="71" t="s">
        <v>2785</v>
      </c>
      <c r="E104" s="72" t="s">
        <v>3910</v>
      </c>
      <c r="F104" s="73" t="str">
        <f t="shared" si="4"/>
        <v>020430</v>
      </c>
      <c r="G104" s="72" t="str">
        <f t="shared" si="5"/>
        <v>020430</v>
      </c>
      <c r="H104" s="74" t="s">
        <v>3920</v>
      </c>
    </row>
    <row r="105" spans="1:8" ht="18.75">
      <c r="A105" s="70">
        <v>2</v>
      </c>
      <c r="B105" s="70">
        <v>4</v>
      </c>
      <c r="C105" s="70">
        <v>31</v>
      </c>
      <c r="D105" s="71" t="s">
        <v>2786</v>
      </c>
      <c r="E105" s="72" t="s">
        <v>3910</v>
      </c>
      <c r="F105" s="73" t="str">
        <f t="shared" si="4"/>
        <v>020431</v>
      </c>
      <c r="G105" s="72" t="str">
        <f t="shared" si="5"/>
        <v>020431</v>
      </c>
      <c r="H105" s="74" t="s">
        <v>3921</v>
      </c>
    </row>
    <row r="106" spans="1:8" ht="18.75">
      <c r="A106" s="70">
        <v>2</v>
      </c>
      <c r="B106" s="70">
        <v>4</v>
      </c>
      <c r="C106" s="70">
        <v>32</v>
      </c>
      <c r="D106" s="71" t="s">
        <v>2787</v>
      </c>
      <c r="E106" s="72" t="s">
        <v>3910</v>
      </c>
      <c r="F106" s="73" t="str">
        <f t="shared" si="4"/>
        <v>020432</v>
      </c>
      <c r="G106" s="72" t="str">
        <f t="shared" si="5"/>
        <v>020432</v>
      </c>
      <c r="H106" s="74" t="s">
        <v>3922</v>
      </c>
    </row>
    <row r="107" spans="1:8" ht="18.75">
      <c r="A107" s="70">
        <v>2</v>
      </c>
      <c r="B107" s="70">
        <v>4</v>
      </c>
      <c r="C107" s="70">
        <v>33</v>
      </c>
      <c r="D107" s="71" t="s">
        <v>2792</v>
      </c>
      <c r="E107" s="72" t="s">
        <v>3910</v>
      </c>
      <c r="F107" s="73" t="str">
        <f t="shared" si="4"/>
        <v>020433</v>
      </c>
      <c r="G107" s="72" t="str">
        <f t="shared" si="5"/>
        <v>020433</v>
      </c>
      <c r="H107" s="74" t="s">
        <v>3923</v>
      </c>
    </row>
    <row r="108" spans="1:8" ht="18.75">
      <c r="A108" s="70">
        <v>2</v>
      </c>
      <c r="B108" s="70">
        <v>4</v>
      </c>
      <c r="C108" s="70">
        <v>34</v>
      </c>
      <c r="D108" s="71" t="s">
        <v>2793</v>
      </c>
      <c r="E108" s="72" t="s">
        <v>3910</v>
      </c>
      <c r="F108" s="73" t="str">
        <f t="shared" si="4"/>
        <v>020434</v>
      </c>
      <c r="G108" s="72" t="str">
        <f t="shared" si="5"/>
        <v>020434</v>
      </c>
      <c r="H108" s="74" t="s">
        <v>3924</v>
      </c>
    </row>
    <row r="109" spans="1:8" ht="18.75">
      <c r="A109" s="70">
        <v>2</v>
      </c>
      <c r="B109" s="70">
        <v>4</v>
      </c>
      <c r="C109" s="70">
        <v>35</v>
      </c>
      <c r="D109" s="71" t="s">
        <v>2794</v>
      </c>
      <c r="E109" s="72" t="s">
        <v>3910</v>
      </c>
      <c r="F109" s="73" t="str">
        <f t="shared" si="4"/>
        <v>020435</v>
      </c>
      <c r="G109" s="72" t="str">
        <f t="shared" si="5"/>
        <v>020435</v>
      </c>
      <c r="H109" s="74" t="s">
        <v>3925</v>
      </c>
    </row>
    <row r="110" spans="1:8" ht="18.75">
      <c r="A110" s="70">
        <v>2</v>
      </c>
      <c r="B110" s="70">
        <v>4</v>
      </c>
      <c r="C110" s="70">
        <v>36</v>
      </c>
      <c r="D110" s="71" t="s">
        <v>2796</v>
      </c>
      <c r="E110" s="72" t="s">
        <v>3910</v>
      </c>
      <c r="F110" s="73" t="str">
        <f t="shared" si="4"/>
        <v>020436</v>
      </c>
      <c r="G110" s="72" t="str">
        <f t="shared" si="5"/>
        <v>020436</v>
      </c>
      <c r="H110" s="74" t="s">
        <v>3926</v>
      </c>
    </row>
    <row r="111" spans="1:8" ht="18.75">
      <c r="A111" s="70">
        <v>2</v>
      </c>
      <c r="B111" s="70">
        <v>4</v>
      </c>
      <c r="C111" s="70">
        <v>37</v>
      </c>
      <c r="D111" s="71" t="s">
        <v>2795</v>
      </c>
      <c r="E111" s="72" t="s">
        <v>3910</v>
      </c>
      <c r="F111" s="73" t="str">
        <f t="shared" si="4"/>
        <v>020437</v>
      </c>
      <c r="G111" s="72" t="str">
        <f t="shared" si="5"/>
        <v>020437</v>
      </c>
      <c r="H111" s="74" t="s">
        <v>3927</v>
      </c>
    </row>
    <row r="112" spans="1:8" ht="18.75">
      <c r="A112" s="70">
        <v>2</v>
      </c>
      <c r="B112" s="70">
        <v>4</v>
      </c>
      <c r="C112" s="70">
        <v>41</v>
      </c>
      <c r="D112" s="71" t="s">
        <v>3928</v>
      </c>
      <c r="E112" s="72" t="s">
        <v>3910</v>
      </c>
      <c r="F112" s="73" t="str">
        <f t="shared" si="4"/>
        <v>020441</v>
      </c>
      <c r="G112" s="72" t="str">
        <f t="shared" si="5"/>
        <v>020441</v>
      </c>
      <c r="H112" s="74" t="s">
        <v>3929</v>
      </c>
    </row>
    <row r="113" spans="1:8" ht="18.75">
      <c r="A113" s="70">
        <v>2</v>
      </c>
      <c r="B113" s="70">
        <v>4</v>
      </c>
      <c r="C113" s="70">
        <v>42</v>
      </c>
      <c r="D113" s="71" t="s">
        <v>3082</v>
      </c>
      <c r="E113" s="72" t="s">
        <v>3910</v>
      </c>
      <c r="F113" s="73" t="str">
        <f t="shared" si="4"/>
        <v>020442</v>
      </c>
      <c r="G113" s="72" t="str">
        <f t="shared" si="5"/>
        <v>020442</v>
      </c>
      <c r="H113" s="74" t="s">
        <v>3930</v>
      </c>
    </row>
    <row r="114" spans="1:8" ht="18.75">
      <c r="A114" s="70">
        <v>2</v>
      </c>
      <c r="B114" s="70">
        <v>4</v>
      </c>
      <c r="C114" s="70">
        <v>43</v>
      </c>
      <c r="D114" s="71" t="s">
        <v>3083</v>
      </c>
      <c r="E114" s="72" t="s">
        <v>3910</v>
      </c>
      <c r="F114" s="73" t="str">
        <f t="shared" si="4"/>
        <v>020443</v>
      </c>
      <c r="G114" s="72" t="str">
        <f t="shared" si="5"/>
        <v>020443</v>
      </c>
      <c r="H114" s="74" t="s">
        <v>3931</v>
      </c>
    </row>
    <row r="115" spans="1:8" ht="18.75">
      <c r="A115" s="70">
        <v>2</v>
      </c>
      <c r="B115" s="70">
        <v>4</v>
      </c>
      <c r="C115" s="70">
        <v>44</v>
      </c>
      <c r="D115" s="71" t="s">
        <v>3084</v>
      </c>
      <c r="E115" s="72" t="s">
        <v>3910</v>
      </c>
      <c r="F115" s="73" t="str">
        <f t="shared" si="4"/>
        <v>020444</v>
      </c>
      <c r="G115" s="72" t="str">
        <f t="shared" si="5"/>
        <v>020444</v>
      </c>
      <c r="H115" s="74" t="s">
        <v>5462</v>
      </c>
    </row>
    <row r="116" spans="1:8" ht="18.75">
      <c r="A116" s="70">
        <v>2</v>
      </c>
      <c r="B116" s="70">
        <v>4</v>
      </c>
      <c r="C116" s="70">
        <v>45</v>
      </c>
      <c r="D116" s="71" t="s">
        <v>2798</v>
      </c>
      <c r="E116" s="72" t="s">
        <v>3910</v>
      </c>
      <c r="F116" s="73" t="str">
        <f t="shared" si="4"/>
        <v>020445</v>
      </c>
      <c r="G116" s="72" t="str">
        <f t="shared" si="5"/>
        <v>020445</v>
      </c>
      <c r="H116" s="74" t="s">
        <v>3932</v>
      </c>
    </row>
    <row r="117" spans="1:8" ht="18.75">
      <c r="A117" s="70">
        <v>2</v>
      </c>
      <c r="B117" s="70">
        <v>4</v>
      </c>
      <c r="C117" s="70">
        <v>46</v>
      </c>
      <c r="D117" s="71" t="s">
        <v>3085</v>
      </c>
      <c r="E117" s="72" t="s">
        <v>3910</v>
      </c>
      <c r="F117" s="73" t="str">
        <f t="shared" si="4"/>
        <v>020446</v>
      </c>
      <c r="G117" s="72" t="str">
        <f t="shared" si="5"/>
        <v>020446</v>
      </c>
      <c r="H117" s="74" t="s">
        <v>3933</v>
      </c>
    </row>
    <row r="118" spans="1:8" ht="18.75">
      <c r="A118" s="70">
        <v>2</v>
      </c>
      <c r="B118" s="70">
        <v>4</v>
      </c>
      <c r="C118" s="70">
        <v>47</v>
      </c>
      <c r="D118" s="71" t="s">
        <v>3086</v>
      </c>
      <c r="E118" s="72" t="s">
        <v>3910</v>
      </c>
      <c r="F118" s="73" t="str">
        <f t="shared" si="4"/>
        <v>020447</v>
      </c>
      <c r="G118" s="72" t="str">
        <f t="shared" si="5"/>
        <v>020447</v>
      </c>
      <c r="H118" s="74" t="s">
        <v>3934</v>
      </c>
    </row>
    <row r="119" spans="1:8" ht="18.75">
      <c r="A119" s="70">
        <v>2</v>
      </c>
      <c r="B119" s="70">
        <v>4</v>
      </c>
      <c r="C119" s="70">
        <v>52</v>
      </c>
      <c r="D119" s="71" t="s">
        <v>2797</v>
      </c>
      <c r="E119" s="72" t="s">
        <v>3901</v>
      </c>
      <c r="F119" s="73" t="str">
        <f t="shared" si="4"/>
        <v>020452</v>
      </c>
      <c r="G119" s="72" t="str">
        <f t="shared" si="5"/>
        <v>020452</v>
      </c>
      <c r="H119" s="74" t="s">
        <v>3935</v>
      </c>
    </row>
    <row r="120" spans="1:8" ht="18.75">
      <c r="A120" s="70">
        <v>2</v>
      </c>
      <c r="B120" s="70">
        <v>4</v>
      </c>
      <c r="C120" s="70">
        <v>61</v>
      </c>
      <c r="D120" s="71" t="s">
        <v>2803</v>
      </c>
      <c r="E120" s="72" t="s">
        <v>3901</v>
      </c>
      <c r="F120" s="73" t="str">
        <f t="shared" si="4"/>
        <v>020461</v>
      </c>
      <c r="G120" s="72" t="str">
        <f t="shared" si="5"/>
        <v>020461</v>
      </c>
      <c r="H120" s="74" t="s">
        <v>3936</v>
      </c>
    </row>
    <row r="121" spans="1:8" ht="18.75">
      <c r="A121" s="70">
        <v>2</v>
      </c>
      <c r="B121" s="70">
        <v>4</v>
      </c>
      <c r="C121" s="70">
        <v>63</v>
      </c>
      <c r="D121" s="71" t="s">
        <v>2804</v>
      </c>
      <c r="E121" s="72" t="s">
        <v>3901</v>
      </c>
      <c r="F121" s="73" t="str">
        <f t="shared" si="4"/>
        <v>020463</v>
      </c>
      <c r="G121" s="72" t="str">
        <f t="shared" si="5"/>
        <v>020463</v>
      </c>
      <c r="H121" s="74" t="s">
        <v>3937</v>
      </c>
    </row>
    <row r="122" spans="1:8" ht="18.75">
      <c r="A122" s="70">
        <v>2</v>
      </c>
      <c r="B122" s="70">
        <v>4</v>
      </c>
      <c r="C122" s="70">
        <v>64</v>
      </c>
      <c r="D122" s="71" t="s">
        <v>2808</v>
      </c>
      <c r="E122" s="72" t="s">
        <v>3901</v>
      </c>
      <c r="F122" s="73" t="str">
        <f t="shared" si="4"/>
        <v>020464</v>
      </c>
      <c r="G122" s="72" t="str">
        <f t="shared" si="5"/>
        <v>020464</v>
      </c>
      <c r="H122" s="74" t="s">
        <v>3938</v>
      </c>
    </row>
    <row r="123" spans="1:8" ht="18.75">
      <c r="A123" s="70">
        <v>2</v>
      </c>
      <c r="B123" s="70">
        <v>4</v>
      </c>
      <c r="C123" s="70">
        <v>71</v>
      </c>
      <c r="D123" s="71" t="s">
        <v>2799</v>
      </c>
      <c r="E123" s="72" t="s">
        <v>3901</v>
      </c>
      <c r="F123" s="73" t="str">
        <f t="shared" si="4"/>
        <v>020471</v>
      </c>
      <c r="G123" s="72" t="str">
        <f t="shared" si="5"/>
        <v>020471</v>
      </c>
      <c r="H123" s="74" t="s">
        <v>3939</v>
      </c>
    </row>
    <row r="124" spans="1:8" ht="18.75">
      <c r="A124" s="70">
        <v>2</v>
      </c>
      <c r="B124" s="70">
        <v>4</v>
      </c>
      <c r="C124" s="70">
        <v>72</v>
      </c>
      <c r="D124" s="71" t="s">
        <v>2800</v>
      </c>
      <c r="E124" s="72" t="s">
        <v>3901</v>
      </c>
      <c r="F124" s="73" t="str">
        <f t="shared" si="4"/>
        <v>020472</v>
      </c>
      <c r="G124" s="72" t="str">
        <f t="shared" si="5"/>
        <v>020472</v>
      </c>
      <c r="H124" s="74" t="s">
        <v>3940</v>
      </c>
    </row>
    <row r="125" spans="1:8" ht="18.75">
      <c r="A125" s="70">
        <v>2</v>
      </c>
      <c r="B125" s="70">
        <v>4</v>
      </c>
      <c r="C125" s="70">
        <v>73</v>
      </c>
      <c r="D125" s="71" t="s">
        <v>2801</v>
      </c>
      <c r="E125" s="72" t="s">
        <v>3901</v>
      </c>
      <c r="F125" s="73" t="str">
        <f t="shared" si="4"/>
        <v>020473</v>
      </c>
      <c r="G125" s="72" t="str">
        <f t="shared" si="5"/>
        <v>020473</v>
      </c>
      <c r="H125" s="74" t="s">
        <v>3941</v>
      </c>
    </row>
    <row r="126" spans="1:8" ht="18.75">
      <c r="A126" s="70">
        <v>2</v>
      </c>
      <c r="B126" s="70">
        <v>4</v>
      </c>
      <c r="C126" s="70">
        <v>74</v>
      </c>
      <c r="D126" s="71" t="s">
        <v>2802</v>
      </c>
      <c r="E126" s="72" t="s">
        <v>3901</v>
      </c>
      <c r="F126" s="73" t="str">
        <f t="shared" si="4"/>
        <v>020474</v>
      </c>
      <c r="G126" s="72" t="str">
        <f t="shared" si="5"/>
        <v>020474</v>
      </c>
      <c r="H126" s="74" t="s">
        <v>3942</v>
      </c>
    </row>
    <row r="127" spans="1:8" ht="18.75">
      <c r="A127" s="70">
        <v>2</v>
      </c>
      <c r="B127" s="70">
        <v>4</v>
      </c>
      <c r="C127" s="70">
        <v>81</v>
      </c>
      <c r="D127" s="71" t="s">
        <v>2805</v>
      </c>
      <c r="E127" s="72" t="s">
        <v>3901</v>
      </c>
      <c r="F127" s="73" t="str">
        <f t="shared" si="4"/>
        <v>020481</v>
      </c>
      <c r="G127" s="72" t="str">
        <f t="shared" si="5"/>
        <v>020481</v>
      </c>
      <c r="H127" s="74" t="s">
        <v>3943</v>
      </c>
    </row>
    <row r="128" spans="1:8" ht="18.75">
      <c r="A128" s="70">
        <v>2</v>
      </c>
      <c r="B128" s="70">
        <v>4</v>
      </c>
      <c r="C128" s="70">
        <v>83</v>
      </c>
      <c r="D128" s="71" t="s">
        <v>2806</v>
      </c>
      <c r="E128" s="72" t="s">
        <v>3901</v>
      </c>
      <c r="F128" s="73" t="str">
        <f t="shared" si="4"/>
        <v>020483</v>
      </c>
      <c r="G128" s="72" t="str">
        <f t="shared" si="5"/>
        <v>020483</v>
      </c>
      <c r="H128" s="74" t="s">
        <v>3944</v>
      </c>
    </row>
    <row r="129" spans="1:8" ht="18.75">
      <c r="A129" s="70">
        <v>2</v>
      </c>
      <c r="B129" s="70">
        <v>4</v>
      </c>
      <c r="C129" s="70">
        <v>84</v>
      </c>
      <c r="D129" s="71" t="s">
        <v>2807</v>
      </c>
      <c r="E129" s="72" t="s">
        <v>3901</v>
      </c>
      <c r="F129" s="73" t="str">
        <f t="shared" si="4"/>
        <v>020484</v>
      </c>
      <c r="G129" s="72" t="str">
        <f t="shared" si="5"/>
        <v>020484</v>
      </c>
      <c r="H129" s="74" t="s">
        <v>3945</v>
      </c>
    </row>
    <row r="130" spans="1:8" ht="18.75">
      <c r="A130" s="70">
        <v>2</v>
      </c>
      <c r="B130" s="70">
        <v>4</v>
      </c>
      <c r="C130" s="70">
        <v>91</v>
      </c>
      <c r="D130" s="71" t="s">
        <v>3087</v>
      </c>
      <c r="E130" s="72" t="s">
        <v>829</v>
      </c>
      <c r="F130" s="73" t="str">
        <f t="shared" si="4"/>
        <v>020491</v>
      </c>
      <c r="G130" s="72" t="str">
        <f t="shared" si="5"/>
        <v>020491</v>
      </c>
      <c r="H130" s="74" t="s">
        <v>3946</v>
      </c>
    </row>
    <row r="131" spans="1:8" ht="18.75">
      <c r="A131" s="70">
        <v>2</v>
      </c>
      <c r="B131" s="70">
        <v>4</v>
      </c>
      <c r="C131" s="70">
        <v>92</v>
      </c>
      <c r="D131" s="71" t="s">
        <v>3088</v>
      </c>
      <c r="E131" s="72" t="s">
        <v>829</v>
      </c>
      <c r="F131" s="73" t="str">
        <f t="shared" si="4"/>
        <v>020492</v>
      </c>
      <c r="G131" s="72" t="str">
        <f t="shared" si="5"/>
        <v>020492</v>
      </c>
      <c r="H131" s="74" t="s">
        <v>3947</v>
      </c>
    </row>
    <row r="132" spans="1:8" ht="18.75">
      <c r="A132" s="70">
        <v>2</v>
      </c>
      <c r="B132" s="70">
        <v>4</v>
      </c>
      <c r="C132" s="70">
        <v>93</v>
      </c>
      <c r="D132" s="71" t="s">
        <v>3089</v>
      </c>
      <c r="E132" s="72" t="s">
        <v>829</v>
      </c>
      <c r="F132" s="73" t="str">
        <f t="shared" si="4"/>
        <v>020493</v>
      </c>
      <c r="G132" s="72" t="str">
        <f t="shared" si="5"/>
        <v>020493</v>
      </c>
      <c r="H132" s="74" t="s">
        <v>3948</v>
      </c>
    </row>
    <row r="133" spans="1:8" ht="18.75">
      <c r="A133" s="70">
        <v>2</v>
      </c>
      <c r="B133" s="70">
        <v>4</v>
      </c>
      <c r="C133" s="70">
        <v>94</v>
      </c>
      <c r="D133" s="71" t="s">
        <v>3090</v>
      </c>
      <c r="E133" s="72" t="s">
        <v>829</v>
      </c>
      <c r="F133" s="73" t="str">
        <f t="shared" si="4"/>
        <v>020494</v>
      </c>
      <c r="G133" s="72" t="str">
        <f t="shared" si="5"/>
        <v>020494</v>
      </c>
      <c r="H133" s="74" t="s">
        <v>3949</v>
      </c>
    </row>
    <row r="134" spans="1:8" ht="18.75">
      <c r="A134" s="70">
        <v>2</v>
      </c>
      <c r="B134" s="70">
        <v>4</v>
      </c>
      <c r="C134" s="70">
        <v>95</v>
      </c>
      <c r="D134" s="71" t="s">
        <v>3091</v>
      </c>
      <c r="E134" s="72" t="s">
        <v>829</v>
      </c>
      <c r="F134" s="73" t="str">
        <f t="shared" si="4"/>
        <v>020495</v>
      </c>
      <c r="G134" s="72" t="str">
        <f t="shared" si="5"/>
        <v>020495</v>
      </c>
      <c r="H134" s="74" t="s">
        <v>3950</v>
      </c>
    </row>
    <row r="135" spans="1:8" ht="18.75">
      <c r="A135" s="70">
        <v>2</v>
      </c>
      <c r="B135" s="70">
        <v>4</v>
      </c>
      <c r="C135" s="70">
        <v>96</v>
      </c>
      <c r="D135" s="71" t="s">
        <v>3783</v>
      </c>
      <c r="E135" s="72" t="s">
        <v>829</v>
      </c>
      <c r="F135" s="73" t="str">
        <f t="shared" si="4"/>
        <v>020496</v>
      </c>
      <c r="G135" s="72" t="str">
        <f t="shared" si="5"/>
        <v>020496</v>
      </c>
      <c r="H135" s="74" t="s">
        <v>3951</v>
      </c>
    </row>
    <row r="136" spans="1:8" ht="18.75">
      <c r="A136" s="66">
        <v>2</v>
      </c>
      <c r="B136" s="66">
        <v>5</v>
      </c>
      <c r="C136" s="66">
        <v>0</v>
      </c>
      <c r="D136" s="67" t="s">
        <v>2767</v>
      </c>
      <c r="E136" s="68"/>
      <c r="F136" s="78"/>
      <c r="G136" s="79"/>
      <c r="H136" s="80"/>
    </row>
    <row r="137" spans="1:8" ht="18.75">
      <c r="A137" s="70">
        <v>2</v>
      </c>
      <c r="B137" s="70">
        <v>5</v>
      </c>
      <c r="C137" s="70">
        <v>11</v>
      </c>
      <c r="D137" s="71" t="s">
        <v>2809</v>
      </c>
      <c r="E137" s="72" t="s">
        <v>829</v>
      </c>
      <c r="F137" s="73" t="str">
        <f t="shared" ref="F137:F198" si="6">TEXT(A137,"00")&amp;TEXT(B137,"00")&amp;TEXT(C137,"00")</f>
        <v>020511</v>
      </c>
      <c r="G137" s="72" t="str">
        <f t="shared" ref="G137:G198" si="7">TEXT(F137,"000000")</f>
        <v>020511</v>
      </c>
      <c r="H137" s="74" t="s">
        <v>3952</v>
      </c>
    </row>
    <row r="138" spans="1:8" ht="18.75">
      <c r="A138" s="70">
        <v>2</v>
      </c>
      <c r="B138" s="70">
        <v>5</v>
      </c>
      <c r="C138" s="70">
        <v>12</v>
      </c>
      <c r="D138" s="71" t="s">
        <v>2811</v>
      </c>
      <c r="E138" s="72" t="s">
        <v>829</v>
      </c>
      <c r="F138" s="73" t="str">
        <f t="shared" si="6"/>
        <v>020512</v>
      </c>
      <c r="G138" s="72" t="str">
        <f t="shared" si="7"/>
        <v>020512</v>
      </c>
      <c r="H138" s="74" t="s">
        <v>3953</v>
      </c>
    </row>
    <row r="139" spans="1:8" ht="18.75">
      <c r="A139" s="70">
        <v>2</v>
      </c>
      <c r="B139" s="70">
        <v>5</v>
      </c>
      <c r="C139" s="70">
        <v>13</v>
      </c>
      <c r="D139" s="71" t="s">
        <v>2810</v>
      </c>
      <c r="E139" s="72" t="s">
        <v>829</v>
      </c>
      <c r="F139" s="73" t="str">
        <f t="shared" si="6"/>
        <v>020513</v>
      </c>
      <c r="G139" s="72" t="str">
        <f t="shared" si="7"/>
        <v>020513</v>
      </c>
      <c r="H139" s="74" t="s">
        <v>3954</v>
      </c>
    </row>
    <row r="140" spans="1:8" ht="18.75">
      <c r="A140" s="70">
        <v>2</v>
      </c>
      <c r="B140" s="70">
        <v>5</v>
      </c>
      <c r="C140" s="70">
        <v>14</v>
      </c>
      <c r="D140" s="71" t="s">
        <v>3092</v>
      </c>
      <c r="E140" s="72" t="s">
        <v>829</v>
      </c>
      <c r="F140" s="73" t="str">
        <f t="shared" si="6"/>
        <v>020514</v>
      </c>
      <c r="G140" s="72" t="str">
        <f t="shared" si="7"/>
        <v>020514</v>
      </c>
      <c r="H140" s="74" t="s">
        <v>3955</v>
      </c>
    </row>
    <row r="141" spans="1:8" ht="18.75">
      <c r="A141" s="70">
        <v>2</v>
      </c>
      <c r="B141" s="70">
        <v>5</v>
      </c>
      <c r="C141" s="70">
        <v>15</v>
      </c>
      <c r="D141" s="71" t="s">
        <v>3093</v>
      </c>
      <c r="E141" s="72" t="s">
        <v>829</v>
      </c>
      <c r="F141" s="73" t="str">
        <f t="shared" si="6"/>
        <v>020515</v>
      </c>
      <c r="G141" s="72" t="str">
        <f t="shared" si="7"/>
        <v>020515</v>
      </c>
      <c r="H141" s="74" t="s">
        <v>3956</v>
      </c>
    </row>
    <row r="142" spans="1:8" ht="18.75">
      <c r="A142" s="70">
        <v>2</v>
      </c>
      <c r="B142" s="70">
        <v>5</v>
      </c>
      <c r="C142" s="70">
        <v>16</v>
      </c>
      <c r="D142" s="71" t="s">
        <v>2812</v>
      </c>
      <c r="E142" s="72" t="s">
        <v>829</v>
      </c>
      <c r="F142" s="73" t="str">
        <f t="shared" si="6"/>
        <v>020516</v>
      </c>
      <c r="G142" s="72" t="str">
        <f t="shared" si="7"/>
        <v>020516</v>
      </c>
      <c r="H142" s="74" t="s">
        <v>3957</v>
      </c>
    </row>
    <row r="143" spans="1:8" ht="18.75">
      <c r="A143" s="70">
        <v>2</v>
      </c>
      <c r="B143" s="70">
        <v>5</v>
      </c>
      <c r="C143" s="70">
        <v>17</v>
      </c>
      <c r="D143" s="71" t="s">
        <v>2813</v>
      </c>
      <c r="E143" s="72" t="s">
        <v>829</v>
      </c>
      <c r="F143" s="73" t="str">
        <f t="shared" si="6"/>
        <v>020517</v>
      </c>
      <c r="G143" s="72" t="str">
        <f t="shared" si="7"/>
        <v>020517</v>
      </c>
      <c r="H143" s="74" t="s">
        <v>3958</v>
      </c>
    </row>
    <row r="144" spans="1:8" ht="18.75">
      <c r="A144" s="70">
        <v>2</v>
      </c>
      <c r="B144" s="70">
        <v>5</v>
      </c>
      <c r="C144" s="70">
        <v>18</v>
      </c>
      <c r="D144" s="71" t="s">
        <v>2814</v>
      </c>
      <c r="E144" s="72" t="s">
        <v>829</v>
      </c>
      <c r="F144" s="73" t="str">
        <f t="shared" si="6"/>
        <v>020518</v>
      </c>
      <c r="G144" s="72" t="str">
        <f t="shared" si="7"/>
        <v>020518</v>
      </c>
      <c r="H144" s="74" t="s">
        <v>3959</v>
      </c>
    </row>
    <row r="145" spans="1:8" ht="18.75">
      <c r="A145" s="70">
        <v>2</v>
      </c>
      <c r="B145" s="70">
        <v>5</v>
      </c>
      <c r="C145" s="70">
        <v>19</v>
      </c>
      <c r="D145" s="71" t="s">
        <v>3960</v>
      </c>
      <c r="E145" s="72" t="s">
        <v>829</v>
      </c>
      <c r="F145" s="73" t="str">
        <f t="shared" si="6"/>
        <v>020519</v>
      </c>
      <c r="G145" s="72" t="str">
        <f t="shared" si="7"/>
        <v>020519</v>
      </c>
      <c r="H145" s="74" t="s">
        <v>3961</v>
      </c>
    </row>
    <row r="146" spans="1:8" ht="18.75">
      <c r="A146" s="70">
        <v>2</v>
      </c>
      <c r="B146" s="70">
        <v>5</v>
      </c>
      <c r="C146" s="70">
        <v>20</v>
      </c>
      <c r="D146" s="71" t="s">
        <v>3962</v>
      </c>
      <c r="E146" s="72" t="s">
        <v>829</v>
      </c>
      <c r="F146" s="73" t="str">
        <f t="shared" si="6"/>
        <v>020520</v>
      </c>
      <c r="G146" s="72" t="str">
        <f t="shared" si="7"/>
        <v>020520</v>
      </c>
      <c r="H146" s="74" t="s">
        <v>3963</v>
      </c>
    </row>
    <row r="147" spans="1:8" ht="18.75">
      <c r="A147" s="70">
        <v>2</v>
      </c>
      <c r="B147" s="70">
        <v>5</v>
      </c>
      <c r="C147" s="70">
        <v>21</v>
      </c>
      <c r="D147" s="71" t="s">
        <v>3964</v>
      </c>
      <c r="E147" s="72" t="s">
        <v>829</v>
      </c>
      <c r="F147" s="73" t="str">
        <f t="shared" si="6"/>
        <v>020521</v>
      </c>
      <c r="G147" s="72" t="str">
        <f t="shared" si="7"/>
        <v>020521</v>
      </c>
      <c r="H147" s="74" t="s">
        <v>3965</v>
      </c>
    </row>
    <row r="148" spans="1:8" ht="18.75">
      <c r="A148" s="70">
        <v>2</v>
      </c>
      <c r="B148" s="70">
        <v>5</v>
      </c>
      <c r="C148" s="70">
        <v>22</v>
      </c>
      <c r="D148" s="71" t="s">
        <v>3966</v>
      </c>
      <c r="E148" s="72" t="s">
        <v>829</v>
      </c>
      <c r="F148" s="73" t="str">
        <f t="shared" si="6"/>
        <v>020522</v>
      </c>
      <c r="G148" s="72" t="str">
        <f t="shared" si="7"/>
        <v>020522</v>
      </c>
      <c r="H148" s="74" t="s">
        <v>3967</v>
      </c>
    </row>
    <row r="149" spans="1:8" ht="18.75">
      <c r="A149" s="70">
        <v>2</v>
      </c>
      <c r="B149" s="70">
        <v>5</v>
      </c>
      <c r="C149" s="70">
        <v>23</v>
      </c>
      <c r="D149" s="71" t="s">
        <v>3968</v>
      </c>
      <c r="E149" s="72" t="s">
        <v>829</v>
      </c>
      <c r="F149" s="73" t="str">
        <f t="shared" si="6"/>
        <v>020523</v>
      </c>
      <c r="G149" s="72" t="str">
        <f t="shared" si="7"/>
        <v>020523</v>
      </c>
      <c r="H149" s="74" t="s">
        <v>3969</v>
      </c>
    </row>
    <row r="150" spans="1:8" ht="18.75">
      <c r="A150" s="70">
        <v>2</v>
      </c>
      <c r="B150" s="70">
        <v>5</v>
      </c>
      <c r="C150" s="70">
        <v>25</v>
      </c>
      <c r="D150" s="71" t="s">
        <v>3095</v>
      </c>
      <c r="E150" s="72" t="s">
        <v>829</v>
      </c>
      <c r="F150" s="73" t="str">
        <f t="shared" si="6"/>
        <v>020525</v>
      </c>
      <c r="G150" s="72" t="str">
        <f t="shared" si="7"/>
        <v>020525</v>
      </c>
      <c r="H150" s="74" t="s">
        <v>3970</v>
      </c>
    </row>
    <row r="151" spans="1:8" ht="18.75">
      <c r="A151" s="70">
        <v>2</v>
      </c>
      <c r="B151" s="70">
        <v>5</v>
      </c>
      <c r="C151" s="70">
        <v>26</v>
      </c>
      <c r="D151" s="71" t="s">
        <v>3096</v>
      </c>
      <c r="E151" s="72" t="s">
        <v>829</v>
      </c>
      <c r="F151" s="73" t="str">
        <f t="shared" si="6"/>
        <v>020526</v>
      </c>
      <c r="G151" s="72" t="str">
        <f t="shared" si="7"/>
        <v>020526</v>
      </c>
      <c r="H151" s="74" t="s">
        <v>3971</v>
      </c>
    </row>
    <row r="152" spans="1:8" ht="18.75">
      <c r="A152" s="70">
        <v>2</v>
      </c>
      <c r="B152" s="70">
        <v>5</v>
      </c>
      <c r="C152" s="70">
        <v>27</v>
      </c>
      <c r="D152" s="71" t="s">
        <v>3097</v>
      </c>
      <c r="E152" s="72" t="s">
        <v>829</v>
      </c>
      <c r="F152" s="73" t="str">
        <f t="shared" si="6"/>
        <v>020527</v>
      </c>
      <c r="G152" s="72" t="str">
        <f t="shared" si="7"/>
        <v>020527</v>
      </c>
      <c r="H152" s="74" t="s">
        <v>3972</v>
      </c>
    </row>
    <row r="153" spans="1:8" ht="18.75">
      <c r="A153" s="70">
        <v>2</v>
      </c>
      <c r="B153" s="70">
        <v>5</v>
      </c>
      <c r="C153" s="70">
        <v>28</v>
      </c>
      <c r="D153" s="71" t="s">
        <v>3098</v>
      </c>
      <c r="E153" s="72" t="s">
        <v>829</v>
      </c>
      <c r="F153" s="73" t="str">
        <f t="shared" si="6"/>
        <v>020528</v>
      </c>
      <c r="G153" s="72" t="str">
        <f t="shared" si="7"/>
        <v>020528</v>
      </c>
      <c r="H153" s="74" t="s">
        <v>3973</v>
      </c>
    </row>
    <row r="154" spans="1:8" ht="18.75">
      <c r="A154" s="70">
        <v>2</v>
      </c>
      <c r="B154" s="70">
        <v>5</v>
      </c>
      <c r="C154" s="70">
        <v>29</v>
      </c>
      <c r="D154" s="71" t="s">
        <v>3099</v>
      </c>
      <c r="E154" s="72" t="s">
        <v>829</v>
      </c>
      <c r="F154" s="73" t="str">
        <f t="shared" si="6"/>
        <v>020529</v>
      </c>
      <c r="G154" s="72" t="str">
        <f t="shared" si="7"/>
        <v>020529</v>
      </c>
      <c r="H154" s="74" t="s">
        <v>3974</v>
      </c>
    </row>
    <row r="155" spans="1:8" ht="18.75">
      <c r="A155" s="70">
        <v>2</v>
      </c>
      <c r="B155" s="70">
        <v>5</v>
      </c>
      <c r="C155" s="70">
        <v>30</v>
      </c>
      <c r="D155" s="71" t="s">
        <v>3100</v>
      </c>
      <c r="E155" s="72" t="s">
        <v>829</v>
      </c>
      <c r="F155" s="73" t="str">
        <f t="shared" si="6"/>
        <v>020530</v>
      </c>
      <c r="G155" s="72" t="str">
        <f t="shared" si="7"/>
        <v>020530</v>
      </c>
      <c r="H155" s="74" t="s">
        <v>3975</v>
      </c>
    </row>
    <row r="156" spans="1:8" ht="18.75">
      <c r="A156" s="70">
        <v>2</v>
      </c>
      <c r="B156" s="70">
        <v>5</v>
      </c>
      <c r="C156" s="70">
        <v>31</v>
      </c>
      <c r="D156" s="71" t="s">
        <v>3094</v>
      </c>
      <c r="E156" s="72" t="s">
        <v>829</v>
      </c>
      <c r="F156" s="73" t="str">
        <f t="shared" si="6"/>
        <v>020531</v>
      </c>
      <c r="G156" s="72" t="str">
        <f t="shared" si="7"/>
        <v>020531</v>
      </c>
      <c r="H156" s="74" t="s">
        <v>3976</v>
      </c>
    </row>
    <row r="157" spans="1:8" ht="18.75">
      <c r="A157" s="70">
        <v>2</v>
      </c>
      <c r="B157" s="70">
        <v>5</v>
      </c>
      <c r="C157" s="70">
        <v>32</v>
      </c>
      <c r="D157" s="71" t="s">
        <v>2815</v>
      </c>
      <c r="E157" s="72" t="s">
        <v>829</v>
      </c>
      <c r="F157" s="73" t="str">
        <f t="shared" si="6"/>
        <v>020532</v>
      </c>
      <c r="G157" s="72" t="str">
        <f t="shared" si="7"/>
        <v>020532</v>
      </c>
      <c r="H157" s="74" t="s">
        <v>3977</v>
      </c>
    </row>
    <row r="158" spans="1:8" ht="18.75">
      <c r="A158" s="70">
        <v>2</v>
      </c>
      <c r="B158" s="70">
        <v>5</v>
      </c>
      <c r="C158" s="70">
        <v>33</v>
      </c>
      <c r="D158" s="71" t="s">
        <v>2816</v>
      </c>
      <c r="E158" s="72" t="s">
        <v>829</v>
      </c>
      <c r="F158" s="73" t="str">
        <f t="shared" si="6"/>
        <v>020533</v>
      </c>
      <c r="G158" s="72" t="str">
        <f t="shared" si="7"/>
        <v>020533</v>
      </c>
      <c r="H158" s="74" t="s">
        <v>3978</v>
      </c>
    </row>
    <row r="159" spans="1:8" ht="18.75">
      <c r="A159" s="70">
        <v>2</v>
      </c>
      <c r="B159" s="70">
        <v>5</v>
      </c>
      <c r="C159" s="70">
        <v>34</v>
      </c>
      <c r="D159" s="71" t="s">
        <v>118</v>
      </c>
      <c r="E159" s="72" t="s">
        <v>829</v>
      </c>
      <c r="F159" s="73" t="str">
        <f t="shared" si="6"/>
        <v>020534</v>
      </c>
      <c r="G159" s="72" t="str">
        <f t="shared" si="7"/>
        <v>020534</v>
      </c>
      <c r="H159" s="74" t="s">
        <v>3979</v>
      </c>
    </row>
    <row r="160" spans="1:8" ht="18.75">
      <c r="A160" s="70">
        <v>2</v>
      </c>
      <c r="B160" s="70">
        <v>5</v>
      </c>
      <c r="C160" s="70">
        <v>35</v>
      </c>
      <c r="D160" s="71" t="s">
        <v>2820</v>
      </c>
      <c r="E160" s="72" t="s">
        <v>829</v>
      </c>
      <c r="F160" s="73" t="str">
        <f t="shared" si="6"/>
        <v>020535</v>
      </c>
      <c r="G160" s="72" t="str">
        <f t="shared" si="7"/>
        <v>020535</v>
      </c>
      <c r="H160" s="74" t="s">
        <v>3980</v>
      </c>
    </row>
    <row r="161" spans="1:8" ht="18.75">
      <c r="A161" s="70">
        <v>2</v>
      </c>
      <c r="B161" s="70">
        <v>5</v>
      </c>
      <c r="C161" s="70">
        <v>36</v>
      </c>
      <c r="D161" s="71" t="s">
        <v>2821</v>
      </c>
      <c r="E161" s="72" t="s">
        <v>829</v>
      </c>
      <c r="F161" s="73" t="str">
        <f t="shared" si="6"/>
        <v>020536</v>
      </c>
      <c r="G161" s="72" t="str">
        <f t="shared" si="7"/>
        <v>020536</v>
      </c>
      <c r="H161" s="74" t="s">
        <v>3981</v>
      </c>
    </row>
    <row r="162" spans="1:8" ht="18.75">
      <c r="A162" s="70">
        <v>2</v>
      </c>
      <c r="B162" s="70">
        <v>5</v>
      </c>
      <c r="C162" s="70">
        <v>37</v>
      </c>
      <c r="D162" s="71" t="s">
        <v>2822</v>
      </c>
      <c r="E162" s="72" t="s">
        <v>829</v>
      </c>
      <c r="F162" s="73" t="str">
        <f t="shared" si="6"/>
        <v>020537</v>
      </c>
      <c r="G162" s="72" t="str">
        <f t="shared" si="7"/>
        <v>020537</v>
      </c>
      <c r="H162" s="74" t="s">
        <v>3982</v>
      </c>
    </row>
    <row r="163" spans="1:8" ht="18.75">
      <c r="A163" s="70">
        <v>2</v>
      </c>
      <c r="B163" s="70">
        <v>5</v>
      </c>
      <c r="C163" s="70">
        <v>38</v>
      </c>
      <c r="D163" s="71" t="s">
        <v>2817</v>
      </c>
      <c r="E163" s="72" t="s">
        <v>829</v>
      </c>
      <c r="F163" s="73" t="str">
        <f t="shared" si="6"/>
        <v>020538</v>
      </c>
      <c r="G163" s="72" t="str">
        <f t="shared" si="7"/>
        <v>020538</v>
      </c>
      <c r="H163" s="74" t="s">
        <v>3983</v>
      </c>
    </row>
    <row r="164" spans="1:8" ht="18.75">
      <c r="A164" s="70">
        <v>2</v>
      </c>
      <c r="B164" s="70">
        <v>5</v>
      </c>
      <c r="C164" s="70">
        <v>39</v>
      </c>
      <c r="D164" s="71" t="s">
        <v>2818</v>
      </c>
      <c r="E164" s="72" t="s">
        <v>829</v>
      </c>
      <c r="F164" s="73" t="str">
        <f t="shared" si="6"/>
        <v>020539</v>
      </c>
      <c r="G164" s="72" t="str">
        <f t="shared" si="7"/>
        <v>020539</v>
      </c>
      <c r="H164" s="74" t="s">
        <v>3984</v>
      </c>
    </row>
    <row r="165" spans="1:8" ht="18.75">
      <c r="A165" s="70">
        <v>2</v>
      </c>
      <c r="B165" s="70">
        <v>5</v>
      </c>
      <c r="C165" s="70">
        <v>40</v>
      </c>
      <c r="D165" s="71" t="s">
        <v>2819</v>
      </c>
      <c r="E165" s="72" t="s">
        <v>829</v>
      </c>
      <c r="F165" s="73" t="str">
        <f t="shared" si="6"/>
        <v>020540</v>
      </c>
      <c r="G165" s="72" t="str">
        <f t="shared" si="7"/>
        <v>020540</v>
      </c>
      <c r="H165" s="74" t="s">
        <v>3985</v>
      </c>
    </row>
    <row r="166" spans="1:8" ht="18.75">
      <c r="A166" s="70">
        <v>2</v>
      </c>
      <c r="B166" s="70">
        <v>5</v>
      </c>
      <c r="C166" s="70">
        <v>41</v>
      </c>
      <c r="D166" s="71" t="s">
        <v>3102</v>
      </c>
      <c r="E166" s="72" t="s">
        <v>829</v>
      </c>
      <c r="F166" s="73" t="str">
        <f t="shared" si="6"/>
        <v>020541</v>
      </c>
      <c r="G166" s="72" t="str">
        <f t="shared" si="7"/>
        <v>020541</v>
      </c>
      <c r="H166" s="74" t="s">
        <v>3986</v>
      </c>
    </row>
    <row r="167" spans="1:8" ht="18.75">
      <c r="A167" s="70">
        <v>2</v>
      </c>
      <c r="B167" s="70">
        <v>5</v>
      </c>
      <c r="C167" s="70">
        <v>42</v>
      </c>
      <c r="D167" s="71" t="s">
        <v>3101</v>
      </c>
      <c r="E167" s="72" t="s">
        <v>829</v>
      </c>
      <c r="F167" s="73" t="str">
        <f t="shared" si="6"/>
        <v>020542</v>
      </c>
      <c r="G167" s="72" t="str">
        <f t="shared" si="7"/>
        <v>020542</v>
      </c>
      <c r="H167" s="74" t="s">
        <v>3987</v>
      </c>
    </row>
    <row r="168" spans="1:8" ht="18.75">
      <c r="A168" s="70">
        <v>2</v>
      </c>
      <c r="B168" s="70">
        <v>5</v>
      </c>
      <c r="C168" s="70">
        <v>43</v>
      </c>
      <c r="D168" s="71" t="s">
        <v>3103</v>
      </c>
      <c r="E168" s="72" t="s">
        <v>829</v>
      </c>
      <c r="F168" s="73" t="str">
        <f t="shared" si="6"/>
        <v>020543</v>
      </c>
      <c r="G168" s="72" t="str">
        <f t="shared" si="7"/>
        <v>020543</v>
      </c>
      <c r="H168" s="74" t="s">
        <v>3988</v>
      </c>
    </row>
    <row r="169" spans="1:8" ht="18.75">
      <c r="A169" s="70">
        <v>2</v>
      </c>
      <c r="B169" s="70">
        <v>5</v>
      </c>
      <c r="C169" s="70">
        <v>44</v>
      </c>
      <c r="D169" s="71" t="s">
        <v>5797</v>
      </c>
      <c r="E169" s="72" t="s">
        <v>829</v>
      </c>
      <c r="F169" s="73" t="str">
        <f t="shared" si="6"/>
        <v>020544</v>
      </c>
      <c r="G169" s="72" t="str">
        <f t="shared" si="7"/>
        <v>020544</v>
      </c>
      <c r="H169" s="74" t="s">
        <v>3989</v>
      </c>
    </row>
    <row r="170" spans="1:8" ht="18.75">
      <c r="A170" s="70">
        <v>2</v>
      </c>
      <c r="B170" s="70">
        <v>5</v>
      </c>
      <c r="C170" s="70">
        <v>45</v>
      </c>
      <c r="D170" s="71" t="s">
        <v>5691</v>
      </c>
      <c r="E170" s="72" t="s">
        <v>829</v>
      </c>
      <c r="F170" s="73" t="str">
        <f t="shared" si="6"/>
        <v>020545</v>
      </c>
      <c r="G170" s="72" t="str">
        <f t="shared" si="7"/>
        <v>020545</v>
      </c>
      <c r="H170" s="74" t="s">
        <v>3990</v>
      </c>
    </row>
    <row r="171" spans="1:8" ht="18.75">
      <c r="A171" s="70">
        <v>2</v>
      </c>
      <c r="B171" s="70">
        <v>5</v>
      </c>
      <c r="C171" s="70">
        <v>46</v>
      </c>
      <c r="D171" s="71" t="s">
        <v>262</v>
      </c>
      <c r="E171" s="72" t="s">
        <v>829</v>
      </c>
      <c r="F171" s="73" t="str">
        <f t="shared" si="6"/>
        <v>020546</v>
      </c>
      <c r="G171" s="72" t="str">
        <f t="shared" si="7"/>
        <v>020546</v>
      </c>
      <c r="H171" s="74" t="s">
        <v>3991</v>
      </c>
    </row>
    <row r="172" spans="1:8" ht="18.75">
      <c r="A172" s="70">
        <v>2</v>
      </c>
      <c r="B172" s="70">
        <v>5</v>
      </c>
      <c r="C172" s="70">
        <v>47</v>
      </c>
      <c r="D172" s="71" t="s">
        <v>3104</v>
      </c>
      <c r="E172" s="72" t="s">
        <v>829</v>
      </c>
      <c r="F172" s="73" t="str">
        <f t="shared" si="6"/>
        <v>020547</v>
      </c>
      <c r="G172" s="72" t="str">
        <f t="shared" si="7"/>
        <v>020547</v>
      </c>
      <c r="H172" s="74" t="s">
        <v>3992</v>
      </c>
    </row>
    <row r="173" spans="1:8" ht="18.75">
      <c r="A173" s="70">
        <v>2</v>
      </c>
      <c r="B173" s="70">
        <v>5</v>
      </c>
      <c r="C173" s="70">
        <v>48</v>
      </c>
      <c r="D173" s="71" t="s">
        <v>3105</v>
      </c>
      <c r="E173" s="72" t="s">
        <v>829</v>
      </c>
      <c r="F173" s="73" t="str">
        <f t="shared" si="6"/>
        <v>020548</v>
      </c>
      <c r="G173" s="72" t="str">
        <f t="shared" si="7"/>
        <v>020548</v>
      </c>
      <c r="H173" s="74" t="s">
        <v>3993</v>
      </c>
    </row>
    <row r="174" spans="1:8" ht="18.75">
      <c r="A174" s="70">
        <v>2</v>
      </c>
      <c r="B174" s="70">
        <v>5</v>
      </c>
      <c r="C174" s="70">
        <v>49</v>
      </c>
      <c r="D174" s="71" t="s">
        <v>3106</v>
      </c>
      <c r="E174" s="72" t="s">
        <v>829</v>
      </c>
      <c r="F174" s="73" t="str">
        <f t="shared" si="6"/>
        <v>020549</v>
      </c>
      <c r="G174" s="72" t="str">
        <f t="shared" si="7"/>
        <v>020549</v>
      </c>
      <c r="H174" s="74" t="s">
        <v>3994</v>
      </c>
    </row>
    <row r="175" spans="1:8" ht="18.75">
      <c r="A175" s="70">
        <v>2</v>
      </c>
      <c r="B175" s="70">
        <v>5</v>
      </c>
      <c r="C175" s="70">
        <v>50</v>
      </c>
      <c r="D175" s="71" t="s">
        <v>3107</v>
      </c>
      <c r="E175" s="72" t="s">
        <v>829</v>
      </c>
      <c r="F175" s="73" t="str">
        <f t="shared" si="6"/>
        <v>020550</v>
      </c>
      <c r="G175" s="72" t="str">
        <f t="shared" si="7"/>
        <v>020550</v>
      </c>
      <c r="H175" s="74" t="s">
        <v>3995</v>
      </c>
    </row>
    <row r="176" spans="1:8" ht="18.75">
      <c r="A176" s="70">
        <v>2</v>
      </c>
      <c r="B176" s="70">
        <v>5</v>
      </c>
      <c r="C176" s="70">
        <v>51</v>
      </c>
      <c r="D176" s="71" t="s">
        <v>3108</v>
      </c>
      <c r="E176" s="72" t="s">
        <v>829</v>
      </c>
      <c r="F176" s="73" t="str">
        <f t="shared" si="6"/>
        <v>020551</v>
      </c>
      <c r="G176" s="72" t="str">
        <f t="shared" si="7"/>
        <v>020551</v>
      </c>
      <c r="H176" s="74" t="s">
        <v>3996</v>
      </c>
    </row>
    <row r="177" spans="1:8" ht="18.75">
      <c r="A177" s="70">
        <v>2</v>
      </c>
      <c r="B177" s="70">
        <v>5</v>
      </c>
      <c r="C177" s="70">
        <v>52</v>
      </c>
      <c r="D177" s="71" t="s">
        <v>3109</v>
      </c>
      <c r="E177" s="72" t="s">
        <v>829</v>
      </c>
      <c r="F177" s="73" t="str">
        <f t="shared" si="6"/>
        <v>020552</v>
      </c>
      <c r="G177" s="72" t="str">
        <f t="shared" si="7"/>
        <v>020552</v>
      </c>
      <c r="H177" s="74" t="s">
        <v>3997</v>
      </c>
    </row>
    <row r="178" spans="1:8" ht="18.75">
      <c r="A178" s="70">
        <v>2</v>
      </c>
      <c r="B178" s="70">
        <v>5</v>
      </c>
      <c r="C178" s="70">
        <v>53</v>
      </c>
      <c r="D178" s="71" t="s">
        <v>3110</v>
      </c>
      <c r="E178" s="72" t="s">
        <v>829</v>
      </c>
      <c r="F178" s="73" t="str">
        <f t="shared" si="6"/>
        <v>020553</v>
      </c>
      <c r="G178" s="72" t="str">
        <f t="shared" si="7"/>
        <v>020553</v>
      </c>
      <c r="H178" s="74" t="s">
        <v>3998</v>
      </c>
    </row>
    <row r="179" spans="1:8" ht="18.75">
      <c r="A179" s="70">
        <v>2</v>
      </c>
      <c r="B179" s="70">
        <v>5</v>
      </c>
      <c r="C179" s="70">
        <v>54</v>
      </c>
      <c r="D179" s="71" t="s">
        <v>3111</v>
      </c>
      <c r="E179" s="72" t="s">
        <v>829</v>
      </c>
      <c r="F179" s="73" t="str">
        <f t="shared" si="6"/>
        <v>020554</v>
      </c>
      <c r="G179" s="72" t="str">
        <f t="shared" si="7"/>
        <v>020554</v>
      </c>
      <c r="H179" s="74" t="s">
        <v>3999</v>
      </c>
    </row>
    <row r="180" spans="1:8" ht="18.75">
      <c r="A180" s="70">
        <v>2</v>
      </c>
      <c r="B180" s="70">
        <v>5</v>
      </c>
      <c r="C180" s="70">
        <v>55</v>
      </c>
      <c r="D180" s="71" t="s">
        <v>3112</v>
      </c>
      <c r="E180" s="72" t="s">
        <v>829</v>
      </c>
      <c r="F180" s="73" t="str">
        <f t="shared" si="6"/>
        <v>020555</v>
      </c>
      <c r="G180" s="72" t="str">
        <f t="shared" si="7"/>
        <v>020555</v>
      </c>
      <c r="H180" s="74" t="s">
        <v>4000</v>
      </c>
    </row>
    <row r="181" spans="1:8" ht="18.75">
      <c r="A181" s="70">
        <v>2</v>
      </c>
      <c r="B181" s="70">
        <v>5</v>
      </c>
      <c r="C181" s="70">
        <v>56</v>
      </c>
      <c r="D181" s="71" t="s">
        <v>3113</v>
      </c>
      <c r="E181" s="72" t="s">
        <v>829</v>
      </c>
      <c r="F181" s="73" t="str">
        <f t="shared" si="6"/>
        <v>020556</v>
      </c>
      <c r="G181" s="72" t="str">
        <f t="shared" si="7"/>
        <v>020556</v>
      </c>
      <c r="H181" s="74" t="s">
        <v>4001</v>
      </c>
    </row>
    <row r="182" spans="1:8" ht="18.75">
      <c r="A182" s="70">
        <v>2</v>
      </c>
      <c r="B182" s="70">
        <v>5</v>
      </c>
      <c r="C182" s="70">
        <v>57</v>
      </c>
      <c r="D182" s="71" t="s">
        <v>3116</v>
      </c>
      <c r="E182" s="72" t="s">
        <v>829</v>
      </c>
      <c r="F182" s="73" t="str">
        <f t="shared" si="6"/>
        <v>020557</v>
      </c>
      <c r="G182" s="72" t="str">
        <f t="shared" si="7"/>
        <v>020557</v>
      </c>
      <c r="H182" s="74" t="s">
        <v>4002</v>
      </c>
    </row>
    <row r="183" spans="1:8" ht="18.75">
      <c r="A183" s="70">
        <v>2</v>
      </c>
      <c r="B183" s="70">
        <v>5</v>
      </c>
      <c r="C183" s="70">
        <v>58</v>
      </c>
      <c r="D183" s="71" t="s">
        <v>3117</v>
      </c>
      <c r="E183" s="72" t="s">
        <v>829</v>
      </c>
      <c r="F183" s="73" t="str">
        <f t="shared" si="6"/>
        <v>020558</v>
      </c>
      <c r="G183" s="72" t="str">
        <f t="shared" si="7"/>
        <v>020558</v>
      </c>
      <c r="H183" s="74" t="s">
        <v>4003</v>
      </c>
    </row>
    <row r="184" spans="1:8" ht="18.75">
      <c r="A184" s="70">
        <v>2</v>
      </c>
      <c r="B184" s="70">
        <v>5</v>
      </c>
      <c r="C184" s="70">
        <v>59</v>
      </c>
      <c r="D184" s="71" t="s">
        <v>128</v>
      </c>
      <c r="E184" s="72" t="s">
        <v>829</v>
      </c>
      <c r="F184" s="73" t="str">
        <f t="shared" si="6"/>
        <v>020559</v>
      </c>
      <c r="G184" s="72" t="str">
        <f t="shared" si="7"/>
        <v>020559</v>
      </c>
      <c r="H184" s="74" t="s">
        <v>4004</v>
      </c>
    </row>
    <row r="185" spans="1:8" ht="18.75">
      <c r="A185" s="70">
        <v>2</v>
      </c>
      <c r="B185" s="70">
        <v>5</v>
      </c>
      <c r="C185" s="70">
        <v>60</v>
      </c>
      <c r="D185" s="71" t="s">
        <v>3114</v>
      </c>
      <c r="E185" s="72" t="s">
        <v>829</v>
      </c>
      <c r="F185" s="73" t="str">
        <f t="shared" si="6"/>
        <v>020560</v>
      </c>
      <c r="G185" s="72" t="str">
        <f t="shared" si="7"/>
        <v>020560</v>
      </c>
      <c r="H185" s="74" t="s">
        <v>4005</v>
      </c>
    </row>
    <row r="186" spans="1:8" ht="18.75">
      <c r="A186" s="70">
        <v>2</v>
      </c>
      <c r="B186" s="70">
        <v>5</v>
      </c>
      <c r="C186" s="70">
        <v>61</v>
      </c>
      <c r="D186" s="71" t="s">
        <v>191</v>
      </c>
      <c r="E186" s="72" t="s">
        <v>829</v>
      </c>
      <c r="F186" s="73" t="str">
        <f t="shared" si="6"/>
        <v>020561</v>
      </c>
      <c r="G186" s="72" t="str">
        <f t="shared" si="7"/>
        <v>020561</v>
      </c>
      <c r="H186" s="74" t="s">
        <v>4006</v>
      </c>
    </row>
    <row r="187" spans="1:8" ht="18.75">
      <c r="A187" s="70">
        <v>2</v>
      </c>
      <c r="B187" s="70">
        <v>5</v>
      </c>
      <c r="C187" s="70">
        <v>62</v>
      </c>
      <c r="D187" s="71" t="s">
        <v>5798</v>
      </c>
      <c r="E187" s="72" t="s">
        <v>829</v>
      </c>
      <c r="F187" s="73" t="str">
        <f t="shared" si="6"/>
        <v>020562</v>
      </c>
      <c r="G187" s="72" t="str">
        <f t="shared" si="7"/>
        <v>020562</v>
      </c>
      <c r="H187" s="74" t="s">
        <v>4007</v>
      </c>
    </row>
    <row r="188" spans="1:8" ht="18.75">
      <c r="A188" s="70">
        <v>2</v>
      </c>
      <c r="B188" s="70">
        <v>5</v>
      </c>
      <c r="C188" s="70">
        <v>67</v>
      </c>
      <c r="D188" s="71" t="s">
        <v>5799</v>
      </c>
      <c r="E188" s="72" t="s">
        <v>829</v>
      </c>
      <c r="F188" s="73" t="str">
        <f t="shared" si="6"/>
        <v>020567</v>
      </c>
      <c r="G188" s="72" t="str">
        <f t="shared" si="7"/>
        <v>020567</v>
      </c>
      <c r="H188" s="74" t="s">
        <v>4008</v>
      </c>
    </row>
    <row r="189" spans="1:8" ht="18.75">
      <c r="A189" s="70">
        <v>2</v>
      </c>
      <c r="B189" s="70">
        <v>5</v>
      </c>
      <c r="C189" s="70">
        <v>63</v>
      </c>
      <c r="D189" s="71" t="s">
        <v>5800</v>
      </c>
      <c r="E189" s="72" t="s">
        <v>829</v>
      </c>
      <c r="F189" s="73" t="str">
        <f t="shared" si="6"/>
        <v>020563</v>
      </c>
      <c r="G189" s="72" t="str">
        <f t="shared" si="7"/>
        <v>020563</v>
      </c>
      <c r="H189" s="74" t="s">
        <v>4009</v>
      </c>
    </row>
    <row r="190" spans="1:8" ht="18.75">
      <c r="A190" s="70">
        <v>2</v>
      </c>
      <c r="B190" s="70">
        <v>5</v>
      </c>
      <c r="C190" s="70">
        <v>64</v>
      </c>
      <c r="D190" s="71" t="s">
        <v>5801</v>
      </c>
      <c r="E190" s="72" t="s">
        <v>829</v>
      </c>
      <c r="F190" s="73" t="str">
        <f t="shared" si="6"/>
        <v>020564</v>
      </c>
      <c r="G190" s="72" t="str">
        <f t="shared" si="7"/>
        <v>020564</v>
      </c>
      <c r="H190" s="74" t="s">
        <v>4010</v>
      </c>
    </row>
    <row r="191" spans="1:8" ht="18.75">
      <c r="A191" s="70">
        <v>2</v>
      </c>
      <c r="B191" s="70">
        <v>5</v>
      </c>
      <c r="C191" s="70">
        <v>65</v>
      </c>
      <c r="D191" s="71" t="s">
        <v>5692</v>
      </c>
      <c r="E191" s="72" t="s">
        <v>829</v>
      </c>
      <c r="F191" s="73" t="str">
        <f t="shared" si="6"/>
        <v>020565</v>
      </c>
      <c r="G191" s="72" t="str">
        <f t="shared" si="7"/>
        <v>020565</v>
      </c>
      <c r="H191" s="74" t="s">
        <v>4011</v>
      </c>
    </row>
    <row r="192" spans="1:8" ht="18.75">
      <c r="A192" s="70">
        <v>2</v>
      </c>
      <c r="B192" s="70">
        <v>5</v>
      </c>
      <c r="C192" s="70">
        <v>66</v>
      </c>
      <c r="D192" s="71" t="s">
        <v>3115</v>
      </c>
      <c r="E192" s="72" t="s">
        <v>829</v>
      </c>
      <c r="F192" s="73" t="str">
        <f t="shared" si="6"/>
        <v>020566</v>
      </c>
      <c r="G192" s="72" t="str">
        <f t="shared" si="7"/>
        <v>020566</v>
      </c>
      <c r="H192" s="74" t="s">
        <v>4012</v>
      </c>
    </row>
    <row r="193" spans="1:8" ht="18.75">
      <c r="A193" s="70">
        <v>2</v>
      </c>
      <c r="B193" s="70">
        <v>5</v>
      </c>
      <c r="C193" s="70">
        <v>68</v>
      </c>
      <c r="D193" s="71" t="s">
        <v>4013</v>
      </c>
      <c r="E193" s="72" t="s">
        <v>829</v>
      </c>
      <c r="F193" s="73" t="str">
        <f t="shared" si="6"/>
        <v>020568</v>
      </c>
      <c r="G193" s="72" t="str">
        <f t="shared" si="7"/>
        <v>020568</v>
      </c>
      <c r="H193" s="74" t="s">
        <v>4014</v>
      </c>
    </row>
    <row r="194" spans="1:8" ht="18.75">
      <c r="A194" s="70">
        <v>2</v>
      </c>
      <c r="B194" s="70">
        <v>5</v>
      </c>
      <c r="C194" s="70">
        <v>69</v>
      </c>
      <c r="D194" s="71" t="s">
        <v>5463</v>
      </c>
      <c r="E194" s="72" t="s">
        <v>829</v>
      </c>
      <c r="F194" s="73" t="str">
        <f t="shared" si="6"/>
        <v>020569</v>
      </c>
      <c r="G194" s="72" t="str">
        <f t="shared" si="7"/>
        <v>020569</v>
      </c>
      <c r="H194" s="74" t="s">
        <v>5464</v>
      </c>
    </row>
    <row r="195" spans="1:8" ht="18.75">
      <c r="A195" s="70">
        <v>2</v>
      </c>
      <c r="B195" s="70">
        <v>5</v>
      </c>
      <c r="C195" s="70">
        <v>70</v>
      </c>
      <c r="D195" s="71" t="s">
        <v>5693</v>
      </c>
      <c r="E195" s="72" t="s">
        <v>829</v>
      </c>
      <c r="F195" s="73" t="str">
        <f t="shared" si="6"/>
        <v>020570</v>
      </c>
      <c r="G195" s="72" t="str">
        <f t="shared" si="7"/>
        <v>020570</v>
      </c>
      <c r="H195" s="74" t="s">
        <v>5694</v>
      </c>
    </row>
    <row r="196" spans="1:8" ht="18.75">
      <c r="A196" s="70">
        <v>2</v>
      </c>
      <c r="B196" s="70">
        <v>5</v>
      </c>
      <c r="C196" s="70">
        <v>71</v>
      </c>
      <c r="D196" s="71" t="s">
        <v>5695</v>
      </c>
      <c r="E196" s="72" t="s">
        <v>829</v>
      </c>
      <c r="F196" s="73" t="str">
        <f t="shared" si="6"/>
        <v>020571</v>
      </c>
      <c r="G196" s="72" t="str">
        <f t="shared" si="7"/>
        <v>020571</v>
      </c>
      <c r="H196" s="74" t="s">
        <v>5696</v>
      </c>
    </row>
    <row r="197" spans="1:8" ht="18.75">
      <c r="A197" s="70">
        <v>2</v>
      </c>
      <c r="B197" s="70">
        <v>5</v>
      </c>
      <c r="C197" s="70">
        <v>72</v>
      </c>
      <c r="D197" s="71" t="s">
        <v>5802</v>
      </c>
      <c r="E197" s="72" t="s">
        <v>829</v>
      </c>
      <c r="F197" s="73" t="str">
        <f t="shared" si="6"/>
        <v>020572</v>
      </c>
      <c r="G197" s="72" t="str">
        <f t="shared" si="7"/>
        <v>020572</v>
      </c>
      <c r="H197" s="74" t="s">
        <v>5803</v>
      </c>
    </row>
    <row r="198" spans="1:8" ht="18.75">
      <c r="A198" s="70">
        <v>2</v>
      </c>
      <c r="B198" s="70">
        <v>5</v>
      </c>
      <c r="C198" s="70">
        <v>73</v>
      </c>
      <c r="D198" s="71" t="s">
        <v>5804</v>
      </c>
      <c r="E198" s="72" t="s">
        <v>829</v>
      </c>
      <c r="F198" s="73" t="str">
        <f t="shared" si="6"/>
        <v>020573</v>
      </c>
      <c r="G198" s="72" t="str">
        <f t="shared" si="7"/>
        <v>020573</v>
      </c>
      <c r="H198" s="74" t="s">
        <v>5805</v>
      </c>
    </row>
    <row r="199" spans="1:8" ht="18.75">
      <c r="A199" s="62">
        <v>3</v>
      </c>
      <c r="B199" s="62">
        <v>0</v>
      </c>
      <c r="C199" s="62">
        <v>0</v>
      </c>
      <c r="D199" s="63" t="s">
        <v>2764</v>
      </c>
      <c r="E199" s="64"/>
      <c r="F199" s="75"/>
      <c r="G199" s="76"/>
      <c r="H199" s="77"/>
    </row>
    <row r="200" spans="1:8" ht="18.75">
      <c r="A200" s="66">
        <v>3</v>
      </c>
      <c r="B200" s="66">
        <v>1</v>
      </c>
      <c r="C200" s="66">
        <v>0</v>
      </c>
      <c r="D200" s="67" t="s">
        <v>2764</v>
      </c>
      <c r="E200" s="68"/>
      <c r="F200" s="78"/>
      <c r="G200" s="79"/>
      <c r="H200" s="80"/>
    </row>
    <row r="201" spans="1:8" ht="18.75">
      <c r="A201" s="70">
        <v>3</v>
      </c>
      <c r="B201" s="70">
        <v>1</v>
      </c>
      <c r="C201" s="70">
        <v>1</v>
      </c>
      <c r="D201" s="71" t="s">
        <v>4015</v>
      </c>
      <c r="E201" s="72" t="s">
        <v>3907</v>
      </c>
      <c r="F201" s="73" t="str">
        <f t="shared" ref="F201:F207" si="8">TEXT(A201,"00")&amp;TEXT(B201,"00")&amp;TEXT(C201,"00")</f>
        <v>030101</v>
      </c>
      <c r="G201" s="72" t="str">
        <f t="shared" ref="G201:G207" si="9">TEXT(F201,"000000")</f>
        <v>030101</v>
      </c>
      <c r="H201" s="74" t="s">
        <v>4016</v>
      </c>
    </row>
    <row r="202" spans="1:8" ht="18.75">
      <c r="A202" s="70">
        <v>3</v>
      </c>
      <c r="B202" s="70">
        <v>1</v>
      </c>
      <c r="C202" s="70">
        <v>2</v>
      </c>
      <c r="D202" s="71" t="s">
        <v>4017</v>
      </c>
      <c r="E202" s="72" t="s">
        <v>3907</v>
      </c>
      <c r="F202" s="73" t="str">
        <f t="shared" si="8"/>
        <v>030102</v>
      </c>
      <c r="G202" s="72" t="str">
        <f t="shared" si="9"/>
        <v>030102</v>
      </c>
      <c r="H202" s="74" t="s">
        <v>4018</v>
      </c>
    </row>
    <row r="203" spans="1:8" ht="18.75">
      <c r="A203" s="70">
        <v>3</v>
      </c>
      <c r="B203" s="70">
        <v>1</v>
      </c>
      <c r="C203" s="70">
        <v>3</v>
      </c>
      <c r="D203" s="71" t="s">
        <v>4019</v>
      </c>
      <c r="E203" s="72" t="s">
        <v>3907</v>
      </c>
      <c r="F203" s="73" t="str">
        <f t="shared" si="8"/>
        <v>030103</v>
      </c>
      <c r="G203" s="72" t="str">
        <f t="shared" si="9"/>
        <v>030103</v>
      </c>
      <c r="H203" s="74" t="s">
        <v>4020</v>
      </c>
    </row>
    <row r="204" spans="1:8" ht="18.75">
      <c r="A204" s="70">
        <v>3</v>
      </c>
      <c r="B204" s="70">
        <v>1</v>
      </c>
      <c r="C204" s="70">
        <v>4</v>
      </c>
      <c r="D204" s="71" t="s">
        <v>4021</v>
      </c>
      <c r="E204" s="72" t="s">
        <v>3907</v>
      </c>
      <c r="F204" s="73" t="str">
        <f t="shared" si="8"/>
        <v>030104</v>
      </c>
      <c r="G204" s="72" t="str">
        <f t="shared" si="9"/>
        <v>030104</v>
      </c>
      <c r="H204" s="74" t="s">
        <v>4022</v>
      </c>
    </row>
    <row r="205" spans="1:8" ht="18.75">
      <c r="A205" s="70">
        <v>3</v>
      </c>
      <c r="B205" s="70">
        <v>1</v>
      </c>
      <c r="C205" s="70">
        <v>6</v>
      </c>
      <c r="D205" s="71" t="s">
        <v>2828</v>
      </c>
      <c r="E205" s="72" t="s">
        <v>3907</v>
      </c>
      <c r="F205" s="73" t="str">
        <f t="shared" si="8"/>
        <v>030106</v>
      </c>
      <c r="G205" s="72" t="str">
        <f t="shared" si="9"/>
        <v>030106</v>
      </c>
      <c r="H205" s="74" t="s">
        <v>4023</v>
      </c>
    </row>
    <row r="206" spans="1:8" ht="18.75">
      <c r="A206" s="70">
        <v>3</v>
      </c>
      <c r="B206" s="70">
        <v>1</v>
      </c>
      <c r="C206" s="70">
        <v>7</v>
      </c>
      <c r="D206" s="71" t="s">
        <v>2829</v>
      </c>
      <c r="E206" s="72" t="s">
        <v>3907</v>
      </c>
      <c r="F206" s="73" t="str">
        <f t="shared" si="8"/>
        <v>030107</v>
      </c>
      <c r="G206" s="72" t="str">
        <f t="shared" si="9"/>
        <v>030107</v>
      </c>
      <c r="H206" s="74" t="s">
        <v>4024</v>
      </c>
    </row>
    <row r="207" spans="1:8" ht="18.75">
      <c r="A207" s="70">
        <v>3</v>
      </c>
      <c r="B207" s="70">
        <v>1</v>
      </c>
      <c r="C207" s="70">
        <v>8</v>
      </c>
      <c r="D207" s="71" t="s">
        <v>2830</v>
      </c>
      <c r="E207" s="72" t="s">
        <v>3907</v>
      </c>
      <c r="F207" s="73" t="str">
        <f t="shared" si="8"/>
        <v>030108</v>
      </c>
      <c r="G207" s="72" t="str">
        <f t="shared" si="9"/>
        <v>030108</v>
      </c>
      <c r="H207" s="74" t="s">
        <v>4025</v>
      </c>
    </row>
    <row r="208" spans="1:8" ht="18.75">
      <c r="A208" s="66">
        <v>3</v>
      </c>
      <c r="B208" s="66">
        <v>2</v>
      </c>
      <c r="C208" s="66">
        <v>0</v>
      </c>
      <c r="D208" s="67" t="s">
        <v>2935</v>
      </c>
      <c r="E208" s="68"/>
      <c r="F208" s="78"/>
      <c r="G208" s="79"/>
      <c r="H208" s="80"/>
    </row>
    <row r="209" spans="1:8" ht="18.75">
      <c r="A209" s="70">
        <v>3</v>
      </c>
      <c r="B209" s="70">
        <v>2</v>
      </c>
      <c r="C209" s="70">
        <v>11</v>
      </c>
      <c r="D209" s="71" t="s">
        <v>173</v>
      </c>
      <c r="E209" s="72" t="s">
        <v>829</v>
      </c>
      <c r="F209" s="73" t="str">
        <f>TEXT(A209,"00")&amp;TEXT(B209,"00")&amp;TEXT(C209,"00")</f>
        <v>030211</v>
      </c>
      <c r="G209" s="72" t="str">
        <f>TEXT(F209,"000000")</f>
        <v>030211</v>
      </c>
      <c r="H209" s="74" t="s">
        <v>4026</v>
      </c>
    </row>
    <row r="210" spans="1:8" ht="18.75">
      <c r="A210" s="70">
        <v>3</v>
      </c>
      <c r="B210" s="70">
        <v>2</v>
      </c>
      <c r="C210" s="70">
        <v>12</v>
      </c>
      <c r="D210" s="71" t="s">
        <v>765</v>
      </c>
      <c r="E210" s="72" t="s">
        <v>829</v>
      </c>
      <c r="F210" s="73" t="str">
        <f>TEXT(A210,"00")&amp;TEXT(B210,"00")&amp;TEXT(C210,"00")</f>
        <v>030212</v>
      </c>
      <c r="G210" s="72" t="str">
        <f>TEXT(F210,"000000")</f>
        <v>030212</v>
      </c>
      <c r="H210" s="74" t="s">
        <v>4027</v>
      </c>
    </row>
    <row r="211" spans="1:8" ht="18.75">
      <c r="A211" s="62">
        <v>4</v>
      </c>
      <c r="B211" s="62">
        <v>0</v>
      </c>
      <c r="C211" s="62">
        <v>0</v>
      </c>
      <c r="D211" s="63" t="s">
        <v>2769</v>
      </c>
      <c r="E211" s="64"/>
      <c r="F211" s="75"/>
      <c r="G211" s="76"/>
      <c r="H211" s="77"/>
    </row>
    <row r="212" spans="1:8" ht="18.75">
      <c r="A212" s="66">
        <v>4</v>
      </c>
      <c r="B212" s="66">
        <v>1</v>
      </c>
      <c r="C212" s="66">
        <v>0</v>
      </c>
      <c r="D212" s="67" t="s">
        <v>2825</v>
      </c>
      <c r="E212" s="68"/>
      <c r="F212" s="78"/>
      <c r="G212" s="79"/>
      <c r="H212" s="80"/>
    </row>
    <row r="213" spans="1:8" ht="18.75">
      <c r="A213" s="70">
        <v>4</v>
      </c>
      <c r="B213" s="70">
        <v>1</v>
      </c>
      <c r="C213" s="70">
        <v>11</v>
      </c>
      <c r="D213" s="71" t="s">
        <v>37</v>
      </c>
      <c r="E213" s="72" t="s">
        <v>4028</v>
      </c>
      <c r="F213" s="73" t="str">
        <f>TEXT(A213,"00")&amp;TEXT(B213,"00")&amp;TEXT(C213,"00")</f>
        <v>040111</v>
      </c>
      <c r="G213" s="72" t="str">
        <f>TEXT(F213,"000000")</f>
        <v>040111</v>
      </c>
      <c r="H213" s="74" t="s">
        <v>4029</v>
      </c>
    </row>
    <row r="214" spans="1:8" ht="18.75">
      <c r="A214" s="70">
        <v>4</v>
      </c>
      <c r="B214" s="70">
        <v>1</v>
      </c>
      <c r="C214" s="70">
        <v>21</v>
      </c>
      <c r="D214" s="71" t="s">
        <v>38</v>
      </c>
      <c r="E214" s="72" t="s">
        <v>4028</v>
      </c>
      <c r="F214" s="73" t="str">
        <f>TEXT(A214,"00")&amp;TEXT(B214,"00")&amp;TEXT(C214,"00")</f>
        <v>040121</v>
      </c>
      <c r="G214" s="72" t="str">
        <f>TEXT(F214,"000000")</f>
        <v>040121</v>
      </c>
      <c r="H214" s="74" t="s">
        <v>4030</v>
      </c>
    </row>
    <row r="215" spans="1:8" ht="18.75">
      <c r="A215" s="70">
        <v>4</v>
      </c>
      <c r="B215" s="70">
        <v>1</v>
      </c>
      <c r="C215" s="70">
        <v>22</v>
      </c>
      <c r="D215" s="71" t="s">
        <v>2835</v>
      </c>
      <c r="E215" s="72" t="s">
        <v>4028</v>
      </c>
      <c r="F215" s="73" t="str">
        <f>TEXT(A215,"00")&amp;TEXT(B215,"00")&amp;TEXT(C215,"00")</f>
        <v>040122</v>
      </c>
      <c r="G215" s="72" t="str">
        <f>TEXT(F215,"000000")</f>
        <v>040122</v>
      </c>
      <c r="H215" s="74" t="s">
        <v>4031</v>
      </c>
    </row>
    <row r="216" spans="1:8" ht="18.75">
      <c r="A216" s="70">
        <v>4</v>
      </c>
      <c r="B216" s="70">
        <v>1</v>
      </c>
      <c r="C216" s="70">
        <v>31</v>
      </c>
      <c r="D216" s="71" t="s">
        <v>523</v>
      </c>
      <c r="E216" s="72" t="s">
        <v>829</v>
      </c>
      <c r="F216" s="73" t="str">
        <f>TEXT(A216,"00")&amp;TEXT(B216,"00")&amp;TEXT(C216,"00")</f>
        <v>040131</v>
      </c>
      <c r="G216" s="72" t="str">
        <f>TEXT(F216,"000000")</f>
        <v>040131</v>
      </c>
      <c r="H216" s="74" t="s">
        <v>4032</v>
      </c>
    </row>
    <row r="217" spans="1:8" ht="18.75">
      <c r="A217" s="66">
        <v>4</v>
      </c>
      <c r="B217" s="66">
        <v>2</v>
      </c>
      <c r="C217" s="66">
        <v>0</v>
      </c>
      <c r="D217" s="67" t="s">
        <v>2826</v>
      </c>
      <c r="E217" s="68"/>
      <c r="F217" s="78"/>
      <c r="G217" s="79"/>
      <c r="H217" s="80"/>
    </row>
    <row r="218" spans="1:8" ht="18.75">
      <c r="A218" s="70">
        <v>4</v>
      </c>
      <c r="B218" s="70">
        <v>2</v>
      </c>
      <c r="C218" s="70">
        <v>11</v>
      </c>
      <c r="D218" s="71" t="s">
        <v>575</v>
      </c>
      <c r="E218" s="72" t="s">
        <v>4028</v>
      </c>
      <c r="F218" s="73" t="str">
        <f>TEXT(A218,"00")&amp;TEXT(B218,"00")&amp;TEXT(C218,"00")</f>
        <v>040211</v>
      </c>
      <c r="G218" s="72" t="str">
        <f>TEXT(F218,"000000")</f>
        <v>040211</v>
      </c>
      <c r="H218" s="74" t="s">
        <v>4033</v>
      </c>
    </row>
    <row r="219" spans="1:8" ht="18.75">
      <c r="A219" s="66">
        <v>4</v>
      </c>
      <c r="B219" s="66">
        <v>3</v>
      </c>
      <c r="C219" s="66">
        <v>0</v>
      </c>
      <c r="D219" s="67" t="s">
        <v>2827</v>
      </c>
      <c r="E219" s="68"/>
      <c r="F219" s="78"/>
      <c r="G219" s="79"/>
      <c r="H219" s="80"/>
    </row>
    <row r="220" spans="1:8" ht="18.75">
      <c r="A220" s="70">
        <v>4</v>
      </c>
      <c r="B220" s="70">
        <v>3</v>
      </c>
      <c r="C220" s="70">
        <v>21</v>
      </c>
      <c r="D220" s="71" t="s">
        <v>4034</v>
      </c>
      <c r="E220" s="72" t="s">
        <v>3642</v>
      </c>
      <c r="F220" s="73" t="str">
        <f t="shared" ref="F220:F226" si="10">TEXT(A220,"00")&amp;TEXT(B220,"00")&amp;TEXT(C220,"00")</f>
        <v>040321</v>
      </c>
      <c r="G220" s="72" t="str">
        <f t="shared" ref="G220:G226" si="11">TEXT(F220,"000000")</f>
        <v>040321</v>
      </c>
      <c r="H220" s="74" t="s">
        <v>4035</v>
      </c>
    </row>
    <row r="221" spans="1:8" ht="18.75">
      <c r="A221" s="70">
        <v>4</v>
      </c>
      <c r="B221" s="70">
        <v>3</v>
      </c>
      <c r="C221" s="70">
        <v>22</v>
      </c>
      <c r="D221" s="71" t="s">
        <v>4036</v>
      </c>
      <c r="E221" s="72" t="s">
        <v>3642</v>
      </c>
      <c r="F221" s="73" t="str">
        <f t="shared" si="10"/>
        <v>040322</v>
      </c>
      <c r="G221" s="72" t="str">
        <f t="shared" si="11"/>
        <v>040322</v>
      </c>
      <c r="H221" s="74" t="s">
        <v>4037</v>
      </c>
    </row>
    <row r="222" spans="1:8" ht="18.75">
      <c r="A222" s="70">
        <v>4</v>
      </c>
      <c r="B222" s="70">
        <v>3</v>
      </c>
      <c r="C222" s="70">
        <v>31</v>
      </c>
      <c r="D222" s="71" t="s">
        <v>411</v>
      </c>
      <c r="E222" s="72" t="s">
        <v>829</v>
      </c>
      <c r="F222" s="73" t="str">
        <f t="shared" si="10"/>
        <v>040331</v>
      </c>
      <c r="G222" s="72" t="str">
        <f t="shared" si="11"/>
        <v>040331</v>
      </c>
      <c r="H222" s="74" t="s">
        <v>4038</v>
      </c>
    </row>
    <row r="223" spans="1:8" ht="18.75">
      <c r="A223" s="70">
        <v>4</v>
      </c>
      <c r="B223" s="70">
        <v>3</v>
      </c>
      <c r="C223" s="70">
        <v>32</v>
      </c>
      <c r="D223" s="71" t="s">
        <v>2831</v>
      </c>
      <c r="E223" s="72" t="s">
        <v>829</v>
      </c>
      <c r="F223" s="73" t="str">
        <f t="shared" si="10"/>
        <v>040332</v>
      </c>
      <c r="G223" s="72" t="str">
        <f t="shared" si="11"/>
        <v>040332</v>
      </c>
      <c r="H223" s="74" t="s">
        <v>4039</v>
      </c>
    </row>
    <row r="224" spans="1:8" ht="18.75">
      <c r="A224" s="70">
        <v>4</v>
      </c>
      <c r="B224" s="70">
        <v>3</v>
      </c>
      <c r="C224" s="70">
        <v>33</v>
      </c>
      <c r="D224" s="71" t="s">
        <v>2833</v>
      </c>
      <c r="E224" s="72" t="s">
        <v>829</v>
      </c>
      <c r="F224" s="73" t="str">
        <f t="shared" si="10"/>
        <v>040333</v>
      </c>
      <c r="G224" s="72" t="str">
        <f t="shared" si="11"/>
        <v>040333</v>
      </c>
      <c r="H224" s="74" t="s">
        <v>4040</v>
      </c>
    </row>
    <row r="225" spans="1:8" ht="18.75">
      <c r="A225" s="70">
        <v>4</v>
      </c>
      <c r="B225" s="70">
        <v>3</v>
      </c>
      <c r="C225" s="70">
        <v>41</v>
      </c>
      <c r="D225" s="71" t="s">
        <v>2832</v>
      </c>
      <c r="E225" s="72" t="s">
        <v>829</v>
      </c>
      <c r="F225" s="73" t="str">
        <f t="shared" si="10"/>
        <v>040341</v>
      </c>
      <c r="G225" s="72" t="str">
        <f t="shared" si="11"/>
        <v>040341</v>
      </c>
      <c r="H225" s="74" t="s">
        <v>4041</v>
      </c>
    </row>
    <row r="226" spans="1:8" ht="18.75">
      <c r="A226" s="70">
        <v>4</v>
      </c>
      <c r="B226" s="70">
        <v>3</v>
      </c>
      <c r="C226" s="70">
        <v>51</v>
      </c>
      <c r="D226" s="71" t="s">
        <v>3620</v>
      </c>
      <c r="E226" s="72" t="s">
        <v>3642</v>
      </c>
      <c r="F226" s="73" t="str">
        <f t="shared" si="10"/>
        <v>040351</v>
      </c>
      <c r="G226" s="72" t="str">
        <f t="shared" si="11"/>
        <v>040351</v>
      </c>
      <c r="H226" s="74" t="s">
        <v>4042</v>
      </c>
    </row>
    <row r="227" spans="1:8" ht="18.75">
      <c r="A227" s="62">
        <v>5</v>
      </c>
      <c r="B227" s="62">
        <v>0</v>
      </c>
      <c r="C227" s="62">
        <v>0</v>
      </c>
      <c r="D227" s="63" t="s">
        <v>2823</v>
      </c>
      <c r="E227" s="64"/>
      <c r="F227" s="75"/>
      <c r="G227" s="76"/>
      <c r="H227" s="77"/>
    </row>
    <row r="228" spans="1:8" ht="18.75">
      <c r="A228" s="66">
        <v>5</v>
      </c>
      <c r="B228" s="66">
        <v>1</v>
      </c>
      <c r="C228" s="66">
        <v>0</v>
      </c>
      <c r="D228" s="67" t="s">
        <v>2823</v>
      </c>
      <c r="E228" s="68"/>
      <c r="F228" s="78"/>
      <c r="G228" s="79"/>
      <c r="H228" s="80"/>
    </row>
    <row r="229" spans="1:8" ht="18.75">
      <c r="A229" s="70">
        <v>5</v>
      </c>
      <c r="B229" s="70">
        <v>1</v>
      </c>
      <c r="C229" s="70">
        <v>11</v>
      </c>
      <c r="D229" s="71" t="s">
        <v>2834</v>
      </c>
      <c r="E229" s="72" t="s">
        <v>4028</v>
      </c>
      <c r="F229" s="73" t="str">
        <f>TEXT(A229,"00")&amp;TEXT(B229,"00")&amp;TEXT(C229,"00")</f>
        <v>050111</v>
      </c>
      <c r="G229" s="72" t="str">
        <f>TEXT(F229,"000000")</f>
        <v>050111</v>
      </c>
      <c r="H229" s="74" t="s">
        <v>4043</v>
      </c>
    </row>
    <row r="230" spans="1:8" ht="18.75">
      <c r="A230" s="70">
        <v>5</v>
      </c>
      <c r="B230" s="70">
        <v>1</v>
      </c>
      <c r="C230" s="70">
        <v>12</v>
      </c>
      <c r="D230" s="71" t="s">
        <v>3675</v>
      </c>
      <c r="E230" s="72" t="s">
        <v>4028</v>
      </c>
      <c r="F230" s="73" t="str">
        <f>TEXT(A230,"00")&amp;TEXT(B230,"00")&amp;TEXT(C230,"00")</f>
        <v>050112</v>
      </c>
      <c r="G230" s="72" t="str">
        <f>TEXT(F230,"000000")</f>
        <v>050112</v>
      </c>
      <c r="H230" s="74" t="s">
        <v>4044</v>
      </c>
    </row>
    <row r="231" spans="1:8" ht="18.75">
      <c r="A231" s="66">
        <v>5</v>
      </c>
      <c r="B231" s="66">
        <v>2</v>
      </c>
      <c r="C231" s="66">
        <v>0</v>
      </c>
      <c r="D231" s="67" t="s">
        <v>2836</v>
      </c>
      <c r="E231" s="68"/>
      <c r="F231" s="78"/>
      <c r="G231" s="79"/>
      <c r="H231" s="80"/>
    </row>
    <row r="232" spans="1:8" ht="18.75">
      <c r="A232" s="70">
        <v>5</v>
      </c>
      <c r="B232" s="70">
        <v>2</v>
      </c>
      <c r="C232" s="70">
        <v>11</v>
      </c>
      <c r="D232" s="71" t="s">
        <v>40</v>
      </c>
      <c r="E232" s="72" t="s">
        <v>4028</v>
      </c>
      <c r="F232" s="73" t="str">
        <f>TEXT(A232,"00")&amp;TEXT(B232,"00")&amp;TEXT(C232,"00")</f>
        <v>050211</v>
      </c>
      <c r="G232" s="72" t="str">
        <f>TEXT(F232,"000000")</f>
        <v>050211</v>
      </c>
      <c r="H232" s="74" t="s">
        <v>4048</v>
      </c>
    </row>
    <row r="233" spans="1:8" ht="18.75">
      <c r="A233" s="70">
        <v>5</v>
      </c>
      <c r="B233" s="70">
        <v>2</v>
      </c>
      <c r="C233" s="70">
        <v>12</v>
      </c>
      <c r="D233" s="71" t="s">
        <v>2837</v>
      </c>
      <c r="E233" s="72" t="s">
        <v>4028</v>
      </c>
      <c r="F233" s="73" t="str">
        <f>TEXT(A233,"00")&amp;TEXT(B233,"00")&amp;TEXT(C233,"00")</f>
        <v>050212</v>
      </c>
      <c r="G233" s="72" t="str">
        <f>TEXT(F233,"000000")</f>
        <v>050212</v>
      </c>
      <c r="H233" s="74" t="s">
        <v>4200</v>
      </c>
    </row>
    <row r="234" spans="1:8" ht="18.75">
      <c r="A234" s="70">
        <v>5</v>
      </c>
      <c r="B234" s="70">
        <v>2</v>
      </c>
      <c r="C234" s="70">
        <v>13</v>
      </c>
      <c r="D234" s="71" t="s">
        <v>5697</v>
      </c>
      <c r="E234" s="72" t="s">
        <v>4028</v>
      </c>
      <c r="F234" s="73" t="str">
        <f>TEXT(A234,"00")&amp;TEXT(B234,"00")&amp;TEXT(C234,"00")</f>
        <v>050213</v>
      </c>
      <c r="G234" s="72" t="str">
        <f>TEXT(F234,"000000")</f>
        <v>050213</v>
      </c>
      <c r="H234" s="74" t="s">
        <v>5698</v>
      </c>
    </row>
    <row r="235" spans="1:8" ht="18.75">
      <c r="A235" s="70">
        <v>5</v>
      </c>
      <c r="B235" s="70">
        <v>2</v>
      </c>
      <c r="C235" s="70">
        <v>21</v>
      </c>
      <c r="D235" s="71" t="s">
        <v>41</v>
      </c>
      <c r="E235" s="72" t="s">
        <v>4028</v>
      </c>
      <c r="F235" s="73" t="str">
        <f>TEXT(A235,"00")&amp;TEXT(B235,"00")&amp;TEXT(C235,"00")</f>
        <v>050221</v>
      </c>
      <c r="G235" s="72" t="str">
        <f>TEXT(F235,"000000")</f>
        <v>050221</v>
      </c>
      <c r="H235" s="74" t="s">
        <v>4566</v>
      </c>
    </row>
    <row r="236" spans="1:8" ht="18.75">
      <c r="A236" s="62">
        <v>6</v>
      </c>
      <c r="B236" s="62">
        <v>0</v>
      </c>
      <c r="C236" s="62">
        <v>0</v>
      </c>
      <c r="D236" s="63" t="s">
        <v>2824</v>
      </c>
      <c r="E236" s="64"/>
      <c r="F236" s="75"/>
      <c r="G236" s="76"/>
      <c r="H236" s="77"/>
    </row>
    <row r="237" spans="1:8" ht="18.75">
      <c r="A237" s="66">
        <v>6</v>
      </c>
      <c r="B237" s="66">
        <v>1</v>
      </c>
      <c r="C237" s="66">
        <v>0</v>
      </c>
      <c r="D237" s="67" t="s">
        <v>2838</v>
      </c>
      <c r="E237" s="68"/>
      <c r="F237" s="78"/>
      <c r="G237" s="79"/>
      <c r="H237" s="80"/>
    </row>
    <row r="238" spans="1:8" ht="18.75">
      <c r="A238" s="70">
        <v>6</v>
      </c>
      <c r="B238" s="70">
        <v>1</v>
      </c>
      <c r="C238" s="70">
        <v>11</v>
      </c>
      <c r="D238" s="71" t="s">
        <v>497</v>
      </c>
      <c r="E238" s="72" t="s">
        <v>4049</v>
      </c>
      <c r="F238" s="73" t="str">
        <f t="shared" ref="F238:F248" si="12">TEXT(A238,"00")&amp;TEXT(B238,"00")&amp;TEXT(C238,"00")</f>
        <v>060111</v>
      </c>
      <c r="G238" s="72" t="str">
        <f t="shared" ref="G238:G248" si="13">TEXT(F238,"000000")</f>
        <v>060111</v>
      </c>
      <c r="H238" s="74" t="s">
        <v>4050</v>
      </c>
    </row>
    <row r="239" spans="1:8" ht="18.75">
      <c r="A239" s="70">
        <v>6</v>
      </c>
      <c r="B239" s="70">
        <v>1</v>
      </c>
      <c r="C239" s="70">
        <v>12</v>
      </c>
      <c r="D239" s="71" t="s">
        <v>3168</v>
      </c>
      <c r="E239" s="72" t="s">
        <v>4049</v>
      </c>
      <c r="F239" s="73" t="str">
        <f t="shared" si="12"/>
        <v>060112</v>
      </c>
      <c r="G239" s="72" t="str">
        <f t="shared" si="13"/>
        <v>060112</v>
      </c>
      <c r="H239" s="74" t="s">
        <v>4051</v>
      </c>
    </row>
    <row r="240" spans="1:8" ht="18.75">
      <c r="A240" s="70">
        <v>6</v>
      </c>
      <c r="B240" s="70">
        <v>1</v>
      </c>
      <c r="C240" s="70">
        <v>13</v>
      </c>
      <c r="D240" s="71" t="s">
        <v>3169</v>
      </c>
      <c r="E240" s="72" t="s">
        <v>829</v>
      </c>
      <c r="F240" s="73" t="str">
        <f t="shared" si="12"/>
        <v>060113</v>
      </c>
      <c r="G240" s="72" t="str">
        <f t="shared" si="13"/>
        <v>060113</v>
      </c>
      <c r="H240" s="74" t="s">
        <v>4052</v>
      </c>
    </row>
    <row r="241" spans="1:8" ht="18.75">
      <c r="A241" s="70">
        <v>6</v>
      </c>
      <c r="B241" s="70">
        <v>1</v>
      </c>
      <c r="C241" s="70">
        <v>21</v>
      </c>
      <c r="D241" s="71" t="s">
        <v>524</v>
      </c>
      <c r="E241" s="72" t="s">
        <v>829</v>
      </c>
      <c r="F241" s="73" t="str">
        <f t="shared" si="12"/>
        <v>060121</v>
      </c>
      <c r="G241" s="72" t="str">
        <f t="shared" si="13"/>
        <v>060121</v>
      </c>
      <c r="H241" s="74" t="s">
        <v>4053</v>
      </c>
    </row>
    <row r="242" spans="1:8" ht="18.75">
      <c r="A242" s="70">
        <v>6</v>
      </c>
      <c r="B242" s="70">
        <v>1</v>
      </c>
      <c r="C242" s="70">
        <v>22</v>
      </c>
      <c r="D242" s="71" t="s">
        <v>498</v>
      </c>
      <c r="E242" s="72" t="s">
        <v>829</v>
      </c>
      <c r="F242" s="73" t="str">
        <f t="shared" si="12"/>
        <v>060122</v>
      </c>
      <c r="G242" s="72" t="str">
        <f t="shared" si="13"/>
        <v>060122</v>
      </c>
      <c r="H242" s="74" t="s">
        <v>4054</v>
      </c>
    </row>
    <row r="243" spans="1:8" ht="18.75">
      <c r="A243" s="70">
        <v>6</v>
      </c>
      <c r="B243" s="70">
        <v>1</v>
      </c>
      <c r="C243" s="70">
        <v>25</v>
      </c>
      <c r="D243" s="71" t="s">
        <v>3118</v>
      </c>
      <c r="E243" s="72" t="s">
        <v>829</v>
      </c>
      <c r="F243" s="73" t="str">
        <f t="shared" si="12"/>
        <v>060125</v>
      </c>
      <c r="G243" s="72" t="str">
        <f t="shared" si="13"/>
        <v>060125</v>
      </c>
      <c r="H243" s="74" t="s">
        <v>4055</v>
      </c>
    </row>
    <row r="244" spans="1:8" ht="18.75">
      <c r="A244" s="70">
        <v>6</v>
      </c>
      <c r="B244" s="70">
        <v>1</v>
      </c>
      <c r="C244" s="70">
        <v>26</v>
      </c>
      <c r="D244" s="71" t="s">
        <v>3119</v>
      </c>
      <c r="E244" s="72" t="s">
        <v>829</v>
      </c>
      <c r="F244" s="73" t="str">
        <f t="shared" si="12"/>
        <v>060126</v>
      </c>
      <c r="G244" s="72" t="str">
        <f t="shared" si="13"/>
        <v>060126</v>
      </c>
      <c r="H244" s="74" t="s">
        <v>4056</v>
      </c>
    </row>
    <row r="245" spans="1:8" ht="18.75">
      <c r="A245" s="70">
        <v>6</v>
      </c>
      <c r="B245" s="70">
        <v>1</v>
      </c>
      <c r="C245" s="70">
        <v>31</v>
      </c>
      <c r="D245" s="71" t="s">
        <v>499</v>
      </c>
      <c r="E245" s="72" t="s">
        <v>829</v>
      </c>
      <c r="F245" s="73" t="str">
        <f t="shared" si="12"/>
        <v>060131</v>
      </c>
      <c r="G245" s="72" t="str">
        <f t="shared" si="13"/>
        <v>060131</v>
      </c>
      <c r="H245" s="74" t="s">
        <v>4057</v>
      </c>
    </row>
    <row r="246" spans="1:8" ht="18.75">
      <c r="A246" s="70">
        <v>6</v>
      </c>
      <c r="B246" s="70">
        <v>1</v>
      </c>
      <c r="C246" s="70">
        <v>41</v>
      </c>
      <c r="D246" s="71" t="s">
        <v>3120</v>
      </c>
      <c r="E246" s="72" t="s">
        <v>829</v>
      </c>
      <c r="F246" s="73" t="str">
        <f t="shared" si="12"/>
        <v>060141</v>
      </c>
      <c r="G246" s="72" t="str">
        <f t="shared" si="13"/>
        <v>060141</v>
      </c>
      <c r="H246" s="74" t="s">
        <v>4058</v>
      </c>
    </row>
    <row r="247" spans="1:8" ht="18.75">
      <c r="A247" s="70">
        <v>6</v>
      </c>
      <c r="B247" s="70">
        <v>1</v>
      </c>
      <c r="C247" s="70">
        <v>45</v>
      </c>
      <c r="D247" s="71" t="s">
        <v>3121</v>
      </c>
      <c r="E247" s="72" t="s">
        <v>829</v>
      </c>
      <c r="F247" s="73" t="str">
        <f t="shared" si="12"/>
        <v>060145</v>
      </c>
      <c r="G247" s="72" t="str">
        <f t="shared" si="13"/>
        <v>060145</v>
      </c>
      <c r="H247" s="74" t="s">
        <v>4059</v>
      </c>
    </row>
    <row r="248" spans="1:8" ht="18.75">
      <c r="A248" s="70">
        <v>6</v>
      </c>
      <c r="B248" s="70">
        <v>1</v>
      </c>
      <c r="C248" s="70">
        <v>51</v>
      </c>
      <c r="D248" s="71" t="s">
        <v>3122</v>
      </c>
      <c r="E248" s="72" t="s">
        <v>829</v>
      </c>
      <c r="F248" s="73" t="str">
        <f t="shared" si="12"/>
        <v>060151</v>
      </c>
      <c r="G248" s="72" t="str">
        <f t="shared" si="13"/>
        <v>060151</v>
      </c>
      <c r="H248" s="74" t="s">
        <v>4060</v>
      </c>
    </row>
    <row r="249" spans="1:8" ht="18.75">
      <c r="A249" s="66">
        <v>6</v>
      </c>
      <c r="B249" s="66">
        <v>2</v>
      </c>
      <c r="C249" s="66">
        <v>0</v>
      </c>
      <c r="D249" s="67" t="s">
        <v>2839</v>
      </c>
      <c r="E249" s="68"/>
      <c r="F249" s="78"/>
      <c r="G249" s="79"/>
      <c r="H249" s="80"/>
    </row>
    <row r="250" spans="1:8" ht="18.75">
      <c r="A250" s="70">
        <v>6</v>
      </c>
      <c r="B250" s="70">
        <v>2</v>
      </c>
      <c r="C250" s="70">
        <v>11</v>
      </c>
      <c r="D250" s="71" t="s">
        <v>3123</v>
      </c>
      <c r="E250" s="72" t="s">
        <v>829</v>
      </c>
      <c r="F250" s="73" t="str">
        <f t="shared" ref="F250:F262" si="14">TEXT(A250,"00")&amp;TEXT(B250,"00")&amp;TEXT(C250,"00")</f>
        <v>060211</v>
      </c>
      <c r="G250" s="72" t="str">
        <f t="shared" ref="G250:G262" si="15">TEXT(F250,"000000")</f>
        <v>060211</v>
      </c>
      <c r="H250" s="74" t="s">
        <v>4061</v>
      </c>
    </row>
    <row r="251" spans="1:8" ht="18.75">
      <c r="A251" s="70">
        <v>6</v>
      </c>
      <c r="B251" s="70">
        <v>2</v>
      </c>
      <c r="C251" s="70">
        <v>12</v>
      </c>
      <c r="D251" s="71" t="s">
        <v>3124</v>
      </c>
      <c r="E251" s="72" t="s">
        <v>829</v>
      </c>
      <c r="F251" s="73" t="str">
        <f t="shared" si="14"/>
        <v>060212</v>
      </c>
      <c r="G251" s="72" t="str">
        <f t="shared" si="15"/>
        <v>060212</v>
      </c>
      <c r="H251" s="74" t="s">
        <v>4062</v>
      </c>
    </row>
    <row r="252" spans="1:8" ht="18.75">
      <c r="A252" s="70">
        <v>6</v>
      </c>
      <c r="B252" s="70">
        <v>2</v>
      </c>
      <c r="C252" s="70">
        <v>13</v>
      </c>
      <c r="D252" s="71" t="s">
        <v>570</v>
      </c>
      <c r="E252" s="72" t="s">
        <v>829</v>
      </c>
      <c r="F252" s="73" t="str">
        <f t="shared" si="14"/>
        <v>060213</v>
      </c>
      <c r="G252" s="72" t="str">
        <f t="shared" si="15"/>
        <v>060213</v>
      </c>
      <c r="H252" s="74" t="s">
        <v>4063</v>
      </c>
    </row>
    <row r="253" spans="1:8" ht="18.75">
      <c r="A253" s="70">
        <v>6</v>
      </c>
      <c r="B253" s="70">
        <v>2</v>
      </c>
      <c r="C253" s="70">
        <v>14</v>
      </c>
      <c r="D253" s="71" t="s">
        <v>3128</v>
      </c>
      <c r="E253" s="72" t="s">
        <v>829</v>
      </c>
      <c r="F253" s="73" t="str">
        <f t="shared" si="14"/>
        <v>060214</v>
      </c>
      <c r="G253" s="72" t="str">
        <f t="shared" si="15"/>
        <v>060214</v>
      </c>
      <c r="H253" s="74" t="s">
        <v>4064</v>
      </c>
    </row>
    <row r="254" spans="1:8" ht="18.75">
      <c r="A254" s="70">
        <v>6</v>
      </c>
      <c r="B254" s="70">
        <v>2</v>
      </c>
      <c r="C254" s="70">
        <v>15</v>
      </c>
      <c r="D254" s="71" t="s">
        <v>572</v>
      </c>
      <c r="E254" s="72" t="s">
        <v>829</v>
      </c>
      <c r="F254" s="73" t="str">
        <f t="shared" si="14"/>
        <v>060215</v>
      </c>
      <c r="G254" s="72" t="str">
        <f t="shared" si="15"/>
        <v>060215</v>
      </c>
      <c r="H254" s="74" t="s">
        <v>4065</v>
      </c>
    </row>
    <row r="255" spans="1:8" ht="18.75">
      <c r="A255" s="70">
        <v>6</v>
      </c>
      <c r="B255" s="70">
        <v>2</v>
      </c>
      <c r="C255" s="70">
        <v>16</v>
      </c>
      <c r="D255" s="71" t="s">
        <v>573</v>
      </c>
      <c r="E255" s="72" t="s">
        <v>829</v>
      </c>
      <c r="F255" s="73" t="str">
        <f t="shared" si="14"/>
        <v>060216</v>
      </c>
      <c r="G255" s="72" t="str">
        <f t="shared" si="15"/>
        <v>060216</v>
      </c>
      <c r="H255" s="74" t="s">
        <v>4066</v>
      </c>
    </row>
    <row r="256" spans="1:8" ht="18.75">
      <c r="A256" s="70">
        <v>6</v>
      </c>
      <c r="B256" s="70">
        <v>2</v>
      </c>
      <c r="C256" s="70">
        <v>17</v>
      </c>
      <c r="D256" s="71" t="s">
        <v>571</v>
      </c>
      <c r="E256" s="72" t="s">
        <v>829</v>
      </c>
      <c r="F256" s="73" t="str">
        <f t="shared" si="14"/>
        <v>060217</v>
      </c>
      <c r="G256" s="72" t="str">
        <f t="shared" si="15"/>
        <v>060217</v>
      </c>
      <c r="H256" s="74" t="s">
        <v>4067</v>
      </c>
    </row>
    <row r="257" spans="1:8" ht="18.75">
      <c r="A257" s="70">
        <v>6</v>
      </c>
      <c r="B257" s="70">
        <v>2</v>
      </c>
      <c r="C257" s="70">
        <v>18</v>
      </c>
      <c r="D257" s="71" t="s">
        <v>3129</v>
      </c>
      <c r="E257" s="72" t="s">
        <v>829</v>
      </c>
      <c r="F257" s="73" t="str">
        <f t="shared" si="14"/>
        <v>060218</v>
      </c>
      <c r="G257" s="72" t="str">
        <f t="shared" si="15"/>
        <v>060218</v>
      </c>
      <c r="H257" s="74" t="s">
        <v>4068</v>
      </c>
    </row>
    <row r="258" spans="1:8" ht="18.75">
      <c r="A258" s="70">
        <v>6</v>
      </c>
      <c r="B258" s="70">
        <v>2</v>
      </c>
      <c r="C258" s="70">
        <v>19</v>
      </c>
      <c r="D258" s="71" t="s">
        <v>3125</v>
      </c>
      <c r="E258" s="72" t="s">
        <v>829</v>
      </c>
      <c r="F258" s="73" t="str">
        <f t="shared" si="14"/>
        <v>060219</v>
      </c>
      <c r="G258" s="72" t="str">
        <f t="shared" si="15"/>
        <v>060219</v>
      </c>
      <c r="H258" s="74" t="s">
        <v>4069</v>
      </c>
    </row>
    <row r="259" spans="1:8" ht="18.75">
      <c r="A259" s="70">
        <v>6</v>
      </c>
      <c r="B259" s="70">
        <v>2</v>
      </c>
      <c r="C259" s="70">
        <v>20</v>
      </c>
      <c r="D259" s="71" t="s">
        <v>3126</v>
      </c>
      <c r="E259" s="72" t="s">
        <v>829</v>
      </c>
      <c r="F259" s="73" t="str">
        <f t="shared" si="14"/>
        <v>060220</v>
      </c>
      <c r="G259" s="72" t="str">
        <f t="shared" si="15"/>
        <v>060220</v>
      </c>
      <c r="H259" s="74" t="s">
        <v>4070</v>
      </c>
    </row>
    <row r="260" spans="1:8" ht="18.75">
      <c r="A260" s="70">
        <v>6</v>
      </c>
      <c r="B260" s="70">
        <v>2</v>
      </c>
      <c r="C260" s="70">
        <v>21</v>
      </c>
      <c r="D260" s="71" t="s">
        <v>3127</v>
      </c>
      <c r="E260" s="72" t="s">
        <v>829</v>
      </c>
      <c r="F260" s="73" t="str">
        <f t="shared" si="14"/>
        <v>060221</v>
      </c>
      <c r="G260" s="72" t="str">
        <f t="shared" si="15"/>
        <v>060221</v>
      </c>
      <c r="H260" s="74" t="s">
        <v>4071</v>
      </c>
    </row>
    <row r="261" spans="1:8" ht="18.75">
      <c r="A261" s="70">
        <v>6</v>
      </c>
      <c r="B261" s="70">
        <v>2</v>
      </c>
      <c r="C261" s="70">
        <v>22</v>
      </c>
      <c r="D261" s="71" t="s">
        <v>5699</v>
      </c>
      <c r="E261" s="72" t="s">
        <v>829</v>
      </c>
      <c r="F261" s="73" t="str">
        <f t="shared" si="14"/>
        <v>060222</v>
      </c>
      <c r="G261" s="72" t="str">
        <f t="shared" si="15"/>
        <v>060222</v>
      </c>
      <c r="H261" s="74" t="s">
        <v>5700</v>
      </c>
    </row>
    <row r="262" spans="1:8" ht="18.75">
      <c r="A262" s="70">
        <v>6</v>
      </c>
      <c r="B262" s="70">
        <v>2</v>
      </c>
      <c r="C262" s="70">
        <v>23</v>
      </c>
      <c r="D262" s="71" t="s">
        <v>5701</v>
      </c>
      <c r="E262" s="72" t="s">
        <v>829</v>
      </c>
      <c r="F262" s="73" t="str">
        <f t="shared" si="14"/>
        <v>060223</v>
      </c>
      <c r="G262" s="72" t="str">
        <f t="shared" si="15"/>
        <v>060223</v>
      </c>
      <c r="H262" s="74" t="s">
        <v>5702</v>
      </c>
    </row>
    <row r="263" spans="1:8" ht="18.75">
      <c r="A263" s="66">
        <v>6</v>
      </c>
      <c r="B263" s="66">
        <v>3</v>
      </c>
      <c r="C263" s="66">
        <v>0</v>
      </c>
      <c r="D263" s="67" t="s">
        <v>2840</v>
      </c>
      <c r="E263" s="68"/>
      <c r="F263" s="78"/>
      <c r="G263" s="79"/>
      <c r="H263" s="80"/>
    </row>
    <row r="264" spans="1:8" ht="18.75">
      <c r="A264" s="70">
        <v>6</v>
      </c>
      <c r="B264" s="70">
        <v>3</v>
      </c>
      <c r="C264" s="70">
        <v>11</v>
      </c>
      <c r="D264" s="71" t="s">
        <v>3670</v>
      </c>
      <c r="E264" s="72" t="s">
        <v>3901</v>
      </c>
      <c r="F264" s="73" t="str">
        <f>TEXT(A264,"00")&amp;TEXT(B264,"00")&amp;TEXT(C264,"00")</f>
        <v>060311</v>
      </c>
      <c r="G264" s="72" t="str">
        <f>TEXT(F264,"000000")</f>
        <v>060311</v>
      </c>
      <c r="H264" s="74" t="s">
        <v>4072</v>
      </c>
    </row>
    <row r="265" spans="1:8" ht="18.75">
      <c r="A265" s="70">
        <v>6</v>
      </c>
      <c r="B265" s="70">
        <v>3</v>
      </c>
      <c r="C265" s="70">
        <v>21</v>
      </c>
      <c r="D265" s="71" t="s">
        <v>3669</v>
      </c>
      <c r="E265" s="72" t="s">
        <v>3901</v>
      </c>
      <c r="F265" s="73" t="str">
        <f>TEXT(A265,"00")&amp;TEXT(B265,"00")&amp;TEXT(C265,"00")</f>
        <v>060321</v>
      </c>
      <c r="G265" s="72" t="str">
        <f>TEXT(F265,"000000")</f>
        <v>060321</v>
      </c>
      <c r="H265" s="74" t="s">
        <v>4073</v>
      </c>
    </row>
    <row r="266" spans="1:8" ht="18.75">
      <c r="A266" s="62">
        <v>7</v>
      </c>
      <c r="B266" s="62">
        <v>0</v>
      </c>
      <c r="C266" s="62">
        <v>0</v>
      </c>
      <c r="D266" s="63" t="s">
        <v>2841</v>
      </c>
      <c r="E266" s="64"/>
      <c r="F266" s="75"/>
      <c r="G266" s="76"/>
      <c r="H266" s="77"/>
    </row>
    <row r="267" spans="1:8" ht="18.75">
      <c r="A267" s="66">
        <v>7</v>
      </c>
      <c r="B267" s="66">
        <v>1</v>
      </c>
      <c r="C267" s="66">
        <v>0</v>
      </c>
      <c r="D267" s="67" t="s">
        <v>5806</v>
      </c>
      <c r="E267" s="68"/>
      <c r="F267" s="78"/>
      <c r="G267" s="79"/>
      <c r="H267" s="80"/>
    </row>
    <row r="268" spans="1:8" ht="18.75">
      <c r="A268" s="70">
        <v>7</v>
      </c>
      <c r="B268" s="70">
        <v>1</v>
      </c>
      <c r="C268" s="70">
        <v>11</v>
      </c>
      <c r="D268" s="71" t="s">
        <v>3133</v>
      </c>
      <c r="E268" s="72" t="s">
        <v>4049</v>
      </c>
      <c r="F268" s="73" t="str">
        <f t="shared" ref="F268:F290" si="16">TEXT(A268,"00")&amp;TEXT(B268,"00")&amp;TEXT(C268,"00")</f>
        <v>070111</v>
      </c>
      <c r="G268" s="72" t="str">
        <f t="shared" ref="G268:G290" si="17">TEXT(F268,"000000")</f>
        <v>070111</v>
      </c>
      <c r="H268" s="74" t="s">
        <v>4074</v>
      </c>
    </row>
    <row r="269" spans="1:8" ht="18.75">
      <c r="A269" s="70">
        <v>7</v>
      </c>
      <c r="B269" s="70">
        <v>1</v>
      </c>
      <c r="C269" s="70">
        <v>12</v>
      </c>
      <c r="D269" s="71" t="s">
        <v>3134</v>
      </c>
      <c r="E269" s="72" t="s">
        <v>4049</v>
      </c>
      <c r="F269" s="73" t="str">
        <f t="shared" si="16"/>
        <v>070112</v>
      </c>
      <c r="G269" s="72" t="str">
        <f t="shared" si="17"/>
        <v>070112</v>
      </c>
      <c r="H269" s="74" t="s">
        <v>4075</v>
      </c>
    </row>
    <row r="270" spans="1:8" ht="18.75">
      <c r="A270" s="70">
        <v>7</v>
      </c>
      <c r="B270" s="70">
        <v>1</v>
      </c>
      <c r="C270" s="70">
        <v>13</v>
      </c>
      <c r="D270" s="71" t="s">
        <v>3135</v>
      </c>
      <c r="E270" s="72" t="s">
        <v>4049</v>
      </c>
      <c r="F270" s="73" t="str">
        <f t="shared" si="16"/>
        <v>070113</v>
      </c>
      <c r="G270" s="72" t="str">
        <f t="shared" si="17"/>
        <v>070113</v>
      </c>
      <c r="H270" s="74" t="s">
        <v>4076</v>
      </c>
    </row>
    <row r="271" spans="1:8" ht="18.75">
      <c r="A271" s="70">
        <v>7</v>
      </c>
      <c r="B271" s="70">
        <v>1</v>
      </c>
      <c r="C271" s="70">
        <v>14</v>
      </c>
      <c r="D271" s="71" t="s">
        <v>3136</v>
      </c>
      <c r="E271" s="72" t="s">
        <v>4049</v>
      </c>
      <c r="F271" s="73" t="str">
        <f t="shared" si="16"/>
        <v>070114</v>
      </c>
      <c r="G271" s="72" t="str">
        <f t="shared" si="17"/>
        <v>070114</v>
      </c>
      <c r="H271" s="74" t="s">
        <v>4077</v>
      </c>
    </row>
    <row r="272" spans="1:8" ht="18.75">
      <c r="A272" s="70">
        <v>7</v>
      </c>
      <c r="B272" s="70">
        <v>1</v>
      </c>
      <c r="C272" s="70">
        <v>15</v>
      </c>
      <c r="D272" s="71" t="s">
        <v>3137</v>
      </c>
      <c r="E272" s="72" t="s">
        <v>4049</v>
      </c>
      <c r="F272" s="73" t="str">
        <f t="shared" si="16"/>
        <v>070115</v>
      </c>
      <c r="G272" s="72" t="str">
        <f t="shared" si="17"/>
        <v>070115</v>
      </c>
      <c r="H272" s="74" t="s">
        <v>4078</v>
      </c>
    </row>
    <row r="273" spans="1:8" ht="18.75">
      <c r="A273" s="70">
        <v>7</v>
      </c>
      <c r="B273" s="70">
        <v>1</v>
      </c>
      <c r="C273" s="70">
        <v>16</v>
      </c>
      <c r="D273" s="71" t="s">
        <v>3130</v>
      </c>
      <c r="E273" s="72" t="s">
        <v>4049</v>
      </c>
      <c r="F273" s="73" t="str">
        <f t="shared" si="16"/>
        <v>070116</v>
      </c>
      <c r="G273" s="72" t="str">
        <f t="shared" si="17"/>
        <v>070116</v>
      </c>
      <c r="H273" s="74" t="s">
        <v>4079</v>
      </c>
    </row>
    <row r="274" spans="1:8" ht="18.75">
      <c r="A274" s="70">
        <v>7</v>
      </c>
      <c r="B274" s="70">
        <v>1</v>
      </c>
      <c r="C274" s="70">
        <v>17</v>
      </c>
      <c r="D274" s="71" t="s">
        <v>3131</v>
      </c>
      <c r="E274" s="72" t="s">
        <v>4049</v>
      </c>
      <c r="F274" s="73" t="str">
        <f t="shared" si="16"/>
        <v>070117</v>
      </c>
      <c r="G274" s="72" t="str">
        <f t="shared" si="17"/>
        <v>070117</v>
      </c>
      <c r="H274" s="74" t="s">
        <v>4080</v>
      </c>
    </row>
    <row r="275" spans="1:8" ht="18.75">
      <c r="A275" s="70">
        <v>7</v>
      </c>
      <c r="B275" s="70">
        <v>1</v>
      </c>
      <c r="C275" s="70">
        <v>18</v>
      </c>
      <c r="D275" s="71" t="s">
        <v>3132</v>
      </c>
      <c r="E275" s="72" t="s">
        <v>4049</v>
      </c>
      <c r="F275" s="73" t="str">
        <f t="shared" si="16"/>
        <v>070118</v>
      </c>
      <c r="G275" s="72" t="str">
        <f t="shared" si="17"/>
        <v>070118</v>
      </c>
      <c r="H275" s="74" t="s">
        <v>4081</v>
      </c>
    </row>
    <row r="276" spans="1:8" ht="18.75">
      <c r="A276" s="70">
        <v>7</v>
      </c>
      <c r="B276" s="70">
        <v>1</v>
      </c>
      <c r="C276" s="70">
        <v>19</v>
      </c>
      <c r="D276" s="71" t="s">
        <v>3154</v>
      </c>
      <c r="E276" s="72" t="s">
        <v>4049</v>
      </c>
      <c r="F276" s="73" t="str">
        <f t="shared" si="16"/>
        <v>070119</v>
      </c>
      <c r="G276" s="72" t="str">
        <f t="shared" si="17"/>
        <v>070119</v>
      </c>
      <c r="H276" s="74" t="s">
        <v>4082</v>
      </c>
    </row>
    <row r="277" spans="1:8" ht="18.75">
      <c r="A277" s="70">
        <v>7</v>
      </c>
      <c r="B277" s="70">
        <v>1</v>
      </c>
      <c r="C277" s="70">
        <v>20</v>
      </c>
      <c r="D277" s="71" t="s">
        <v>3155</v>
      </c>
      <c r="E277" s="72" t="s">
        <v>4049</v>
      </c>
      <c r="F277" s="73" t="str">
        <f t="shared" si="16"/>
        <v>070120</v>
      </c>
      <c r="G277" s="72" t="str">
        <f t="shared" si="17"/>
        <v>070120</v>
      </c>
      <c r="H277" s="74" t="s">
        <v>4083</v>
      </c>
    </row>
    <row r="278" spans="1:8" ht="18.75">
      <c r="A278" s="70">
        <v>7</v>
      </c>
      <c r="B278" s="70">
        <v>1</v>
      </c>
      <c r="C278" s="70">
        <v>21</v>
      </c>
      <c r="D278" s="71" t="s">
        <v>3156</v>
      </c>
      <c r="E278" s="72" t="s">
        <v>4049</v>
      </c>
      <c r="F278" s="73" t="str">
        <f t="shared" si="16"/>
        <v>070121</v>
      </c>
      <c r="G278" s="72" t="str">
        <f t="shared" si="17"/>
        <v>070121</v>
      </c>
      <c r="H278" s="74" t="s">
        <v>4084</v>
      </c>
    </row>
    <row r="279" spans="1:8" ht="18.75">
      <c r="A279" s="70">
        <v>7</v>
      </c>
      <c r="B279" s="70">
        <v>1</v>
      </c>
      <c r="C279" s="70">
        <v>22</v>
      </c>
      <c r="D279" s="71" t="s">
        <v>3157</v>
      </c>
      <c r="E279" s="72" t="s">
        <v>4049</v>
      </c>
      <c r="F279" s="73" t="str">
        <f t="shared" si="16"/>
        <v>070122</v>
      </c>
      <c r="G279" s="72" t="str">
        <f t="shared" si="17"/>
        <v>070122</v>
      </c>
      <c r="H279" s="74" t="s">
        <v>4085</v>
      </c>
    </row>
    <row r="280" spans="1:8" ht="18.75">
      <c r="A280" s="70">
        <v>7</v>
      </c>
      <c r="B280" s="70">
        <v>1</v>
      </c>
      <c r="C280" s="70">
        <v>23</v>
      </c>
      <c r="D280" s="71" t="s">
        <v>3158</v>
      </c>
      <c r="E280" s="72" t="s">
        <v>4049</v>
      </c>
      <c r="F280" s="73" t="str">
        <f t="shared" si="16"/>
        <v>070123</v>
      </c>
      <c r="G280" s="72" t="str">
        <f t="shared" si="17"/>
        <v>070123</v>
      </c>
      <c r="H280" s="74" t="s">
        <v>4086</v>
      </c>
    </row>
    <row r="281" spans="1:8" ht="18.75">
      <c r="A281" s="70">
        <v>7</v>
      </c>
      <c r="B281" s="70">
        <v>1</v>
      </c>
      <c r="C281" s="70">
        <v>24</v>
      </c>
      <c r="D281" s="71" t="s">
        <v>4087</v>
      </c>
      <c r="E281" s="72" t="s">
        <v>4049</v>
      </c>
      <c r="F281" s="73" t="str">
        <f t="shared" si="16"/>
        <v>070124</v>
      </c>
      <c r="G281" s="72" t="str">
        <f t="shared" si="17"/>
        <v>070124</v>
      </c>
      <c r="H281" s="74" t="s">
        <v>4088</v>
      </c>
    </row>
    <row r="282" spans="1:8" ht="18.75">
      <c r="A282" s="70">
        <v>7</v>
      </c>
      <c r="B282" s="70">
        <v>1</v>
      </c>
      <c r="C282" s="70">
        <v>25</v>
      </c>
      <c r="D282" s="71" t="s">
        <v>5703</v>
      </c>
      <c r="E282" s="72" t="s">
        <v>4049</v>
      </c>
      <c r="F282" s="73" t="str">
        <f t="shared" si="16"/>
        <v>070125</v>
      </c>
      <c r="G282" s="72" t="str">
        <f t="shared" si="17"/>
        <v>070125</v>
      </c>
      <c r="H282" s="74" t="s">
        <v>4089</v>
      </c>
    </row>
    <row r="283" spans="1:8" ht="18.75">
      <c r="A283" s="70">
        <v>7</v>
      </c>
      <c r="B283" s="70">
        <v>1</v>
      </c>
      <c r="C283" s="70">
        <v>26</v>
      </c>
      <c r="D283" s="71" t="s">
        <v>3138</v>
      </c>
      <c r="E283" s="72" t="s">
        <v>4049</v>
      </c>
      <c r="F283" s="73" t="str">
        <f t="shared" si="16"/>
        <v>070126</v>
      </c>
      <c r="G283" s="72" t="str">
        <f t="shared" si="17"/>
        <v>070126</v>
      </c>
      <c r="H283" s="74" t="s">
        <v>4090</v>
      </c>
    </row>
    <row r="284" spans="1:8" ht="18.75">
      <c r="A284" s="70">
        <v>7</v>
      </c>
      <c r="B284" s="70">
        <v>1</v>
      </c>
      <c r="C284" s="70">
        <v>27</v>
      </c>
      <c r="D284" s="71" t="s">
        <v>3141</v>
      </c>
      <c r="E284" s="72" t="s">
        <v>4049</v>
      </c>
      <c r="F284" s="73" t="str">
        <f t="shared" si="16"/>
        <v>070127</v>
      </c>
      <c r="G284" s="72" t="str">
        <f t="shared" si="17"/>
        <v>070127</v>
      </c>
      <c r="H284" s="74" t="s">
        <v>4091</v>
      </c>
    </row>
    <row r="285" spans="1:8" ht="18.75">
      <c r="A285" s="70">
        <v>7</v>
      </c>
      <c r="B285" s="70">
        <v>1</v>
      </c>
      <c r="C285" s="70">
        <v>28</v>
      </c>
      <c r="D285" s="71" t="s">
        <v>3140</v>
      </c>
      <c r="E285" s="72" t="s">
        <v>4049</v>
      </c>
      <c r="F285" s="73" t="str">
        <f t="shared" si="16"/>
        <v>070128</v>
      </c>
      <c r="G285" s="72" t="str">
        <f t="shared" si="17"/>
        <v>070128</v>
      </c>
      <c r="H285" s="74" t="s">
        <v>4092</v>
      </c>
    </row>
    <row r="286" spans="1:8" ht="18.75">
      <c r="A286" s="70">
        <v>7</v>
      </c>
      <c r="B286" s="70">
        <v>1</v>
      </c>
      <c r="C286" s="70">
        <v>29</v>
      </c>
      <c r="D286" s="71" t="s">
        <v>3139</v>
      </c>
      <c r="E286" s="72" t="s">
        <v>4049</v>
      </c>
      <c r="F286" s="73" t="str">
        <f t="shared" si="16"/>
        <v>070129</v>
      </c>
      <c r="G286" s="72" t="str">
        <f t="shared" si="17"/>
        <v>070129</v>
      </c>
      <c r="H286" s="74" t="s">
        <v>4093</v>
      </c>
    </row>
    <row r="287" spans="1:8" ht="18.75">
      <c r="A287" s="70">
        <v>7</v>
      </c>
      <c r="B287" s="70">
        <v>1</v>
      </c>
      <c r="C287" s="70">
        <v>30</v>
      </c>
      <c r="D287" s="71" t="s">
        <v>5704</v>
      </c>
      <c r="E287" s="72" t="s">
        <v>4049</v>
      </c>
      <c r="F287" s="73" t="str">
        <f t="shared" si="16"/>
        <v>070130</v>
      </c>
      <c r="G287" s="72" t="str">
        <f t="shared" si="17"/>
        <v>070130</v>
      </c>
      <c r="H287" s="74" t="s">
        <v>5705</v>
      </c>
    </row>
    <row r="288" spans="1:8" ht="18.75">
      <c r="A288" s="70">
        <v>7</v>
      </c>
      <c r="B288" s="70">
        <v>1</v>
      </c>
      <c r="C288" s="70">
        <v>31</v>
      </c>
      <c r="D288" s="71" t="s">
        <v>5706</v>
      </c>
      <c r="E288" s="72" t="s">
        <v>4049</v>
      </c>
      <c r="F288" s="73" t="str">
        <f t="shared" si="16"/>
        <v>070131</v>
      </c>
      <c r="G288" s="72" t="str">
        <f t="shared" si="17"/>
        <v>070131</v>
      </c>
      <c r="H288" s="74" t="s">
        <v>5707</v>
      </c>
    </row>
    <row r="289" spans="1:8" ht="18.75">
      <c r="A289" s="70">
        <v>7</v>
      </c>
      <c r="B289" s="70">
        <v>1</v>
      </c>
      <c r="C289" s="70">
        <v>32</v>
      </c>
      <c r="D289" s="71" t="s">
        <v>5708</v>
      </c>
      <c r="E289" s="72" t="s">
        <v>4049</v>
      </c>
      <c r="F289" s="73" t="str">
        <f t="shared" si="16"/>
        <v>070132</v>
      </c>
      <c r="G289" s="72" t="str">
        <f t="shared" si="17"/>
        <v>070132</v>
      </c>
      <c r="H289" s="74" t="s">
        <v>5709</v>
      </c>
    </row>
    <row r="290" spans="1:8" ht="18.75">
      <c r="A290" s="70">
        <v>7</v>
      </c>
      <c r="B290" s="70">
        <v>1</v>
      </c>
      <c r="C290" s="70">
        <v>33</v>
      </c>
      <c r="D290" s="71" t="s">
        <v>5710</v>
      </c>
      <c r="E290" s="72" t="s">
        <v>4049</v>
      </c>
      <c r="F290" s="73" t="str">
        <f t="shared" si="16"/>
        <v>070133</v>
      </c>
      <c r="G290" s="72" t="str">
        <f t="shared" si="17"/>
        <v>070133</v>
      </c>
      <c r="H290" s="74" t="s">
        <v>5711</v>
      </c>
    </row>
    <row r="291" spans="1:8" ht="18.75">
      <c r="A291" s="62">
        <v>10</v>
      </c>
      <c r="B291" s="62">
        <v>0</v>
      </c>
      <c r="C291" s="62">
        <v>0</v>
      </c>
      <c r="D291" s="63" t="s">
        <v>2842</v>
      </c>
      <c r="E291" s="64"/>
      <c r="F291" s="75"/>
      <c r="G291" s="76"/>
      <c r="H291" s="77"/>
    </row>
    <row r="292" spans="1:8" ht="18.75">
      <c r="A292" s="66">
        <v>10</v>
      </c>
      <c r="B292" s="66">
        <v>1</v>
      </c>
      <c r="C292" s="66">
        <v>0</v>
      </c>
      <c r="D292" s="67" t="s">
        <v>2844</v>
      </c>
      <c r="E292" s="68"/>
      <c r="F292" s="78"/>
      <c r="G292" s="79"/>
      <c r="H292" s="80"/>
    </row>
    <row r="293" spans="1:8" ht="18.75">
      <c r="A293" s="70">
        <v>10</v>
      </c>
      <c r="B293" s="70">
        <v>1</v>
      </c>
      <c r="C293" s="70">
        <v>10</v>
      </c>
      <c r="D293" s="71" t="s">
        <v>3142</v>
      </c>
      <c r="E293" s="72" t="s">
        <v>829</v>
      </c>
      <c r="F293" s="73" t="str">
        <f>TEXT(A293,"00")&amp;TEXT(B293,"00")&amp;TEXT(C293,"00")</f>
        <v>100110</v>
      </c>
      <c r="G293" s="72" t="str">
        <f>TEXT(F293,"000000")</f>
        <v>100110</v>
      </c>
      <c r="H293" s="74" t="s">
        <v>4094</v>
      </c>
    </row>
    <row r="294" spans="1:8" ht="18.75">
      <c r="A294" s="70">
        <v>10</v>
      </c>
      <c r="B294" s="70">
        <v>1</v>
      </c>
      <c r="C294" s="70">
        <v>11</v>
      </c>
      <c r="D294" s="71" t="s">
        <v>380</v>
      </c>
      <c r="E294" s="72" t="s">
        <v>829</v>
      </c>
      <c r="F294" s="73" t="str">
        <f>TEXT(A294,"00")&amp;TEXT(B294,"00")&amp;TEXT(C294,"00")</f>
        <v>100111</v>
      </c>
      <c r="G294" s="72" t="str">
        <f>TEXT(F294,"000000")</f>
        <v>100111</v>
      </c>
      <c r="H294" s="74" t="s">
        <v>4095</v>
      </c>
    </row>
    <row r="295" spans="1:8" ht="18.75">
      <c r="A295" s="70">
        <v>10</v>
      </c>
      <c r="B295" s="70">
        <v>1</v>
      </c>
      <c r="C295" s="70">
        <v>12</v>
      </c>
      <c r="D295" s="71" t="s">
        <v>3205</v>
      </c>
      <c r="E295" s="72" t="s">
        <v>829</v>
      </c>
      <c r="F295" s="73" t="str">
        <f>TEXT(A295,"00")&amp;TEXT(B295,"00")&amp;TEXT(C295,"00")</f>
        <v>100112</v>
      </c>
      <c r="G295" s="72" t="str">
        <f>TEXT(F295,"000000")</f>
        <v>100112</v>
      </c>
      <c r="H295" s="74" t="s">
        <v>4096</v>
      </c>
    </row>
    <row r="296" spans="1:8" ht="18.75">
      <c r="A296" s="70">
        <v>10</v>
      </c>
      <c r="B296" s="70">
        <v>1</v>
      </c>
      <c r="C296" s="70">
        <v>13</v>
      </c>
      <c r="D296" s="71" t="s">
        <v>3206</v>
      </c>
      <c r="E296" s="72" t="s">
        <v>829</v>
      </c>
      <c r="F296" s="73" t="str">
        <f>TEXT(A296,"00")&amp;TEXT(B296,"00")&amp;TEXT(C296,"00")</f>
        <v>100113</v>
      </c>
      <c r="G296" s="72" t="str">
        <f>TEXT(F296,"000000")</f>
        <v>100113</v>
      </c>
      <c r="H296" s="74" t="s">
        <v>4097</v>
      </c>
    </row>
    <row r="297" spans="1:8" ht="18.75">
      <c r="A297" s="70">
        <v>10</v>
      </c>
      <c r="B297" s="70">
        <v>1</v>
      </c>
      <c r="C297" s="70">
        <v>14</v>
      </c>
      <c r="D297" s="71" t="s">
        <v>4098</v>
      </c>
      <c r="E297" s="72" t="s">
        <v>829</v>
      </c>
      <c r="F297" s="73" t="str">
        <f>TEXT(A297,"00")&amp;TEXT(B297,"00")&amp;TEXT(C297,"00")</f>
        <v>100114</v>
      </c>
      <c r="G297" s="72" t="str">
        <f>TEXT(F297,"000000")</f>
        <v>100114</v>
      </c>
      <c r="H297" s="74" t="s">
        <v>4099</v>
      </c>
    </row>
    <row r="298" spans="1:8" ht="18.75">
      <c r="A298" s="66">
        <v>10</v>
      </c>
      <c r="B298" s="66">
        <v>2</v>
      </c>
      <c r="C298" s="66">
        <v>0</v>
      </c>
      <c r="D298" s="67" t="s">
        <v>2843</v>
      </c>
      <c r="E298" s="68"/>
      <c r="F298" s="78"/>
      <c r="G298" s="79"/>
      <c r="H298" s="80"/>
    </row>
    <row r="299" spans="1:8" ht="18.75">
      <c r="A299" s="70">
        <v>10</v>
      </c>
      <c r="B299" s="70">
        <v>2</v>
      </c>
      <c r="C299" s="70">
        <v>11</v>
      </c>
      <c r="D299" s="71" t="s">
        <v>3148</v>
      </c>
      <c r="E299" s="72" t="s">
        <v>829</v>
      </c>
      <c r="F299" s="73" t="str">
        <f t="shared" ref="F299:F321" si="18">TEXT(A299,"00")&amp;TEXT(B299,"00")&amp;TEXT(C299,"00")</f>
        <v>100211</v>
      </c>
      <c r="G299" s="72" t="str">
        <f t="shared" ref="G299:G321" si="19">TEXT(F299,"000000")</f>
        <v>100211</v>
      </c>
      <c r="H299" s="74" t="s">
        <v>4100</v>
      </c>
    </row>
    <row r="300" spans="1:8" ht="18.75">
      <c r="A300" s="70">
        <v>10</v>
      </c>
      <c r="B300" s="70">
        <v>2</v>
      </c>
      <c r="C300" s="70">
        <v>12</v>
      </c>
      <c r="D300" s="71" t="s">
        <v>3149</v>
      </c>
      <c r="E300" s="72" t="s">
        <v>829</v>
      </c>
      <c r="F300" s="73" t="str">
        <f t="shared" si="18"/>
        <v>100212</v>
      </c>
      <c r="G300" s="72" t="str">
        <f t="shared" si="19"/>
        <v>100212</v>
      </c>
      <c r="H300" s="74" t="s">
        <v>4101</v>
      </c>
    </row>
    <row r="301" spans="1:8" ht="18.75">
      <c r="A301" s="70">
        <v>10</v>
      </c>
      <c r="B301" s="70">
        <v>2</v>
      </c>
      <c r="C301" s="70">
        <v>13</v>
      </c>
      <c r="D301" s="71" t="s">
        <v>3212</v>
      </c>
      <c r="E301" s="72" t="s">
        <v>829</v>
      </c>
      <c r="F301" s="73" t="str">
        <f t="shared" si="18"/>
        <v>100213</v>
      </c>
      <c r="G301" s="72" t="str">
        <f t="shared" si="19"/>
        <v>100213</v>
      </c>
      <c r="H301" s="74" t="s">
        <v>4102</v>
      </c>
    </row>
    <row r="302" spans="1:8" ht="18.75">
      <c r="A302" s="70">
        <v>10</v>
      </c>
      <c r="B302" s="70">
        <v>2</v>
      </c>
      <c r="C302" s="70">
        <v>14</v>
      </c>
      <c r="D302" s="71" t="s">
        <v>3213</v>
      </c>
      <c r="E302" s="72" t="s">
        <v>829</v>
      </c>
      <c r="F302" s="73" t="str">
        <f t="shared" si="18"/>
        <v>100214</v>
      </c>
      <c r="G302" s="72" t="str">
        <f t="shared" si="19"/>
        <v>100214</v>
      </c>
      <c r="H302" s="74" t="s">
        <v>4103</v>
      </c>
    </row>
    <row r="303" spans="1:8" ht="18.75">
      <c r="A303" s="70">
        <v>10</v>
      </c>
      <c r="B303" s="70">
        <v>2</v>
      </c>
      <c r="C303" s="70">
        <v>15</v>
      </c>
      <c r="D303" s="71" t="s">
        <v>3214</v>
      </c>
      <c r="E303" s="72" t="s">
        <v>829</v>
      </c>
      <c r="F303" s="73" t="str">
        <f t="shared" si="18"/>
        <v>100215</v>
      </c>
      <c r="G303" s="72" t="str">
        <f t="shared" si="19"/>
        <v>100215</v>
      </c>
      <c r="H303" s="74" t="s">
        <v>4104</v>
      </c>
    </row>
    <row r="304" spans="1:8" ht="18.75">
      <c r="A304" s="70">
        <v>10</v>
      </c>
      <c r="B304" s="70">
        <v>2</v>
      </c>
      <c r="C304" s="70">
        <v>16</v>
      </c>
      <c r="D304" s="71" t="s">
        <v>391</v>
      </c>
      <c r="E304" s="72" t="s">
        <v>829</v>
      </c>
      <c r="F304" s="73" t="str">
        <f t="shared" si="18"/>
        <v>100216</v>
      </c>
      <c r="G304" s="72" t="str">
        <f t="shared" si="19"/>
        <v>100216</v>
      </c>
      <c r="H304" s="74" t="s">
        <v>4105</v>
      </c>
    </row>
    <row r="305" spans="1:8" ht="18.75">
      <c r="A305" s="70">
        <v>10</v>
      </c>
      <c r="B305" s="70">
        <v>2</v>
      </c>
      <c r="C305" s="70">
        <v>17</v>
      </c>
      <c r="D305" s="71" t="s">
        <v>3150</v>
      </c>
      <c r="E305" s="72" t="s">
        <v>829</v>
      </c>
      <c r="F305" s="73" t="str">
        <f t="shared" si="18"/>
        <v>100217</v>
      </c>
      <c r="G305" s="72" t="str">
        <f t="shared" si="19"/>
        <v>100217</v>
      </c>
      <c r="H305" s="74" t="s">
        <v>4106</v>
      </c>
    </row>
    <row r="306" spans="1:8" ht="18.75">
      <c r="A306" s="70">
        <v>10</v>
      </c>
      <c r="B306" s="70">
        <v>2</v>
      </c>
      <c r="C306" s="70">
        <v>18</v>
      </c>
      <c r="D306" s="71" t="s">
        <v>3207</v>
      </c>
      <c r="E306" s="72" t="s">
        <v>829</v>
      </c>
      <c r="F306" s="73" t="str">
        <f t="shared" si="18"/>
        <v>100218</v>
      </c>
      <c r="G306" s="72" t="str">
        <f t="shared" si="19"/>
        <v>100218</v>
      </c>
      <c r="H306" s="74" t="s">
        <v>4107</v>
      </c>
    </row>
    <row r="307" spans="1:8" ht="18.75">
      <c r="A307" s="70">
        <v>10</v>
      </c>
      <c r="B307" s="70">
        <v>2</v>
      </c>
      <c r="C307" s="70">
        <v>19</v>
      </c>
      <c r="D307" s="71" t="s">
        <v>3208</v>
      </c>
      <c r="E307" s="72" t="s">
        <v>829</v>
      </c>
      <c r="F307" s="73" t="str">
        <f t="shared" si="18"/>
        <v>100219</v>
      </c>
      <c r="G307" s="72" t="str">
        <f t="shared" si="19"/>
        <v>100219</v>
      </c>
      <c r="H307" s="74" t="s">
        <v>4108</v>
      </c>
    </row>
    <row r="308" spans="1:8" ht="18.75">
      <c r="A308" s="70">
        <v>10</v>
      </c>
      <c r="B308" s="70">
        <v>2</v>
      </c>
      <c r="C308" s="70">
        <v>20</v>
      </c>
      <c r="D308" s="71" t="s">
        <v>3210</v>
      </c>
      <c r="E308" s="72" t="s">
        <v>829</v>
      </c>
      <c r="F308" s="73" t="str">
        <f t="shared" si="18"/>
        <v>100220</v>
      </c>
      <c r="G308" s="72" t="str">
        <f t="shared" si="19"/>
        <v>100220</v>
      </c>
      <c r="H308" s="74" t="s">
        <v>4109</v>
      </c>
    </row>
    <row r="309" spans="1:8" ht="18.75">
      <c r="A309" s="70">
        <v>10</v>
      </c>
      <c r="B309" s="70">
        <v>2</v>
      </c>
      <c r="C309" s="70">
        <v>21</v>
      </c>
      <c r="D309" s="71" t="s">
        <v>3211</v>
      </c>
      <c r="E309" s="72" t="s">
        <v>829</v>
      </c>
      <c r="F309" s="73" t="str">
        <f t="shared" si="18"/>
        <v>100221</v>
      </c>
      <c r="G309" s="72" t="str">
        <f t="shared" si="19"/>
        <v>100221</v>
      </c>
      <c r="H309" s="74" t="s">
        <v>4110</v>
      </c>
    </row>
    <row r="310" spans="1:8" ht="18.75">
      <c r="A310" s="70">
        <v>10</v>
      </c>
      <c r="B310" s="70">
        <v>2</v>
      </c>
      <c r="C310" s="70">
        <v>22</v>
      </c>
      <c r="D310" s="71" t="s">
        <v>3209</v>
      </c>
      <c r="E310" s="72" t="s">
        <v>829</v>
      </c>
      <c r="F310" s="73" t="str">
        <f t="shared" si="18"/>
        <v>100222</v>
      </c>
      <c r="G310" s="72" t="str">
        <f t="shared" si="19"/>
        <v>100222</v>
      </c>
      <c r="H310" s="74" t="s">
        <v>4111</v>
      </c>
    </row>
    <row r="311" spans="1:8" ht="18.75">
      <c r="A311" s="70">
        <v>10</v>
      </c>
      <c r="B311" s="70">
        <v>2</v>
      </c>
      <c r="C311" s="70">
        <v>23</v>
      </c>
      <c r="D311" s="71" t="s">
        <v>3151</v>
      </c>
      <c r="E311" s="72" t="s">
        <v>829</v>
      </c>
      <c r="F311" s="73" t="str">
        <f t="shared" si="18"/>
        <v>100223</v>
      </c>
      <c r="G311" s="72" t="str">
        <f t="shared" si="19"/>
        <v>100223</v>
      </c>
      <c r="H311" s="74" t="s">
        <v>4112</v>
      </c>
    </row>
    <row r="312" spans="1:8" ht="18.75">
      <c r="A312" s="70">
        <v>10</v>
      </c>
      <c r="B312" s="70">
        <v>2</v>
      </c>
      <c r="C312" s="70">
        <v>32</v>
      </c>
      <c r="D312" s="71" t="s">
        <v>3152</v>
      </c>
      <c r="E312" s="72" t="s">
        <v>829</v>
      </c>
      <c r="F312" s="73" t="str">
        <f t="shared" si="18"/>
        <v>100232</v>
      </c>
      <c r="G312" s="72" t="str">
        <f t="shared" si="19"/>
        <v>100232</v>
      </c>
      <c r="H312" s="74" t="s">
        <v>4113</v>
      </c>
    </row>
    <row r="313" spans="1:8" ht="18.75">
      <c r="A313" s="70">
        <v>10</v>
      </c>
      <c r="B313" s="70">
        <v>2</v>
      </c>
      <c r="C313" s="70">
        <v>41</v>
      </c>
      <c r="D313" s="71" t="s">
        <v>382</v>
      </c>
      <c r="E313" s="72" t="s">
        <v>829</v>
      </c>
      <c r="F313" s="73" t="str">
        <f t="shared" si="18"/>
        <v>100241</v>
      </c>
      <c r="G313" s="72" t="str">
        <f t="shared" si="19"/>
        <v>100241</v>
      </c>
      <c r="H313" s="74" t="s">
        <v>4114</v>
      </c>
    </row>
    <row r="314" spans="1:8" ht="18.75">
      <c r="A314" s="70">
        <v>10</v>
      </c>
      <c r="B314" s="70">
        <v>2</v>
      </c>
      <c r="C314" s="70">
        <v>42</v>
      </c>
      <c r="D314" s="71" t="s">
        <v>3245</v>
      </c>
      <c r="E314" s="72" t="s">
        <v>829</v>
      </c>
      <c r="F314" s="73" t="str">
        <f t="shared" si="18"/>
        <v>100242</v>
      </c>
      <c r="G314" s="72" t="str">
        <f t="shared" si="19"/>
        <v>100242</v>
      </c>
      <c r="H314" s="74" t="s">
        <v>4115</v>
      </c>
    </row>
    <row r="315" spans="1:8" ht="18.75">
      <c r="A315" s="70">
        <v>10</v>
      </c>
      <c r="B315" s="70">
        <v>2</v>
      </c>
      <c r="C315" s="70">
        <v>43</v>
      </c>
      <c r="D315" s="71" t="s">
        <v>3246</v>
      </c>
      <c r="E315" s="72" t="s">
        <v>829</v>
      </c>
      <c r="F315" s="73" t="str">
        <f t="shared" si="18"/>
        <v>100243</v>
      </c>
      <c r="G315" s="72" t="str">
        <f t="shared" si="19"/>
        <v>100243</v>
      </c>
      <c r="H315" s="74" t="s">
        <v>4116</v>
      </c>
    </row>
    <row r="316" spans="1:8" ht="18.75">
      <c r="A316" s="70">
        <v>10</v>
      </c>
      <c r="B316" s="70">
        <v>2</v>
      </c>
      <c r="C316" s="70">
        <v>44</v>
      </c>
      <c r="D316" s="71" t="s">
        <v>3247</v>
      </c>
      <c r="E316" s="72" t="s">
        <v>829</v>
      </c>
      <c r="F316" s="73" t="str">
        <f t="shared" si="18"/>
        <v>100244</v>
      </c>
      <c r="G316" s="72" t="str">
        <f t="shared" si="19"/>
        <v>100244</v>
      </c>
      <c r="H316" s="74" t="s">
        <v>4117</v>
      </c>
    </row>
    <row r="317" spans="1:8" ht="18.75">
      <c r="A317" s="70">
        <v>10</v>
      </c>
      <c r="B317" s="70">
        <v>2</v>
      </c>
      <c r="C317" s="70">
        <v>45</v>
      </c>
      <c r="D317" s="71" t="s">
        <v>3248</v>
      </c>
      <c r="E317" s="72" t="s">
        <v>829</v>
      </c>
      <c r="F317" s="73" t="str">
        <f t="shared" si="18"/>
        <v>100245</v>
      </c>
      <c r="G317" s="72" t="str">
        <f t="shared" si="19"/>
        <v>100245</v>
      </c>
      <c r="H317" s="74" t="s">
        <v>4118</v>
      </c>
    </row>
    <row r="318" spans="1:8" ht="18.75">
      <c r="A318" s="70">
        <v>10</v>
      </c>
      <c r="B318" s="70">
        <v>2</v>
      </c>
      <c r="C318" s="70">
        <v>46</v>
      </c>
      <c r="D318" s="71" t="s">
        <v>5920</v>
      </c>
      <c r="E318" s="72" t="s">
        <v>829</v>
      </c>
      <c r="F318" s="73" t="str">
        <f t="shared" si="18"/>
        <v>100246</v>
      </c>
      <c r="G318" s="72" t="str">
        <f t="shared" si="19"/>
        <v>100246</v>
      </c>
      <c r="H318" s="74" t="s">
        <v>4119</v>
      </c>
    </row>
    <row r="319" spans="1:8" ht="18.75">
      <c r="A319" s="70">
        <v>10</v>
      </c>
      <c r="B319" s="70">
        <v>2</v>
      </c>
      <c r="C319" s="70">
        <v>47</v>
      </c>
      <c r="D319" s="71" t="s">
        <v>400</v>
      </c>
      <c r="E319" s="72" t="s">
        <v>829</v>
      </c>
      <c r="F319" s="73" t="str">
        <f t="shared" si="18"/>
        <v>100247</v>
      </c>
      <c r="G319" s="72" t="str">
        <f t="shared" si="19"/>
        <v>100247</v>
      </c>
      <c r="H319" s="74" t="s">
        <v>4120</v>
      </c>
    </row>
    <row r="320" spans="1:8" ht="18.75">
      <c r="A320" s="70">
        <v>10</v>
      </c>
      <c r="B320" s="70">
        <v>2</v>
      </c>
      <c r="C320" s="70">
        <v>48</v>
      </c>
      <c r="D320" s="71" t="s">
        <v>4121</v>
      </c>
      <c r="E320" s="72" t="s">
        <v>829</v>
      </c>
      <c r="F320" s="73" t="str">
        <f t="shared" si="18"/>
        <v>100248</v>
      </c>
      <c r="G320" s="72" t="str">
        <f t="shared" si="19"/>
        <v>100248</v>
      </c>
      <c r="H320" s="74" t="s">
        <v>5465</v>
      </c>
    </row>
    <row r="321" spans="1:8" ht="18.75">
      <c r="A321" s="70">
        <v>10</v>
      </c>
      <c r="B321" s="70">
        <v>2</v>
      </c>
      <c r="C321" s="70">
        <v>49</v>
      </c>
      <c r="D321" s="71" t="s">
        <v>5921</v>
      </c>
      <c r="E321" s="72" t="s">
        <v>829</v>
      </c>
      <c r="F321" s="73" t="str">
        <f t="shared" si="18"/>
        <v>100249</v>
      </c>
      <c r="G321" s="72" t="str">
        <f t="shared" si="19"/>
        <v>100249</v>
      </c>
      <c r="H321" s="74" t="s">
        <v>5922</v>
      </c>
    </row>
    <row r="322" spans="1:8" ht="18.75">
      <c r="A322" s="66">
        <v>10</v>
      </c>
      <c r="B322" s="66">
        <v>3</v>
      </c>
      <c r="C322" s="66">
        <v>0</v>
      </c>
      <c r="D322" s="67" t="s">
        <v>2847</v>
      </c>
      <c r="E322" s="68"/>
      <c r="F322" s="78"/>
      <c r="G322" s="79"/>
      <c r="H322" s="80"/>
    </row>
    <row r="323" spans="1:8" ht="18.75">
      <c r="A323" s="70">
        <v>10</v>
      </c>
      <c r="B323" s="70">
        <v>3</v>
      </c>
      <c r="C323" s="70">
        <v>11</v>
      </c>
      <c r="D323" s="71" t="s">
        <v>3216</v>
      </c>
      <c r="E323" s="72" t="s">
        <v>829</v>
      </c>
      <c r="F323" s="73" t="str">
        <f t="shared" ref="F323:F336" si="20">TEXT(A323,"00")&amp;TEXT(B323,"00")&amp;TEXT(C323,"00")</f>
        <v>100311</v>
      </c>
      <c r="G323" s="72" t="str">
        <f t="shared" ref="G323:G336" si="21">TEXT(F323,"000000")</f>
        <v>100311</v>
      </c>
      <c r="H323" s="74" t="s">
        <v>4122</v>
      </c>
    </row>
    <row r="324" spans="1:8" ht="18.75">
      <c r="A324" s="70">
        <v>10</v>
      </c>
      <c r="B324" s="70">
        <v>3</v>
      </c>
      <c r="C324" s="70">
        <v>12</v>
      </c>
      <c r="D324" s="71" t="s">
        <v>3218</v>
      </c>
      <c r="E324" s="72" t="s">
        <v>829</v>
      </c>
      <c r="F324" s="73" t="str">
        <f t="shared" si="20"/>
        <v>100312</v>
      </c>
      <c r="G324" s="72" t="str">
        <f t="shared" si="21"/>
        <v>100312</v>
      </c>
      <c r="H324" s="74" t="s">
        <v>4123</v>
      </c>
    </row>
    <row r="325" spans="1:8" ht="18.75">
      <c r="A325" s="70">
        <v>10</v>
      </c>
      <c r="B325" s="70">
        <v>3</v>
      </c>
      <c r="C325" s="70">
        <v>13</v>
      </c>
      <c r="D325" s="71" t="s">
        <v>3223</v>
      </c>
      <c r="E325" s="72" t="s">
        <v>829</v>
      </c>
      <c r="F325" s="73" t="str">
        <f t="shared" si="20"/>
        <v>100313</v>
      </c>
      <c r="G325" s="72" t="str">
        <f t="shared" si="21"/>
        <v>100313</v>
      </c>
      <c r="H325" s="74" t="s">
        <v>4124</v>
      </c>
    </row>
    <row r="326" spans="1:8" ht="18.75">
      <c r="A326" s="70">
        <v>10</v>
      </c>
      <c r="B326" s="70">
        <v>3</v>
      </c>
      <c r="C326" s="70">
        <v>14</v>
      </c>
      <c r="D326" s="71" t="s">
        <v>3222</v>
      </c>
      <c r="E326" s="72" t="s">
        <v>829</v>
      </c>
      <c r="F326" s="73" t="str">
        <f t="shared" si="20"/>
        <v>100314</v>
      </c>
      <c r="G326" s="72" t="str">
        <f t="shared" si="21"/>
        <v>100314</v>
      </c>
      <c r="H326" s="74" t="s">
        <v>4125</v>
      </c>
    </row>
    <row r="327" spans="1:8" ht="18.75">
      <c r="A327" s="70">
        <v>10</v>
      </c>
      <c r="B327" s="70">
        <v>3</v>
      </c>
      <c r="C327" s="70">
        <v>15</v>
      </c>
      <c r="D327" s="71" t="s">
        <v>3224</v>
      </c>
      <c r="E327" s="72" t="s">
        <v>829</v>
      </c>
      <c r="F327" s="73" t="str">
        <f t="shared" si="20"/>
        <v>100315</v>
      </c>
      <c r="G327" s="72" t="str">
        <f t="shared" si="21"/>
        <v>100315</v>
      </c>
      <c r="H327" s="74" t="s">
        <v>4126</v>
      </c>
    </row>
    <row r="328" spans="1:8" ht="18.75">
      <c r="A328" s="70">
        <v>10</v>
      </c>
      <c r="B328" s="70">
        <v>3</v>
      </c>
      <c r="C328" s="70">
        <v>16</v>
      </c>
      <c r="D328" s="71" t="s">
        <v>3225</v>
      </c>
      <c r="E328" s="72" t="s">
        <v>829</v>
      </c>
      <c r="F328" s="73" t="str">
        <f t="shared" si="20"/>
        <v>100316</v>
      </c>
      <c r="G328" s="72" t="str">
        <f t="shared" si="21"/>
        <v>100316</v>
      </c>
      <c r="H328" s="74" t="s">
        <v>4127</v>
      </c>
    </row>
    <row r="329" spans="1:8" ht="18.75">
      <c r="A329" s="70">
        <v>10</v>
      </c>
      <c r="B329" s="70">
        <v>3</v>
      </c>
      <c r="C329" s="70">
        <v>17</v>
      </c>
      <c r="D329" s="71" t="s">
        <v>3226</v>
      </c>
      <c r="E329" s="72" t="s">
        <v>829</v>
      </c>
      <c r="F329" s="73" t="str">
        <f t="shared" si="20"/>
        <v>100317</v>
      </c>
      <c r="G329" s="72" t="str">
        <f t="shared" si="21"/>
        <v>100317</v>
      </c>
      <c r="H329" s="74" t="s">
        <v>4128</v>
      </c>
    </row>
    <row r="330" spans="1:8" ht="18.75">
      <c r="A330" s="70">
        <v>10</v>
      </c>
      <c r="B330" s="70">
        <v>3</v>
      </c>
      <c r="C330" s="70">
        <v>18</v>
      </c>
      <c r="D330" s="71" t="s">
        <v>3217</v>
      </c>
      <c r="E330" s="72" t="s">
        <v>829</v>
      </c>
      <c r="F330" s="73" t="str">
        <f t="shared" si="20"/>
        <v>100318</v>
      </c>
      <c r="G330" s="72" t="str">
        <f t="shared" si="21"/>
        <v>100318</v>
      </c>
      <c r="H330" s="74" t="s">
        <v>4129</v>
      </c>
    </row>
    <row r="331" spans="1:8" ht="18.75">
      <c r="A331" s="70">
        <v>10</v>
      </c>
      <c r="B331" s="70">
        <v>3</v>
      </c>
      <c r="C331" s="70">
        <v>19</v>
      </c>
      <c r="D331" s="71" t="s">
        <v>5807</v>
      </c>
      <c r="E331" s="72" t="s">
        <v>829</v>
      </c>
      <c r="F331" s="73" t="str">
        <f t="shared" si="20"/>
        <v>100319</v>
      </c>
      <c r="G331" s="72" t="str">
        <f t="shared" si="21"/>
        <v>100319</v>
      </c>
      <c r="H331" s="74" t="s">
        <v>4130</v>
      </c>
    </row>
    <row r="332" spans="1:8" ht="18.75">
      <c r="A332" s="70">
        <v>10</v>
      </c>
      <c r="B332" s="70">
        <v>3</v>
      </c>
      <c r="C332" s="70">
        <v>20</v>
      </c>
      <c r="D332" s="71" t="s">
        <v>3227</v>
      </c>
      <c r="E332" s="72" t="s">
        <v>829</v>
      </c>
      <c r="F332" s="73" t="str">
        <f t="shared" si="20"/>
        <v>100320</v>
      </c>
      <c r="G332" s="72" t="str">
        <f t="shared" si="21"/>
        <v>100320</v>
      </c>
      <c r="H332" s="74" t="s">
        <v>4131</v>
      </c>
    </row>
    <row r="333" spans="1:8" ht="18.75">
      <c r="A333" s="70">
        <v>10</v>
      </c>
      <c r="B333" s="70">
        <v>3</v>
      </c>
      <c r="C333" s="70">
        <v>21</v>
      </c>
      <c r="D333" s="71" t="s">
        <v>3215</v>
      </c>
      <c r="E333" s="72" t="s">
        <v>829</v>
      </c>
      <c r="F333" s="73" t="str">
        <f t="shared" si="20"/>
        <v>100321</v>
      </c>
      <c r="G333" s="72" t="str">
        <f t="shared" si="21"/>
        <v>100321</v>
      </c>
      <c r="H333" s="74" t="s">
        <v>4132</v>
      </c>
    </row>
    <row r="334" spans="1:8" ht="18.75">
      <c r="A334" s="70">
        <v>10</v>
      </c>
      <c r="B334" s="70">
        <v>3</v>
      </c>
      <c r="C334" s="70">
        <v>22</v>
      </c>
      <c r="D334" s="71" t="s">
        <v>5808</v>
      </c>
      <c r="E334" s="72" t="s">
        <v>829</v>
      </c>
      <c r="F334" s="73" t="str">
        <f t="shared" si="20"/>
        <v>100322</v>
      </c>
      <c r="G334" s="72" t="str">
        <f t="shared" si="21"/>
        <v>100322</v>
      </c>
      <c r="H334" s="74" t="s">
        <v>4133</v>
      </c>
    </row>
    <row r="335" spans="1:8" ht="18.75">
      <c r="A335" s="70">
        <v>10</v>
      </c>
      <c r="B335" s="70">
        <v>3</v>
      </c>
      <c r="C335" s="70">
        <v>23</v>
      </c>
      <c r="D335" s="71" t="s">
        <v>3636</v>
      </c>
      <c r="E335" s="72" t="s">
        <v>829</v>
      </c>
      <c r="F335" s="73" t="str">
        <f t="shared" si="20"/>
        <v>100323</v>
      </c>
      <c r="G335" s="72" t="str">
        <f t="shared" si="21"/>
        <v>100323</v>
      </c>
      <c r="H335" s="74" t="s">
        <v>4134</v>
      </c>
    </row>
    <row r="336" spans="1:8" ht="18.75">
      <c r="A336" s="70">
        <v>10</v>
      </c>
      <c r="B336" s="70">
        <v>3</v>
      </c>
      <c r="C336" s="70">
        <v>24</v>
      </c>
      <c r="D336" s="71" t="s">
        <v>3635</v>
      </c>
      <c r="E336" s="72" t="s">
        <v>829</v>
      </c>
      <c r="F336" s="73" t="str">
        <f t="shared" si="20"/>
        <v>100324</v>
      </c>
      <c r="G336" s="72" t="str">
        <f t="shared" si="21"/>
        <v>100324</v>
      </c>
      <c r="H336" s="74" t="s">
        <v>4135</v>
      </c>
    </row>
    <row r="337" spans="1:8" ht="18.75">
      <c r="A337" s="66">
        <v>10</v>
      </c>
      <c r="B337" s="66">
        <v>4</v>
      </c>
      <c r="C337" s="66">
        <v>0</v>
      </c>
      <c r="D337" s="67" t="s">
        <v>2849</v>
      </c>
      <c r="E337" s="68"/>
      <c r="F337" s="78"/>
      <c r="G337" s="79"/>
      <c r="H337" s="80"/>
    </row>
    <row r="338" spans="1:8" ht="18.75">
      <c r="A338" s="70">
        <v>10</v>
      </c>
      <c r="B338" s="70">
        <v>4</v>
      </c>
      <c r="C338" s="70">
        <v>11</v>
      </c>
      <c r="D338" s="71" t="s">
        <v>3153</v>
      </c>
      <c r="E338" s="72" t="s">
        <v>829</v>
      </c>
      <c r="F338" s="73" t="str">
        <f t="shared" ref="F338:F345" si="22">TEXT(A338,"00")&amp;TEXT(B338,"00")&amp;TEXT(C338,"00")</f>
        <v>100411</v>
      </c>
      <c r="G338" s="72" t="str">
        <f t="shared" ref="G338:G345" si="23">TEXT(F338,"000000")</f>
        <v>100411</v>
      </c>
      <c r="H338" s="74" t="s">
        <v>4136</v>
      </c>
    </row>
    <row r="339" spans="1:8" ht="18.75">
      <c r="A339" s="70">
        <v>10</v>
      </c>
      <c r="B339" s="70">
        <v>4</v>
      </c>
      <c r="C339" s="70">
        <v>12</v>
      </c>
      <c r="D339" s="71" t="s">
        <v>2986</v>
      </c>
      <c r="E339" s="72" t="s">
        <v>829</v>
      </c>
      <c r="F339" s="73" t="str">
        <f t="shared" si="22"/>
        <v>100412</v>
      </c>
      <c r="G339" s="72" t="str">
        <f t="shared" si="23"/>
        <v>100412</v>
      </c>
      <c r="H339" s="74" t="s">
        <v>4137</v>
      </c>
    </row>
    <row r="340" spans="1:8" ht="18.75">
      <c r="A340" s="70">
        <v>10</v>
      </c>
      <c r="B340" s="70">
        <v>4</v>
      </c>
      <c r="C340" s="70">
        <v>13</v>
      </c>
      <c r="D340" s="71" t="s">
        <v>3220</v>
      </c>
      <c r="E340" s="72" t="s">
        <v>829</v>
      </c>
      <c r="F340" s="73" t="str">
        <f t="shared" si="22"/>
        <v>100413</v>
      </c>
      <c r="G340" s="72" t="str">
        <f t="shared" si="23"/>
        <v>100413</v>
      </c>
      <c r="H340" s="74" t="s">
        <v>4138</v>
      </c>
    </row>
    <row r="341" spans="1:8" ht="18.75">
      <c r="A341" s="70">
        <v>10</v>
      </c>
      <c r="B341" s="70">
        <v>4</v>
      </c>
      <c r="C341" s="70">
        <v>14</v>
      </c>
      <c r="D341" s="71" t="s">
        <v>3221</v>
      </c>
      <c r="E341" s="72" t="s">
        <v>829</v>
      </c>
      <c r="F341" s="73" t="str">
        <f t="shared" si="22"/>
        <v>100414</v>
      </c>
      <c r="G341" s="72" t="str">
        <f t="shared" si="23"/>
        <v>100414</v>
      </c>
      <c r="H341" s="74" t="s">
        <v>4139</v>
      </c>
    </row>
    <row r="342" spans="1:8" ht="18.75">
      <c r="A342" s="70">
        <v>10</v>
      </c>
      <c r="B342" s="70">
        <v>4</v>
      </c>
      <c r="C342" s="70">
        <v>15</v>
      </c>
      <c r="D342" s="71" t="s">
        <v>3234</v>
      </c>
      <c r="E342" s="72" t="s">
        <v>829</v>
      </c>
      <c r="F342" s="73" t="str">
        <f t="shared" si="22"/>
        <v>100415</v>
      </c>
      <c r="G342" s="72" t="str">
        <f t="shared" si="23"/>
        <v>100415</v>
      </c>
      <c r="H342" s="74" t="s">
        <v>4140</v>
      </c>
    </row>
    <row r="343" spans="1:8" ht="18.75">
      <c r="A343" s="70">
        <v>10</v>
      </c>
      <c r="B343" s="70">
        <v>4</v>
      </c>
      <c r="C343" s="70">
        <v>16</v>
      </c>
      <c r="D343" s="71" t="s">
        <v>378</v>
      </c>
      <c r="E343" s="72" t="s">
        <v>829</v>
      </c>
      <c r="F343" s="73" t="str">
        <f t="shared" si="22"/>
        <v>100416</v>
      </c>
      <c r="G343" s="72" t="str">
        <f t="shared" si="23"/>
        <v>100416</v>
      </c>
      <c r="H343" s="74" t="s">
        <v>4141</v>
      </c>
    </row>
    <row r="344" spans="1:8" ht="18.75">
      <c r="A344" s="70">
        <v>10</v>
      </c>
      <c r="B344" s="70">
        <v>4</v>
      </c>
      <c r="C344" s="70">
        <v>17</v>
      </c>
      <c r="D344" s="71" t="s">
        <v>5923</v>
      </c>
      <c r="E344" s="72" t="s">
        <v>829</v>
      </c>
      <c r="F344" s="73" t="str">
        <f t="shared" si="22"/>
        <v>100417</v>
      </c>
      <c r="G344" s="72" t="str">
        <f t="shared" si="23"/>
        <v>100417</v>
      </c>
      <c r="H344" s="74" t="s">
        <v>5924</v>
      </c>
    </row>
    <row r="345" spans="1:8" ht="18.75">
      <c r="A345" s="70">
        <v>10</v>
      </c>
      <c r="B345" s="70">
        <v>4</v>
      </c>
      <c r="C345" s="70">
        <v>18</v>
      </c>
      <c r="D345" s="71" t="s">
        <v>5925</v>
      </c>
      <c r="E345" s="72" t="s">
        <v>829</v>
      </c>
      <c r="F345" s="73" t="str">
        <f t="shared" si="22"/>
        <v>100418</v>
      </c>
      <c r="G345" s="72" t="str">
        <f t="shared" si="23"/>
        <v>100418</v>
      </c>
      <c r="H345" s="74" t="s">
        <v>5926</v>
      </c>
    </row>
    <row r="346" spans="1:8" ht="18.75">
      <c r="A346" s="66">
        <v>10</v>
      </c>
      <c r="B346" s="66">
        <v>5</v>
      </c>
      <c r="C346" s="66">
        <v>0</v>
      </c>
      <c r="D346" s="67" t="s">
        <v>2848</v>
      </c>
      <c r="E346" s="68"/>
      <c r="F346" s="78"/>
      <c r="G346" s="79"/>
      <c r="H346" s="80"/>
    </row>
    <row r="347" spans="1:8" ht="18.75">
      <c r="A347" s="70">
        <v>10</v>
      </c>
      <c r="B347" s="70">
        <v>5</v>
      </c>
      <c r="C347" s="70">
        <v>10</v>
      </c>
      <c r="D347" s="71" t="s">
        <v>3219</v>
      </c>
      <c r="E347" s="72" t="s">
        <v>829</v>
      </c>
      <c r="F347" s="73" t="str">
        <f t="shared" ref="F347:F355" si="24">TEXT(A347,"00")&amp;TEXT(B347,"00")&amp;TEXT(C347,"00")</f>
        <v>100510</v>
      </c>
      <c r="G347" s="72" t="str">
        <f t="shared" ref="G347:G355" si="25">TEXT(F347,"000000")</f>
        <v>100510</v>
      </c>
      <c r="H347" s="74" t="s">
        <v>4142</v>
      </c>
    </row>
    <row r="348" spans="1:8" ht="18.75">
      <c r="A348" s="70">
        <v>10</v>
      </c>
      <c r="B348" s="70">
        <v>5</v>
      </c>
      <c r="C348" s="70">
        <v>11</v>
      </c>
      <c r="D348" s="71" t="s">
        <v>3233</v>
      </c>
      <c r="E348" s="72" t="s">
        <v>829</v>
      </c>
      <c r="F348" s="73" t="str">
        <f t="shared" si="24"/>
        <v>100511</v>
      </c>
      <c r="G348" s="72" t="str">
        <f t="shared" si="25"/>
        <v>100511</v>
      </c>
      <c r="H348" s="74" t="s">
        <v>4143</v>
      </c>
    </row>
    <row r="349" spans="1:8" ht="18.75">
      <c r="A349" s="70">
        <v>10</v>
      </c>
      <c r="B349" s="70">
        <v>5</v>
      </c>
      <c r="C349" s="70">
        <v>21</v>
      </c>
      <c r="D349" s="71" t="s">
        <v>374</v>
      </c>
      <c r="E349" s="72" t="s">
        <v>829</v>
      </c>
      <c r="F349" s="73" t="str">
        <f t="shared" si="24"/>
        <v>100521</v>
      </c>
      <c r="G349" s="72" t="str">
        <f t="shared" si="25"/>
        <v>100521</v>
      </c>
      <c r="H349" s="74" t="s">
        <v>4144</v>
      </c>
    </row>
    <row r="350" spans="1:8" ht="18.75">
      <c r="A350" s="70">
        <v>10</v>
      </c>
      <c r="B350" s="70">
        <v>5</v>
      </c>
      <c r="C350" s="70">
        <v>22</v>
      </c>
      <c r="D350" s="71" t="s">
        <v>375</v>
      </c>
      <c r="E350" s="72" t="s">
        <v>829</v>
      </c>
      <c r="F350" s="73" t="str">
        <f t="shared" si="24"/>
        <v>100522</v>
      </c>
      <c r="G350" s="72" t="str">
        <f t="shared" si="25"/>
        <v>100522</v>
      </c>
      <c r="H350" s="74" t="s">
        <v>4145</v>
      </c>
    </row>
    <row r="351" spans="1:8" ht="18.75">
      <c r="A351" s="70">
        <v>10</v>
      </c>
      <c r="B351" s="70">
        <v>5</v>
      </c>
      <c r="C351" s="70">
        <v>23</v>
      </c>
      <c r="D351" s="71" t="s">
        <v>3229</v>
      </c>
      <c r="E351" s="72" t="s">
        <v>829</v>
      </c>
      <c r="F351" s="73" t="str">
        <f t="shared" si="24"/>
        <v>100523</v>
      </c>
      <c r="G351" s="72" t="str">
        <f t="shared" si="25"/>
        <v>100523</v>
      </c>
      <c r="H351" s="74" t="s">
        <v>4146</v>
      </c>
    </row>
    <row r="352" spans="1:8" ht="18.75">
      <c r="A352" s="70">
        <v>10</v>
      </c>
      <c r="B352" s="70">
        <v>5</v>
      </c>
      <c r="C352" s="70">
        <v>31</v>
      </c>
      <c r="D352" s="71" t="s">
        <v>3231</v>
      </c>
      <c r="E352" s="72" t="s">
        <v>829</v>
      </c>
      <c r="F352" s="73" t="str">
        <f t="shared" si="24"/>
        <v>100531</v>
      </c>
      <c r="G352" s="72" t="str">
        <f t="shared" si="25"/>
        <v>100531</v>
      </c>
      <c r="H352" s="74" t="s">
        <v>4147</v>
      </c>
    </row>
    <row r="353" spans="1:8" ht="18.75">
      <c r="A353" s="70">
        <v>10</v>
      </c>
      <c r="B353" s="70">
        <v>5</v>
      </c>
      <c r="C353" s="70">
        <v>32</v>
      </c>
      <c r="D353" s="71" t="s">
        <v>3232</v>
      </c>
      <c r="E353" s="72" t="s">
        <v>829</v>
      </c>
      <c r="F353" s="73" t="str">
        <f t="shared" si="24"/>
        <v>100532</v>
      </c>
      <c r="G353" s="72" t="str">
        <f t="shared" si="25"/>
        <v>100532</v>
      </c>
      <c r="H353" s="74" t="s">
        <v>4148</v>
      </c>
    </row>
    <row r="354" spans="1:8" ht="18.75">
      <c r="A354" s="70">
        <v>10</v>
      </c>
      <c r="B354" s="70">
        <v>5</v>
      </c>
      <c r="C354" s="70">
        <v>33</v>
      </c>
      <c r="D354" s="71" t="s">
        <v>3230</v>
      </c>
      <c r="E354" s="72" t="s">
        <v>829</v>
      </c>
      <c r="F354" s="73" t="str">
        <f t="shared" si="24"/>
        <v>100533</v>
      </c>
      <c r="G354" s="72" t="str">
        <f t="shared" si="25"/>
        <v>100533</v>
      </c>
      <c r="H354" s="74" t="s">
        <v>4149</v>
      </c>
    </row>
    <row r="355" spans="1:8" ht="18.75">
      <c r="A355" s="70">
        <v>10</v>
      </c>
      <c r="B355" s="70">
        <v>5</v>
      </c>
      <c r="C355" s="70">
        <v>34</v>
      </c>
      <c r="D355" s="71" t="s">
        <v>3641</v>
      </c>
      <c r="E355" s="72" t="s">
        <v>829</v>
      </c>
      <c r="F355" s="73" t="str">
        <f t="shared" si="24"/>
        <v>100534</v>
      </c>
      <c r="G355" s="72" t="str">
        <f t="shared" si="25"/>
        <v>100534</v>
      </c>
      <c r="H355" s="74" t="s">
        <v>4150</v>
      </c>
    </row>
    <row r="356" spans="1:8" ht="18.75">
      <c r="A356" s="66">
        <v>10</v>
      </c>
      <c r="B356" s="66">
        <v>6</v>
      </c>
      <c r="C356" s="66">
        <v>0</v>
      </c>
      <c r="D356" s="67" t="s">
        <v>2846</v>
      </c>
      <c r="E356" s="68"/>
      <c r="F356" s="78"/>
      <c r="G356" s="79"/>
      <c r="H356" s="80"/>
    </row>
    <row r="357" spans="1:8" ht="18.75">
      <c r="A357" s="70">
        <v>10</v>
      </c>
      <c r="B357" s="70">
        <v>6</v>
      </c>
      <c r="C357" s="70">
        <v>10</v>
      </c>
      <c r="D357" s="71" t="s">
        <v>3564</v>
      </c>
      <c r="E357" s="72" t="s">
        <v>829</v>
      </c>
      <c r="F357" s="73" t="str">
        <f t="shared" ref="F357:F388" si="26">TEXT(A357,"00")&amp;TEXT(B357,"00")&amp;TEXT(C357,"00")</f>
        <v>100610</v>
      </c>
      <c r="G357" s="72" t="str">
        <f t="shared" ref="G357:G388" si="27">TEXT(F357,"000000")</f>
        <v>100610</v>
      </c>
      <c r="H357" s="74" t="s">
        <v>4151</v>
      </c>
    </row>
    <row r="358" spans="1:8" ht="18.75">
      <c r="A358" s="70">
        <v>10</v>
      </c>
      <c r="B358" s="70">
        <v>6</v>
      </c>
      <c r="C358" s="70">
        <v>11</v>
      </c>
      <c r="D358" s="71" t="s">
        <v>3565</v>
      </c>
      <c r="E358" s="72" t="s">
        <v>829</v>
      </c>
      <c r="F358" s="73" t="str">
        <f t="shared" si="26"/>
        <v>100611</v>
      </c>
      <c r="G358" s="72" t="str">
        <f t="shared" si="27"/>
        <v>100611</v>
      </c>
      <c r="H358" s="74" t="s">
        <v>4152</v>
      </c>
    </row>
    <row r="359" spans="1:8" ht="18.75">
      <c r="A359" s="70">
        <v>10</v>
      </c>
      <c r="B359" s="70">
        <v>6</v>
      </c>
      <c r="C359" s="70">
        <v>12</v>
      </c>
      <c r="D359" s="71" t="s">
        <v>381</v>
      </c>
      <c r="E359" s="72" t="s">
        <v>829</v>
      </c>
      <c r="F359" s="73" t="str">
        <f t="shared" si="26"/>
        <v>100612</v>
      </c>
      <c r="G359" s="72" t="str">
        <f t="shared" si="27"/>
        <v>100612</v>
      </c>
      <c r="H359" s="74" t="s">
        <v>4153</v>
      </c>
    </row>
    <row r="360" spans="1:8" ht="18.75">
      <c r="A360" s="70">
        <v>10</v>
      </c>
      <c r="B360" s="70">
        <v>6</v>
      </c>
      <c r="C360" s="70">
        <v>13</v>
      </c>
      <c r="D360" s="71" t="s">
        <v>4154</v>
      </c>
      <c r="E360" s="72" t="s">
        <v>829</v>
      </c>
      <c r="F360" s="73" t="str">
        <f t="shared" si="26"/>
        <v>100613</v>
      </c>
      <c r="G360" s="72" t="str">
        <f t="shared" si="27"/>
        <v>100613</v>
      </c>
      <c r="H360" s="74" t="s">
        <v>4155</v>
      </c>
    </row>
    <row r="361" spans="1:8" ht="18.75">
      <c r="A361" s="70">
        <v>10</v>
      </c>
      <c r="B361" s="70">
        <v>6</v>
      </c>
      <c r="C361" s="70">
        <v>14</v>
      </c>
      <c r="D361" s="71" t="s">
        <v>4156</v>
      </c>
      <c r="E361" s="72" t="s">
        <v>829</v>
      </c>
      <c r="F361" s="73" t="str">
        <f t="shared" si="26"/>
        <v>100614</v>
      </c>
      <c r="G361" s="72" t="str">
        <f t="shared" si="27"/>
        <v>100614</v>
      </c>
      <c r="H361" s="74" t="s">
        <v>4157</v>
      </c>
    </row>
    <row r="362" spans="1:8" ht="18.75">
      <c r="A362" s="70">
        <v>10</v>
      </c>
      <c r="B362" s="70">
        <v>6</v>
      </c>
      <c r="C362" s="70">
        <v>15</v>
      </c>
      <c r="D362" s="71" t="s">
        <v>3236</v>
      </c>
      <c r="E362" s="72" t="s">
        <v>829</v>
      </c>
      <c r="F362" s="73" t="str">
        <f t="shared" si="26"/>
        <v>100615</v>
      </c>
      <c r="G362" s="72" t="str">
        <f t="shared" si="27"/>
        <v>100615</v>
      </c>
      <c r="H362" s="74" t="s">
        <v>4158</v>
      </c>
    </row>
    <row r="363" spans="1:8" ht="18.75">
      <c r="A363" s="70">
        <v>10</v>
      </c>
      <c r="B363" s="70">
        <v>6</v>
      </c>
      <c r="C363" s="70">
        <v>16</v>
      </c>
      <c r="D363" s="71" t="s">
        <v>2937</v>
      </c>
      <c r="E363" s="72" t="s">
        <v>829</v>
      </c>
      <c r="F363" s="73" t="str">
        <f t="shared" si="26"/>
        <v>100616</v>
      </c>
      <c r="G363" s="72" t="str">
        <f t="shared" si="27"/>
        <v>100616</v>
      </c>
      <c r="H363" s="74" t="s">
        <v>4159</v>
      </c>
    </row>
    <row r="364" spans="1:8" ht="18.75">
      <c r="A364" s="70">
        <v>10</v>
      </c>
      <c r="B364" s="70">
        <v>6</v>
      </c>
      <c r="C364" s="70">
        <v>17</v>
      </c>
      <c r="D364" s="71" t="s">
        <v>2936</v>
      </c>
      <c r="E364" s="72" t="s">
        <v>829</v>
      </c>
      <c r="F364" s="73" t="str">
        <f t="shared" si="26"/>
        <v>100617</v>
      </c>
      <c r="G364" s="72" t="str">
        <f t="shared" si="27"/>
        <v>100617</v>
      </c>
      <c r="H364" s="74" t="s">
        <v>4160</v>
      </c>
    </row>
    <row r="365" spans="1:8" ht="18.75">
      <c r="A365" s="70">
        <v>10</v>
      </c>
      <c r="B365" s="70">
        <v>6</v>
      </c>
      <c r="C365" s="70">
        <v>18</v>
      </c>
      <c r="D365" s="71" t="s">
        <v>3238</v>
      </c>
      <c r="E365" s="72" t="s">
        <v>829</v>
      </c>
      <c r="F365" s="73" t="str">
        <f t="shared" si="26"/>
        <v>100618</v>
      </c>
      <c r="G365" s="72" t="str">
        <f t="shared" si="27"/>
        <v>100618</v>
      </c>
      <c r="H365" s="74" t="s">
        <v>4161</v>
      </c>
    </row>
    <row r="366" spans="1:8" ht="18.75">
      <c r="A366" s="70">
        <v>10</v>
      </c>
      <c r="B366" s="70">
        <v>6</v>
      </c>
      <c r="C366" s="70">
        <v>19</v>
      </c>
      <c r="D366" s="71" t="s">
        <v>3239</v>
      </c>
      <c r="E366" s="72" t="s">
        <v>829</v>
      </c>
      <c r="F366" s="73" t="str">
        <f t="shared" si="26"/>
        <v>100619</v>
      </c>
      <c r="G366" s="72" t="str">
        <f t="shared" si="27"/>
        <v>100619</v>
      </c>
      <c r="H366" s="74" t="s">
        <v>4162</v>
      </c>
    </row>
    <row r="367" spans="1:8" ht="18.75">
      <c r="A367" s="70">
        <v>10</v>
      </c>
      <c r="B367" s="70">
        <v>6</v>
      </c>
      <c r="C367" s="70">
        <v>20</v>
      </c>
      <c r="D367" s="71" t="s">
        <v>3240</v>
      </c>
      <c r="E367" s="72" t="s">
        <v>829</v>
      </c>
      <c r="F367" s="73" t="str">
        <f t="shared" si="26"/>
        <v>100620</v>
      </c>
      <c r="G367" s="72" t="str">
        <f t="shared" si="27"/>
        <v>100620</v>
      </c>
      <c r="H367" s="74" t="s">
        <v>4163</v>
      </c>
    </row>
    <row r="368" spans="1:8" ht="18.75">
      <c r="A368" s="70">
        <v>10</v>
      </c>
      <c r="B368" s="70">
        <v>6</v>
      </c>
      <c r="C368" s="70">
        <v>32</v>
      </c>
      <c r="D368" s="71" t="s">
        <v>3657</v>
      </c>
      <c r="E368" s="72" t="s">
        <v>829</v>
      </c>
      <c r="F368" s="73" t="str">
        <f t="shared" si="26"/>
        <v>100632</v>
      </c>
      <c r="G368" s="72" t="str">
        <f t="shared" si="27"/>
        <v>100632</v>
      </c>
      <c r="H368" s="74" t="s">
        <v>5466</v>
      </c>
    </row>
    <row r="369" spans="1:8" ht="18.75">
      <c r="A369" s="70">
        <v>10</v>
      </c>
      <c r="B369" s="70">
        <v>6</v>
      </c>
      <c r="C369" s="70">
        <v>21</v>
      </c>
      <c r="D369" s="71" t="s">
        <v>3235</v>
      </c>
      <c r="E369" s="72" t="s">
        <v>829</v>
      </c>
      <c r="F369" s="73" t="str">
        <f t="shared" si="26"/>
        <v>100621</v>
      </c>
      <c r="G369" s="72" t="str">
        <f t="shared" si="27"/>
        <v>100621</v>
      </c>
      <c r="H369" s="74" t="s">
        <v>4164</v>
      </c>
    </row>
    <row r="370" spans="1:8" ht="18.75">
      <c r="A370" s="70">
        <v>10</v>
      </c>
      <c r="B370" s="70">
        <v>6</v>
      </c>
      <c r="C370" s="70">
        <v>22</v>
      </c>
      <c r="D370" s="71" t="s">
        <v>3237</v>
      </c>
      <c r="E370" s="72" t="s">
        <v>829</v>
      </c>
      <c r="F370" s="73" t="str">
        <f t="shared" si="26"/>
        <v>100622</v>
      </c>
      <c r="G370" s="72" t="str">
        <f t="shared" si="27"/>
        <v>100622</v>
      </c>
      <c r="H370" s="74" t="s">
        <v>4165</v>
      </c>
    </row>
    <row r="371" spans="1:8" ht="18.75">
      <c r="A371" s="70">
        <v>10</v>
      </c>
      <c r="B371" s="70">
        <v>6</v>
      </c>
      <c r="C371" s="70">
        <v>23</v>
      </c>
      <c r="D371" s="71" t="s">
        <v>396</v>
      </c>
      <c r="E371" s="72" t="s">
        <v>829</v>
      </c>
      <c r="F371" s="73" t="str">
        <f t="shared" si="26"/>
        <v>100623</v>
      </c>
      <c r="G371" s="72" t="str">
        <f t="shared" si="27"/>
        <v>100623</v>
      </c>
      <c r="H371" s="74" t="s">
        <v>4166</v>
      </c>
    </row>
    <row r="372" spans="1:8" ht="18.75">
      <c r="A372" s="70">
        <v>10</v>
      </c>
      <c r="B372" s="70">
        <v>6</v>
      </c>
      <c r="C372" s="70">
        <v>24</v>
      </c>
      <c r="D372" s="71" t="s">
        <v>3228</v>
      </c>
      <c r="E372" s="72" t="s">
        <v>829</v>
      </c>
      <c r="F372" s="73" t="str">
        <f t="shared" si="26"/>
        <v>100624</v>
      </c>
      <c r="G372" s="72" t="str">
        <f t="shared" si="27"/>
        <v>100624</v>
      </c>
      <c r="H372" s="74" t="s">
        <v>4167</v>
      </c>
    </row>
    <row r="373" spans="1:8" ht="18.75">
      <c r="A373" s="70">
        <v>10</v>
      </c>
      <c r="B373" s="70">
        <v>6</v>
      </c>
      <c r="C373" s="70">
        <v>25</v>
      </c>
      <c r="D373" s="71" t="s">
        <v>3241</v>
      </c>
      <c r="E373" s="72" t="s">
        <v>829</v>
      </c>
      <c r="F373" s="73" t="str">
        <f t="shared" si="26"/>
        <v>100625</v>
      </c>
      <c r="G373" s="72" t="str">
        <f t="shared" si="27"/>
        <v>100625</v>
      </c>
      <c r="H373" s="74" t="s">
        <v>4168</v>
      </c>
    </row>
    <row r="374" spans="1:8" ht="18.75">
      <c r="A374" s="70">
        <v>10</v>
      </c>
      <c r="B374" s="70">
        <v>6</v>
      </c>
      <c r="C374" s="70">
        <v>26</v>
      </c>
      <c r="D374" s="71" t="s">
        <v>3242</v>
      </c>
      <c r="E374" s="72" t="s">
        <v>829</v>
      </c>
      <c r="F374" s="73" t="str">
        <f t="shared" si="26"/>
        <v>100626</v>
      </c>
      <c r="G374" s="72" t="str">
        <f t="shared" si="27"/>
        <v>100626</v>
      </c>
      <c r="H374" s="74" t="s">
        <v>4169</v>
      </c>
    </row>
    <row r="375" spans="1:8" ht="18.75">
      <c r="A375" s="70">
        <v>10</v>
      </c>
      <c r="B375" s="70">
        <v>6</v>
      </c>
      <c r="C375" s="70">
        <v>27</v>
      </c>
      <c r="D375" s="71" t="s">
        <v>3243</v>
      </c>
      <c r="E375" s="72" t="s">
        <v>829</v>
      </c>
      <c r="F375" s="73" t="str">
        <f t="shared" si="26"/>
        <v>100627</v>
      </c>
      <c r="G375" s="72" t="str">
        <f t="shared" si="27"/>
        <v>100627</v>
      </c>
      <c r="H375" s="74" t="s">
        <v>4170</v>
      </c>
    </row>
    <row r="376" spans="1:8" ht="18.75">
      <c r="A376" s="70">
        <v>10</v>
      </c>
      <c r="B376" s="70">
        <v>6</v>
      </c>
      <c r="C376" s="70">
        <v>28</v>
      </c>
      <c r="D376" s="71" t="s">
        <v>3244</v>
      </c>
      <c r="E376" s="72" t="s">
        <v>829</v>
      </c>
      <c r="F376" s="73" t="str">
        <f t="shared" si="26"/>
        <v>100628</v>
      </c>
      <c r="G376" s="72" t="str">
        <f t="shared" si="27"/>
        <v>100628</v>
      </c>
      <c r="H376" s="74" t="s">
        <v>4171</v>
      </c>
    </row>
    <row r="377" spans="1:8" ht="18.75">
      <c r="A377" s="70">
        <v>10</v>
      </c>
      <c r="B377" s="70">
        <v>6</v>
      </c>
      <c r="C377" s="70">
        <v>29</v>
      </c>
      <c r="D377" s="71" t="s">
        <v>4172</v>
      </c>
      <c r="E377" s="72" t="s">
        <v>829</v>
      </c>
      <c r="F377" s="73" t="str">
        <f t="shared" si="26"/>
        <v>100629</v>
      </c>
      <c r="G377" s="72" t="str">
        <f t="shared" si="27"/>
        <v>100629</v>
      </c>
      <c r="H377" s="74" t="s">
        <v>5467</v>
      </c>
    </row>
    <row r="378" spans="1:8" ht="18.75">
      <c r="A378" s="70">
        <v>10</v>
      </c>
      <c r="B378" s="70">
        <v>6</v>
      </c>
      <c r="C378" s="70">
        <v>30</v>
      </c>
      <c r="D378" s="71" t="s">
        <v>442</v>
      </c>
      <c r="E378" s="72" t="s">
        <v>829</v>
      </c>
      <c r="F378" s="73" t="str">
        <f t="shared" si="26"/>
        <v>100630</v>
      </c>
      <c r="G378" s="72" t="str">
        <f t="shared" si="27"/>
        <v>100630</v>
      </c>
      <c r="H378" s="74" t="s">
        <v>4173</v>
      </c>
    </row>
    <row r="379" spans="1:8" ht="18.75">
      <c r="A379" s="70">
        <v>10</v>
      </c>
      <c r="B379" s="70">
        <v>6</v>
      </c>
      <c r="C379" s="70">
        <v>31</v>
      </c>
      <c r="D379" s="71" t="s">
        <v>370</v>
      </c>
      <c r="E379" s="72" t="s">
        <v>829</v>
      </c>
      <c r="F379" s="73" t="str">
        <f t="shared" si="26"/>
        <v>100631</v>
      </c>
      <c r="G379" s="72" t="str">
        <f t="shared" si="27"/>
        <v>100631</v>
      </c>
      <c r="H379" s="74" t="s">
        <v>4174</v>
      </c>
    </row>
    <row r="380" spans="1:8" ht="18.75">
      <c r="A380" s="70">
        <v>10</v>
      </c>
      <c r="B380" s="70">
        <v>6</v>
      </c>
      <c r="C380" s="70">
        <v>51</v>
      </c>
      <c r="D380" s="71" t="s">
        <v>2949</v>
      </c>
      <c r="E380" s="72" t="s">
        <v>829</v>
      </c>
      <c r="F380" s="73" t="str">
        <f t="shared" si="26"/>
        <v>100651</v>
      </c>
      <c r="G380" s="72" t="str">
        <f t="shared" si="27"/>
        <v>100651</v>
      </c>
      <c r="H380" s="74" t="s">
        <v>4175</v>
      </c>
    </row>
    <row r="381" spans="1:8" ht="18.75">
      <c r="A381" s="70">
        <v>10</v>
      </c>
      <c r="B381" s="70">
        <v>6</v>
      </c>
      <c r="C381" s="70">
        <v>52</v>
      </c>
      <c r="D381" s="71" t="s">
        <v>2950</v>
      </c>
      <c r="E381" s="72" t="s">
        <v>829</v>
      </c>
      <c r="F381" s="73" t="str">
        <f t="shared" si="26"/>
        <v>100652</v>
      </c>
      <c r="G381" s="72" t="str">
        <f t="shared" si="27"/>
        <v>100652</v>
      </c>
      <c r="H381" s="74" t="s">
        <v>4176</v>
      </c>
    </row>
    <row r="382" spans="1:8" ht="18.75">
      <c r="A382" s="70">
        <v>10</v>
      </c>
      <c r="B382" s="70">
        <v>6</v>
      </c>
      <c r="C382" s="70">
        <v>53</v>
      </c>
      <c r="D382" s="71" t="s">
        <v>3275</v>
      </c>
      <c r="E382" s="72" t="s">
        <v>829</v>
      </c>
      <c r="F382" s="73" t="str">
        <f t="shared" si="26"/>
        <v>100653</v>
      </c>
      <c r="G382" s="72" t="str">
        <f t="shared" si="27"/>
        <v>100653</v>
      </c>
      <c r="H382" s="74" t="s">
        <v>4177</v>
      </c>
    </row>
    <row r="383" spans="1:8" ht="18.75">
      <c r="A383" s="70">
        <v>10</v>
      </c>
      <c r="B383" s="70">
        <v>6</v>
      </c>
      <c r="C383" s="70">
        <v>56</v>
      </c>
      <c r="D383" s="71" t="s">
        <v>2951</v>
      </c>
      <c r="E383" s="72" t="s">
        <v>829</v>
      </c>
      <c r="F383" s="73" t="str">
        <f t="shared" si="26"/>
        <v>100656</v>
      </c>
      <c r="G383" s="72" t="str">
        <f t="shared" si="27"/>
        <v>100656</v>
      </c>
      <c r="H383" s="74" t="s">
        <v>4178</v>
      </c>
    </row>
    <row r="384" spans="1:8" ht="18.75">
      <c r="A384" s="70">
        <v>10</v>
      </c>
      <c r="B384" s="70">
        <v>6</v>
      </c>
      <c r="C384" s="70">
        <v>57</v>
      </c>
      <c r="D384" s="71" t="s">
        <v>3660</v>
      </c>
      <c r="E384" s="72" t="s">
        <v>829</v>
      </c>
      <c r="F384" s="73" t="str">
        <f t="shared" si="26"/>
        <v>100657</v>
      </c>
      <c r="G384" s="72" t="str">
        <f t="shared" si="27"/>
        <v>100657</v>
      </c>
      <c r="H384" s="74" t="s">
        <v>4179</v>
      </c>
    </row>
    <row r="385" spans="1:8" ht="18.75">
      <c r="A385" s="70">
        <v>10</v>
      </c>
      <c r="B385" s="70">
        <v>6</v>
      </c>
      <c r="C385" s="70">
        <v>58</v>
      </c>
      <c r="D385" s="71" t="s">
        <v>4180</v>
      </c>
      <c r="E385" s="72" t="s">
        <v>829</v>
      </c>
      <c r="F385" s="73" t="str">
        <f t="shared" si="26"/>
        <v>100658</v>
      </c>
      <c r="G385" s="72" t="str">
        <f t="shared" si="27"/>
        <v>100658</v>
      </c>
      <c r="H385" s="74" t="s">
        <v>5468</v>
      </c>
    </row>
    <row r="386" spans="1:8" ht="18.75">
      <c r="A386" s="70">
        <v>10</v>
      </c>
      <c r="B386" s="70">
        <v>6</v>
      </c>
      <c r="C386" s="70">
        <v>59</v>
      </c>
      <c r="D386" s="71" t="s">
        <v>4181</v>
      </c>
      <c r="E386" s="72" t="s">
        <v>829</v>
      </c>
      <c r="F386" s="73" t="str">
        <f t="shared" si="26"/>
        <v>100659</v>
      </c>
      <c r="G386" s="72" t="str">
        <f t="shared" si="27"/>
        <v>100659</v>
      </c>
      <c r="H386" s="74" t="s">
        <v>5469</v>
      </c>
    </row>
    <row r="387" spans="1:8" ht="18.75">
      <c r="A387" s="70">
        <v>10</v>
      </c>
      <c r="B387" s="70">
        <v>6</v>
      </c>
      <c r="C387" s="70">
        <v>60</v>
      </c>
      <c r="D387" s="71" t="s">
        <v>5442</v>
      </c>
      <c r="E387" s="72" t="s">
        <v>829</v>
      </c>
      <c r="F387" s="73" t="str">
        <f t="shared" si="26"/>
        <v>100660</v>
      </c>
      <c r="G387" s="72" t="str">
        <f t="shared" si="27"/>
        <v>100660</v>
      </c>
      <c r="H387" s="74" t="s">
        <v>5470</v>
      </c>
    </row>
    <row r="388" spans="1:8" ht="18.75">
      <c r="A388" s="70">
        <v>10</v>
      </c>
      <c r="B388" s="70">
        <v>6</v>
      </c>
      <c r="C388" s="70">
        <v>61</v>
      </c>
      <c r="D388" s="71" t="s">
        <v>5927</v>
      </c>
      <c r="E388" s="72" t="s">
        <v>829</v>
      </c>
      <c r="F388" s="73" t="str">
        <f t="shared" si="26"/>
        <v>100661</v>
      </c>
      <c r="G388" s="72" t="str">
        <f t="shared" si="27"/>
        <v>100661</v>
      </c>
      <c r="H388" s="74" t="s">
        <v>5928</v>
      </c>
    </row>
    <row r="389" spans="1:8" ht="18.75">
      <c r="A389" s="66">
        <v>10</v>
      </c>
      <c r="B389" s="66">
        <v>7</v>
      </c>
      <c r="C389" s="66">
        <v>0</v>
      </c>
      <c r="D389" s="67" t="s">
        <v>2850</v>
      </c>
      <c r="E389" s="68"/>
      <c r="F389" s="78"/>
      <c r="G389" s="79"/>
      <c r="H389" s="80"/>
    </row>
    <row r="390" spans="1:8" ht="18.75">
      <c r="A390" s="70">
        <v>10</v>
      </c>
      <c r="B390" s="70">
        <v>7</v>
      </c>
      <c r="C390" s="70">
        <v>11</v>
      </c>
      <c r="D390" s="71" t="s">
        <v>372</v>
      </c>
      <c r="E390" s="72" t="s">
        <v>829</v>
      </c>
      <c r="F390" s="73" t="str">
        <f t="shared" ref="F390:F397" si="28">TEXT(A390,"00")&amp;TEXT(B390,"00")&amp;TEXT(C390,"00")</f>
        <v>100711</v>
      </c>
      <c r="G390" s="72" t="str">
        <f t="shared" ref="G390:G397" si="29">TEXT(F390,"000000")</f>
        <v>100711</v>
      </c>
      <c r="H390" s="74" t="s">
        <v>4182</v>
      </c>
    </row>
    <row r="391" spans="1:8" ht="18.75">
      <c r="A391" s="70">
        <v>10</v>
      </c>
      <c r="B391" s="70">
        <v>7</v>
      </c>
      <c r="C391" s="70">
        <v>12</v>
      </c>
      <c r="D391" s="71" t="s">
        <v>3276</v>
      </c>
      <c r="E391" s="72" t="s">
        <v>829</v>
      </c>
      <c r="F391" s="73" t="str">
        <f t="shared" si="28"/>
        <v>100712</v>
      </c>
      <c r="G391" s="72" t="str">
        <f t="shared" si="29"/>
        <v>100712</v>
      </c>
      <c r="H391" s="74" t="s">
        <v>4183</v>
      </c>
    </row>
    <row r="392" spans="1:8" ht="18.75">
      <c r="A392" s="70">
        <v>10</v>
      </c>
      <c r="B392" s="70">
        <v>7</v>
      </c>
      <c r="C392" s="70">
        <v>21</v>
      </c>
      <c r="D392" s="71" t="s">
        <v>3249</v>
      </c>
      <c r="E392" s="72" t="s">
        <v>829</v>
      </c>
      <c r="F392" s="73" t="str">
        <f t="shared" si="28"/>
        <v>100721</v>
      </c>
      <c r="G392" s="72" t="str">
        <f t="shared" si="29"/>
        <v>100721</v>
      </c>
      <c r="H392" s="74" t="s">
        <v>4184</v>
      </c>
    </row>
    <row r="393" spans="1:8" ht="18.75">
      <c r="A393" s="70">
        <v>10</v>
      </c>
      <c r="B393" s="70">
        <v>7</v>
      </c>
      <c r="C393" s="70">
        <v>31</v>
      </c>
      <c r="D393" s="71" t="s">
        <v>397</v>
      </c>
      <c r="E393" s="72" t="s">
        <v>829</v>
      </c>
      <c r="F393" s="73" t="str">
        <f t="shared" si="28"/>
        <v>100731</v>
      </c>
      <c r="G393" s="72" t="str">
        <f t="shared" si="29"/>
        <v>100731</v>
      </c>
      <c r="H393" s="74" t="s">
        <v>4185</v>
      </c>
    </row>
    <row r="394" spans="1:8" ht="18.75">
      <c r="A394" s="70">
        <v>10</v>
      </c>
      <c r="B394" s="70">
        <v>7</v>
      </c>
      <c r="C394" s="70">
        <v>32</v>
      </c>
      <c r="D394" s="71" t="s">
        <v>309</v>
      </c>
      <c r="E394" s="72" t="s">
        <v>829</v>
      </c>
      <c r="F394" s="73" t="str">
        <f t="shared" si="28"/>
        <v>100732</v>
      </c>
      <c r="G394" s="72" t="str">
        <f t="shared" si="29"/>
        <v>100732</v>
      </c>
      <c r="H394" s="74" t="s">
        <v>4186</v>
      </c>
    </row>
    <row r="395" spans="1:8" ht="18.75">
      <c r="A395" s="70">
        <v>10</v>
      </c>
      <c r="B395" s="70">
        <v>7</v>
      </c>
      <c r="C395" s="70">
        <v>33</v>
      </c>
      <c r="D395" s="71" t="s">
        <v>310</v>
      </c>
      <c r="E395" s="72" t="s">
        <v>829</v>
      </c>
      <c r="F395" s="73" t="str">
        <f t="shared" si="28"/>
        <v>100733</v>
      </c>
      <c r="G395" s="72" t="str">
        <f t="shared" si="29"/>
        <v>100733</v>
      </c>
      <c r="H395" s="74" t="s">
        <v>4187</v>
      </c>
    </row>
    <row r="396" spans="1:8" ht="18.75">
      <c r="A396" s="70">
        <v>10</v>
      </c>
      <c r="B396" s="70">
        <v>7</v>
      </c>
      <c r="C396" s="70">
        <v>41</v>
      </c>
      <c r="D396" s="71" t="s">
        <v>401</v>
      </c>
      <c r="E396" s="72" t="s">
        <v>829</v>
      </c>
      <c r="F396" s="73" t="str">
        <f t="shared" si="28"/>
        <v>100741</v>
      </c>
      <c r="G396" s="72" t="str">
        <f t="shared" si="29"/>
        <v>100741</v>
      </c>
      <c r="H396" s="74" t="s">
        <v>4188</v>
      </c>
    </row>
    <row r="397" spans="1:8" ht="18.75">
      <c r="A397" s="70">
        <v>10</v>
      </c>
      <c r="B397" s="70">
        <v>7</v>
      </c>
      <c r="C397" s="70">
        <v>42</v>
      </c>
      <c r="D397" s="71" t="s">
        <v>5929</v>
      </c>
      <c r="E397" s="72" t="s">
        <v>829</v>
      </c>
      <c r="F397" s="73" t="str">
        <f t="shared" si="28"/>
        <v>100742</v>
      </c>
      <c r="G397" s="72" t="str">
        <f t="shared" si="29"/>
        <v>100742</v>
      </c>
      <c r="H397" s="74" t="s">
        <v>5930</v>
      </c>
    </row>
    <row r="398" spans="1:8" ht="18.75">
      <c r="A398" s="66">
        <v>10</v>
      </c>
      <c r="B398" s="66">
        <v>8</v>
      </c>
      <c r="C398" s="66">
        <v>0</v>
      </c>
      <c r="D398" s="67" t="s">
        <v>2845</v>
      </c>
      <c r="E398" s="68"/>
      <c r="F398" s="78"/>
      <c r="G398" s="79"/>
      <c r="H398" s="80"/>
    </row>
    <row r="399" spans="1:8" ht="18.75">
      <c r="A399" s="70">
        <v>10</v>
      </c>
      <c r="B399" s="70">
        <v>8</v>
      </c>
      <c r="C399" s="70">
        <v>11</v>
      </c>
      <c r="D399" s="71" t="s">
        <v>458</v>
      </c>
      <c r="E399" s="72" t="s">
        <v>829</v>
      </c>
      <c r="F399" s="73" t="str">
        <f t="shared" ref="F399:F410" si="30">TEXT(A399,"00")&amp;TEXT(B399,"00")&amp;TEXT(C399,"00")</f>
        <v>100811</v>
      </c>
      <c r="G399" s="72" t="str">
        <f t="shared" ref="G399:G410" si="31">TEXT(F399,"000000")</f>
        <v>100811</v>
      </c>
      <c r="H399" s="74" t="s">
        <v>4189</v>
      </c>
    </row>
    <row r="400" spans="1:8" ht="18.75">
      <c r="A400" s="70">
        <v>10</v>
      </c>
      <c r="B400" s="70">
        <v>8</v>
      </c>
      <c r="C400" s="70">
        <v>12</v>
      </c>
      <c r="D400" s="71" t="s">
        <v>459</v>
      </c>
      <c r="E400" s="72" t="s">
        <v>829</v>
      </c>
      <c r="F400" s="73" t="str">
        <f t="shared" si="30"/>
        <v>100812</v>
      </c>
      <c r="G400" s="72" t="str">
        <f t="shared" si="31"/>
        <v>100812</v>
      </c>
      <c r="H400" s="74" t="s">
        <v>4190</v>
      </c>
    </row>
    <row r="401" spans="1:8" ht="18.75">
      <c r="A401" s="70">
        <v>10</v>
      </c>
      <c r="B401" s="70">
        <v>8</v>
      </c>
      <c r="C401" s="70">
        <v>13</v>
      </c>
      <c r="D401" s="71" t="s">
        <v>460</v>
      </c>
      <c r="E401" s="72" t="s">
        <v>829</v>
      </c>
      <c r="F401" s="73" t="str">
        <f t="shared" si="30"/>
        <v>100813</v>
      </c>
      <c r="G401" s="72" t="str">
        <f t="shared" si="31"/>
        <v>100813</v>
      </c>
      <c r="H401" s="74" t="s">
        <v>4191</v>
      </c>
    </row>
    <row r="402" spans="1:8" ht="18.75">
      <c r="A402" s="70">
        <v>10</v>
      </c>
      <c r="B402" s="70">
        <v>8</v>
      </c>
      <c r="C402" s="70">
        <v>14</v>
      </c>
      <c r="D402" s="71" t="s">
        <v>464</v>
      </c>
      <c r="E402" s="72" t="s">
        <v>829</v>
      </c>
      <c r="F402" s="73" t="str">
        <f t="shared" si="30"/>
        <v>100814</v>
      </c>
      <c r="G402" s="72" t="str">
        <f t="shared" si="31"/>
        <v>100814</v>
      </c>
      <c r="H402" s="74" t="s">
        <v>4192</v>
      </c>
    </row>
    <row r="403" spans="1:8" ht="18.75">
      <c r="A403" s="70">
        <v>10</v>
      </c>
      <c r="B403" s="70">
        <v>8</v>
      </c>
      <c r="C403" s="70">
        <v>15</v>
      </c>
      <c r="D403" s="71" t="s">
        <v>465</v>
      </c>
      <c r="E403" s="72" t="s">
        <v>829</v>
      </c>
      <c r="F403" s="73" t="str">
        <f t="shared" si="30"/>
        <v>100815</v>
      </c>
      <c r="G403" s="72" t="str">
        <f t="shared" si="31"/>
        <v>100815</v>
      </c>
      <c r="H403" s="74" t="s">
        <v>4193</v>
      </c>
    </row>
    <row r="404" spans="1:8" ht="18.75">
      <c r="A404" s="70">
        <v>10</v>
      </c>
      <c r="B404" s="70">
        <v>8</v>
      </c>
      <c r="C404" s="70">
        <v>16</v>
      </c>
      <c r="D404" s="71" t="s">
        <v>3250</v>
      </c>
      <c r="E404" s="72" t="s">
        <v>829</v>
      </c>
      <c r="F404" s="73" t="str">
        <f t="shared" si="30"/>
        <v>100816</v>
      </c>
      <c r="G404" s="72" t="str">
        <f t="shared" si="31"/>
        <v>100816</v>
      </c>
      <c r="H404" s="74" t="s">
        <v>4194</v>
      </c>
    </row>
    <row r="405" spans="1:8" ht="18.75">
      <c r="A405" s="70">
        <v>10</v>
      </c>
      <c r="B405" s="70">
        <v>8</v>
      </c>
      <c r="C405" s="70">
        <v>17</v>
      </c>
      <c r="D405" s="71" t="s">
        <v>3251</v>
      </c>
      <c r="E405" s="72" t="s">
        <v>829</v>
      </c>
      <c r="F405" s="73" t="str">
        <f t="shared" si="30"/>
        <v>100817</v>
      </c>
      <c r="G405" s="72" t="str">
        <f t="shared" si="31"/>
        <v>100817</v>
      </c>
      <c r="H405" s="74" t="s">
        <v>4195</v>
      </c>
    </row>
    <row r="406" spans="1:8" ht="18.75">
      <c r="A406" s="70">
        <v>10</v>
      </c>
      <c r="B406" s="70">
        <v>8</v>
      </c>
      <c r="C406" s="70">
        <v>18</v>
      </c>
      <c r="D406" s="71" t="s">
        <v>3252</v>
      </c>
      <c r="E406" s="72" t="s">
        <v>829</v>
      </c>
      <c r="F406" s="73" t="str">
        <f t="shared" si="30"/>
        <v>100818</v>
      </c>
      <c r="G406" s="72" t="str">
        <f t="shared" si="31"/>
        <v>100818</v>
      </c>
      <c r="H406" s="74" t="s">
        <v>4196</v>
      </c>
    </row>
    <row r="407" spans="1:8" ht="18.75">
      <c r="A407" s="70">
        <v>10</v>
      </c>
      <c r="B407" s="70">
        <v>8</v>
      </c>
      <c r="C407" s="70">
        <v>19</v>
      </c>
      <c r="D407" s="71" t="s">
        <v>3253</v>
      </c>
      <c r="E407" s="72" t="s">
        <v>829</v>
      </c>
      <c r="F407" s="73" t="str">
        <f t="shared" si="30"/>
        <v>100819</v>
      </c>
      <c r="G407" s="72" t="str">
        <f t="shared" si="31"/>
        <v>100819</v>
      </c>
      <c r="H407" s="74" t="s">
        <v>4197</v>
      </c>
    </row>
    <row r="408" spans="1:8" ht="18.75">
      <c r="A408" s="70">
        <v>10</v>
      </c>
      <c r="B408" s="70">
        <v>8</v>
      </c>
      <c r="C408" s="70">
        <v>20</v>
      </c>
      <c r="D408" s="71" t="s">
        <v>3254</v>
      </c>
      <c r="E408" s="72" t="s">
        <v>829</v>
      </c>
      <c r="F408" s="73" t="str">
        <f t="shared" si="30"/>
        <v>100820</v>
      </c>
      <c r="G408" s="72" t="str">
        <f t="shared" si="31"/>
        <v>100820</v>
      </c>
      <c r="H408" s="74" t="s">
        <v>4198</v>
      </c>
    </row>
    <row r="409" spans="1:8" ht="18.75">
      <c r="A409" s="70">
        <v>10</v>
      </c>
      <c r="B409" s="70">
        <v>8</v>
      </c>
      <c r="C409" s="70">
        <v>21</v>
      </c>
      <c r="D409" s="71" t="s">
        <v>3395</v>
      </c>
      <c r="E409" s="72" t="s">
        <v>829</v>
      </c>
      <c r="F409" s="73" t="str">
        <f t="shared" si="30"/>
        <v>100821</v>
      </c>
      <c r="G409" s="72" t="str">
        <f t="shared" si="31"/>
        <v>100821</v>
      </c>
      <c r="H409" s="74" t="s">
        <v>4199</v>
      </c>
    </row>
    <row r="410" spans="1:8" ht="18.75">
      <c r="A410" s="70">
        <v>10</v>
      </c>
      <c r="B410" s="70">
        <v>8</v>
      </c>
      <c r="C410" s="70">
        <v>22</v>
      </c>
      <c r="D410" s="71" t="s">
        <v>3396</v>
      </c>
      <c r="E410" s="72" t="s">
        <v>829</v>
      </c>
      <c r="F410" s="73" t="str">
        <f t="shared" si="30"/>
        <v>100822</v>
      </c>
      <c r="G410" s="72" t="str">
        <f t="shared" si="31"/>
        <v>100822</v>
      </c>
      <c r="H410" s="74" t="s">
        <v>4784</v>
      </c>
    </row>
    <row r="411" spans="1:8" ht="18.75">
      <c r="A411" s="62">
        <v>11</v>
      </c>
      <c r="B411" s="62">
        <v>0</v>
      </c>
      <c r="C411" s="62">
        <v>0</v>
      </c>
      <c r="D411" s="63" t="s">
        <v>2851</v>
      </c>
      <c r="E411" s="64"/>
      <c r="F411" s="75"/>
      <c r="G411" s="76"/>
      <c r="H411" s="77"/>
    </row>
    <row r="412" spans="1:8" ht="18.75">
      <c r="A412" s="66">
        <v>11</v>
      </c>
      <c r="B412" s="66">
        <v>1</v>
      </c>
      <c r="C412" s="66">
        <v>0</v>
      </c>
      <c r="D412" s="67" t="s">
        <v>2853</v>
      </c>
      <c r="E412" s="68"/>
      <c r="F412" s="78"/>
      <c r="G412" s="79"/>
      <c r="H412" s="80"/>
    </row>
    <row r="413" spans="1:8" ht="18.75">
      <c r="A413" s="70">
        <v>11</v>
      </c>
      <c r="B413" s="70">
        <v>1</v>
      </c>
      <c r="C413" s="70">
        <v>11</v>
      </c>
      <c r="D413" s="71" t="s">
        <v>3255</v>
      </c>
      <c r="E413" s="72" t="s">
        <v>829</v>
      </c>
      <c r="F413" s="73" t="str">
        <f>TEXT(A413,"00")&amp;TEXT(B413,"00")&amp;TEXT(C413,"00")</f>
        <v>110111</v>
      </c>
      <c r="G413" s="72" t="str">
        <f>TEXT(F413,"000000")</f>
        <v>110111</v>
      </c>
      <c r="H413" s="74" t="s">
        <v>4201</v>
      </c>
    </row>
    <row r="414" spans="1:8" ht="18.75">
      <c r="A414" s="70">
        <v>11</v>
      </c>
      <c r="B414" s="70">
        <v>1</v>
      </c>
      <c r="C414" s="70">
        <v>21</v>
      </c>
      <c r="D414" s="71" t="s">
        <v>512</v>
      </c>
      <c r="E414" s="72" t="s">
        <v>829</v>
      </c>
      <c r="F414" s="73" t="str">
        <f>TEXT(A414,"00")&amp;TEXT(B414,"00")&amp;TEXT(C414,"00")</f>
        <v>110121</v>
      </c>
      <c r="G414" s="72" t="str">
        <f>TEXT(F414,"000000")</f>
        <v>110121</v>
      </c>
      <c r="H414" s="74" t="s">
        <v>4202</v>
      </c>
    </row>
    <row r="415" spans="1:8" ht="18.75">
      <c r="A415" s="70">
        <v>11</v>
      </c>
      <c r="B415" s="70">
        <v>1</v>
      </c>
      <c r="C415" s="70">
        <v>31</v>
      </c>
      <c r="D415" s="71" t="s">
        <v>513</v>
      </c>
      <c r="E415" s="72" t="s">
        <v>829</v>
      </c>
      <c r="F415" s="73" t="str">
        <f>TEXT(A415,"00")&amp;TEXT(B415,"00")&amp;TEXT(C415,"00")</f>
        <v>110131</v>
      </c>
      <c r="G415" s="72" t="str">
        <f>TEXT(F415,"000000")</f>
        <v>110131</v>
      </c>
      <c r="H415" s="74" t="s">
        <v>4203</v>
      </c>
    </row>
    <row r="416" spans="1:8" ht="18.75">
      <c r="A416" s="66">
        <v>11</v>
      </c>
      <c r="B416" s="66">
        <v>2</v>
      </c>
      <c r="C416" s="66">
        <v>0</v>
      </c>
      <c r="D416" s="67" t="s">
        <v>2852</v>
      </c>
      <c r="E416" s="68"/>
      <c r="F416" s="78"/>
      <c r="G416" s="79"/>
      <c r="H416" s="80"/>
    </row>
    <row r="417" spans="1:8" ht="18.75">
      <c r="A417" s="70">
        <v>11</v>
      </c>
      <c r="B417" s="70">
        <v>2</v>
      </c>
      <c r="C417" s="70">
        <v>11</v>
      </c>
      <c r="D417" s="71" t="s">
        <v>554</v>
      </c>
      <c r="E417" s="72" t="s">
        <v>829</v>
      </c>
      <c r="F417" s="73" t="str">
        <f>TEXT(A417,"00")&amp;TEXT(B417,"00")&amp;TEXT(C417,"00")</f>
        <v>110211</v>
      </c>
      <c r="G417" s="72" t="str">
        <f>TEXT(F417,"000000")</f>
        <v>110211</v>
      </c>
      <c r="H417" s="74" t="s">
        <v>4204</v>
      </c>
    </row>
    <row r="418" spans="1:8" ht="18.75">
      <c r="A418" s="70">
        <v>11</v>
      </c>
      <c r="B418" s="70">
        <v>2</v>
      </c>
      <c r="C418" s="70">
        <v>12</v>
      </c>
      <c r="D418" s="71" t="s">
        <v>5809</v>
      </c>
      <c r="E418" s="72" t="s">
        <v>829</v>
      </c>
      <c r="F418" s="73" t="str">
        <f>TEXT(A418,"00")&amp;TEXT(B418,"00")&amp;TEXT(C418,"00")</f>
        <v>110212</v>
      </c>
      <c r="G418" s="72" t="str">
        <f>TEXT(F418,"000000")</f>
        <v>110212</v>
      </c>
      <c r="H418" s="74" t="s">
        <v>5810</v>
      </c>
    </row>
    <row r="419" spans="1:8" ht="18.75">
      <c r="A419" s="66">
        <v>11</v>
      </c>
      <c r="B419" s="66">
        <v>3</v>
      </c>
      <c r="C419" s="66">
        <v>0</v>
      </c>
      <c r="D419" s="67" t="s">
        <v>2854</v>
      </c>
      <c r="E419" s="68"/>
      <c r="F419" s="78"/>
      <c r="G419" s="79"/>
      <c r="H419" s="80"/>
    </row>
    <row r="420" spans="1:8" ht="18.75">
      <c r="A420" s="70">
        <v>11</v>
      </c>
      <c r="B420" s="70">
        <v>3</v>
      </c>
      <c r="C420" s="70">
        <v>11</v>
      </c>
      <c r="D420" s="71" t="s">
        <v>3277</v>
      </c>
      <c r="E420" s="72" t="s">
        <v>829</v>
      </c>
      <c r="F420" s="73" t="str">
        <f>TEXT(A420,"00")&amp;TEXT(B420,"00")&amp;TEXT(C420,"00")</f>
        <v>110311</v>
      </c>
      <c r="G420" s="72" t="str">
        <f>TEXT(F420,"000000")</f>
        <v>110311</v>
      </c>
      <c r="H420" s="74" t="s">
        <v>4205</v>
      </c>
    </row>
    <row r="421" spans="1:8" ht="18.75">
      <c r="A421" s="70">
        <v>11</v>
      </c>
      <c r="B421" s="70">
        <v>3</v>
      </c>
      <c r="C421" s="70">
        <v>12</v>
      </c>
      <c r="D421" s="71" t="s">
        <v>5811</v>
      </c>
      <c r="E421" s="72" t="s">
        <v>829</v>
      </c>
      <c r="F421" s="73" t="str">
        <f t="shared" ref="F421:F425" si="32">TEXT(A421,"00")&amp;TEXT(B421,"00")&amp;TEXT(C421,"00")</f>
        <v>110312</v>
      </c>
      <c r="G421" s="72" t="str">
        <f t="shared" ref="G421:G425" si="33">TEXT(F421,"000000")</f>
        <v>110312</v>
      </c>
      <c r="H421" s="74" t="s">
        <v>5812</v>
      </c>
    </row>
    <row r="422" spans="1:8" ht="18.75">
      <c r="A422" s="70">
        <v>11</v>
      </c>
      <c r="B422" s="70">
        <v>3</v>
      </c>
      <c r="C422" s="70">
        <v>13</v>
      </c>
      <c r="D422" s="71" t="s">
        <v>5813</v>
      </c>
      <c r="E422" s="72" t="s">
        <v>829</v>
      </c>
      <c r="F422" s="73" t="str">
        <f t="shared" si="32"/>
        <v>110313</v>
      </c>
      <c r="G422" s="72" t="str">
        <f t="shared" si="33"/>
        <v>110313</v>
      </c>
      <c r="H422" s="74" t="s">
        <v>5814</v>
      </c>
    </row>
    <row r="423" spans="1:8" ht="18.75">
      <c r="A423" s="70">
        <v>11</v>
      </c>
      <c r="B423" s="70">
        <v>3</v>
      </c>
      <c r="C423" s="70">
        <v>14</v>
      </c>
      <c r="D423" s="71" t="s">
        <v>5815</v>
      </c>
      <c r="E423" s="72" t="s">
        <v>829</v>
      </c>
      <c r="F423" s="73" t="str">
        <f t="shared" si="32"/>
        <v>110314</v>
      </c>
      <c r="G423" s="72" t="str">
        <f t="shared" si="33"/>
        <v>110314</v>
      </c>
      <c r="H423" s="74" t="s">
        <v>5816</v>
      </c>
    </row>
    <row r="424" spans="1:8" ht="18.75">
      <c r="A424" s="70">
        <v>11</v>
      </c>
      <c r="B424" s="70">
        <v>3</v>
      </c>
      <c r="C424" s="70">
        <v>15</v>
      </c>
      <c r="D424" s="71" t="s">
        <v>5817</v>
      </c>
      <c r="E424" s="72" t="s">
        <v>829</v>
      </c>
      <c r="F424" s="73" t="str">
        <f t="shared" si="32"/>
        <v>110315</v>
      </c>
      <c r="G424" s="72" t="str">
        <f t="shared" si="33"/>
        <v>110315</v>
      </c>
      <c r="H424" s="74" t="s">
        <v>5818</v>
      </c>
    </row>
    <row r="425" spans="1:8" ht="18.75">
      <c r="A425" s="70">
        <v>11</v>
      </c>
      <c r="B425" s="70">
        <v>3</v>
      </c>
      <c r="C425" s="70">
        <v>16</v>
      </c>
      <c r="D425" s="71" t="s">
        <v>5819</v>
      </c>
      <c r="E425" s="72" t="s">
        <v>829</v>
      </c>
      <c r="F425" s="73" t="str">
        <f t="shared" si="32"/>
        <v>110316</v>
      </c>
      <c r="G425" s="72" t="str">
        <f t="shared" si="33"/>
        <v>110316</v>
      </c>
      <c r="H425" s="74" t="s">
        <v>5820</v>
      </c>
    </row>
    <row r="426" spans="1:8" ht="18.75">
      <c r="A426" s="62">
        <v>12</v>
      </c>
      <c r="B426" s="62">
        <v>0</v>
      </c>
      <c r="C426" s="62">
        <v>0</v>
      </c>
      <c r="D426" s="63" t="s">
        <v>4206</v>
      </c>
      <c r="E426" s="64"/>
      <c r="F426" s="75"/>
      <c r="G426" s="76"/>
      <c r="H426" s="77"/>
    </row>
    <row r="427" spans="1:8" ht="18.75">
      <c r="A427" s="66">
        <v>12</v>
      </c>
      <c r="B427" s="66">
        <v>1</v>
      </c>
      <c r="C427" s="66">
        <v>0</v>
      </c>
      <c r="D427" s="67" t="s">
        <v>2855</v>
      </c>
      <c r="E427" s="68"/>
      <c r="F427" s="78"/>
      <c r="G427" s="79"/>
      <c r="H427" s="80"/>
    </row>
    <row r="428" spans="1:8" ht="18.75">
      <c r="A428" s="70">
        <v>12</v>
      </c>
      <c r="B428" s="70">
        <v>1</v>
      </c>
      <c r="C428" s="70">
        <v>11</v>
      </c>
      <c r="D428" s="71" t="s">
        <v>3256</v>
      </c>
      <c r="E428" s="72" t="s">
        <v>829</v>
      </c>
      <c r="F428" s="73" t="str">
        <f t="shared" ref="F428:F467" si="34">TEXT(A428,"00")&amp;TEXT(B428,"00")&amp;TEXT(C428,"00")</f>
        <v>120111</v>
      </c>
      <c r="G428" s="72" t="str">
        <f t="shared" ref="G428:G467" si="35">TEXT(F428,"000000")</f>
        <v>120111</v>
      </c>
      <c r="H428" s="74" t="s">
        <v>4207</v>
      </c>
    </row>
    <row r="429" spans="1:8" ht="18.75">
      <c r="A429" s="70">
        <v>12</v>
      </c>
      <c r="B429" s="70">
        <v>1</v>
      </c>
      <c r="C429" s="70">
        <v>12</v>
      </c>
      <c r="D429" s="71" t="s">
        <v>3257</v>
      </c>
      <c r="E429" s="72" t="s">
        <v>829</v>
      </c>
      <c r="F429" s="73" t="str">
        <f t="shared" si="34"/>
        <v>120112</v>
      </c>
      <c r="G429" s="72" t="str">
        <f t="shared" si="35"/>
        <v>120112</v>
      </c>
      <c r="H429" s="74" t="s">
        <v>4208</v>
      </c>
    </row>
    <row r="430" spans="1:8" ht="18.75">
      <c r="A430" s="70">
        <v>12</v>
      </c>
      <c r="B430" s="70">
        <v>1</v>
      </c>
      <c r="C430" s="70">
        <v>13</v>
      </c>
      <c r="D430" s="71" t="s">
        <v>3258</v>
      </c>
      <c r="E430" s="72" t="s">
        <v>829</v>
      </c>
      <c r="F430" s="73" t="str">
        <f t="shared" si="34"/>
        <v>120113</v>
      </c>
      <c r="G430" s="72" t="str">
        <f t="shared" si="35"/>
        <v>120113</v>
      </c>
      <c r="H430" s="74" t="s">
        <v>4209</v>
      </c>
    </row>
    <row r="431" spans="1:8" ht="18.75">
      <c r="A431" s="70">
        <v>12</v>
      </c>
      <c r="B431" s="70">
        <v>1</v>
      </c>
      <c r="C431" s="70">
        <v>14</v>
      </c>
      <c r="D431" s="71" t="s">
        <v>3259</v>
      </c>
      <c r="E431" s="72" t="s">
        <v>829</v>
      </c>
      <c r="F431" s="73" t="str">
        <f t="shared" si="34"/>
        <v>120114</v>
      </c>
      <c r="G431" s="72" t="str">
        <f t="shared" si="35"/>
        <v>120114</v>
      </c>
      <c r="H431" s="74" t="s">
        <v>4210</v>
      </c>
    </row>
    <row r="432" spans="1:8" ht="18.75">
      <c r="A432" s="70">
        <v>12</v>
      </c>
      <c r="B432" s="70">
        <v>1</v>
      </c>
      <c r="C432" s="70">
        <v>15</v>
      </c>
      <c r="D432" s="71" t="s">
        <v>3260</v>
      </c>
      <c r="E432" s="72" t="s">
        <v>829</v>
      </c>
      <c r="F432" s="73" t="str">
        <f t="shared" si="34"/>
        <v>120115</v>
      </c>
      <c r="G432" s="72" t="str">
        <f t="shared" si="35"/>
        <v>120115</v>
      </c>
      <c r="H432" s="74" t="s">
        <v>4211</v>
      </c>
    </row>
    <row r="433" spans="1:8" ht="18.75">
      <c r="A433" s="70">
        <v>12</v>
      </c>
      <c r="B433" s="70">
        <v>1</v>
      </c>
      <c r="C433" s="70">
        <v>16</v>
      </c>
      <c r="D433" s="71" t="s">
        <v>3261</v>
      </c>
      <c r="E433" s="72" t="s">
        <v>829</v>
      </c>
      <c r="F433" s="73" t="str">
        <f t="shared" si="34"/>
        <v>120116</v>
      </c>
      <c r="G433" s="72" t="str">
        <f t="shared" si="35"/>
        <v>120116</v>
      </c>
      <c r="H433" s="74" t="s">
        <v>4212</v>
      </c>
    </row>
    <row r="434" spans="1:8" ht="18.75">
      <c r="A434" s="70">
        <v>12</v>
      </c>
      <c r="B434" s="70">
        <v>1</v>
      </c>
      <c r="C434" s="70">
        <v>17</v>
      </c>
      <c r="D434" s="71" t="s">
        <v>3762</v>
      </c>
      <c r="E434" s="72" t="s">
        <v>829</v>
      </c>
      <c r="F434" s="73" t="str">
        <f t="shared" si="34"/>
        <v>120117</v>
      </c>
      <c r="G434" s="72" t="str">
        <f t="shared" si="35"/>
        <v>120117</v>
      </c>
      <c r="H434" s="74" t="s">
        <v>4213</v>
      </c>
    </row>
    <row r="435" spans="1:8" ht="18.75">
      <c r="A435" s="70">
        <v>12</v>
      </c>
      <c r="B435" s="70">
        <v>1</v>
      </c>
      <c r="C435" s="70">
        <v>18</v>
      </c>
      <c r="D435" s="71" t="s">
        <v>3761</v>
      </c>
      <c r="E435" s="72" t="s">
        <v>829</v>
      </c>
      <c r="F435" s="73" t="str">
        <f t="shared" si="34"/>
        <v>120118</v>
      </c>
      <c r="G435" s="72" t="str">
        <f t="shared" si="35"/>
        <v>120118</v>
      </c>
      <c r="H435" s="74" t="s">
        <v>4214</v>
      </c>
    </row>
    <row r="436" spans="1:8" ht="18.75">
      <c r="A436" s="70">
        <v>12</v>
      </c>
      <c r="B436" s="70">
        <v>1</v>
      </c>
      <c r="C436" s="70">
        <v>19</v>
      </c>
      <c r="D436" s="71" t="s">
        <v>3274</v>
      </c>
      <c r="E436" s="72" t="s">
        <v>829</v>
      </c>
      <c r="F436" s="73" t="str">
        <f t="shared" si="34"/>
        <v>120119</v>
      </c>
      <c r="G436" s="72" t="str">
        <f t="shared" si="35"/>
        <v>120119</v>
      </c>
      <c r="H436" s="74" t="s">
        <v>4215</v>
      </c>
    </row>
    <row r="437" spans="1:8" ht="18.75">
      <c r="A437" s="70">
        <v>12</v>
      </c>
      <c r="B437" s="70">
        <v>1</v>
      </c>
      <c r="C437" s="70">
        <v>20</v>
      </c>
      <c r="D437" s="71" t="s">
        <v>3272</v>
      </c>
      <c r="E437" s="72" t="s">
        <v>829</v>
      </c>
      <c r="F437" s="73" t="str">
        <f t="shared" si="34"/>
        <v>120120</v>
      </c>
      <c r="G437" s="72" t="str">
        <f t="shared" si="35"/>
        <v>120120</v>
      </c>
      <c r="H437" s="74" t="s">
        <v>4216</v>
      </c>
    </row>
    <row r="438" spans="1:8" ht="18.75">
      <c r="A438" s="70">
        <v>12</v>
      </c>
      <c r="B438" s="70">
        <v>1</v>
      </c>
      <c r="C438" s="70">
        <v>21</v>
      </c>
      <c r="D438" s="71" t="s">
        <v>3273</v>
      </c>
      <c r="E438" s="72" t="s">
        <v>829</v>
      </c>
      <c r="F438" s="73" t="str">
        <f t="shared" si="34"/>
        <v>120121</v>
      </c>
      <c r="G438" s="72" t="str">
        <f t="shared" si="35"/>
        <v>120121</v>
      </c>
      <c r="H438" s="74" t="s">
        <v>4217</v>
      </c>
    </row>
    <row r="439" spans="1:8" ht="18.75">
      <c r="A439" s="70">
        <v>12</v>
      </c>
      <c r="B439" s="70">
        <v>1</v>
      </c>
      <c r="C439" s="70">
        <v>22</v>
      </c>
      <c r="D439" s="71" t="s">
        <v>3619</v>
      </c>
      <c r="E439" s="72" t="s">
        <v>829</v>
      </c>
      <c r="F439" s="73" t="str">
        <f t="shared" si="34"/>
        <v>120122</v>
      </c>
      <c r="G439" s="72" t="str">
        <f t="shared" si="35"/>
        <v>120122</v>
      </c>
      <c r="H439" s="74" t="s">
        <v>4218</v>
      </c>
    </row>
    <row r="440" spans="1:8" ht="18.75">
      <c r="A440" s="70">
        <v>12</v>
      </c>
      <c r="B440" s="70">
        <v>1</v>
      </c>
      <c r="C440" s="70">
        <v>23</v>
      </c>
      <c r="D440" s="71" t="s">
        <v>3567</v>
      </c>
      <c r="E440" s="72" t="s">
        <v>829</v>
      </c>
      <c r="F440" s="73" t="str">
        <f t="shared" si="34"/>
        <v>120123</v>
      </c>
      <c r="G440" s="72" t="str">
        <f t="shared" si="35"/>
        <v>120123</v>
      </c>
      <c r="H440" s="74" t="s">
        <v>4219</v>
      </c>
    </row>
    <row r="441" spans="1:8" ht="18.75">
      <c r="A441" s="70">
        <v>12</v>
      </c>
      <c r="B441" s="70">
        <v>1</v>
      </c>
      <c r="C441" s="70">
        <v>24</v>
      </c>
      <c r="D441" s="71" t="s">
        <v>3264</v>
      </c>
      <c r="E441" s="72" t="s">
        <v>829</v>
      </c>
      <c r="F441" s="73" t="str">
        <f t="shared" si="34"/>
        <v>120124</v>
      </c>
      <c r="G441" s="72" t="str">
        <f t="shared" si="35"/>
        <v>120124</v>
      </c>
      <c r="H441" s="74" t="s">
        <v>4220</v>
      </c>
    </row>
    <row r="442" spans="1:8" ht="18.75">
      <c r="A442" s="70">
        <v>12</v>
      </c>
      <c r="B442" s="70">
        <v>1</v>
      </c>
      <c r="C442" s="70">
        <v>25</v>
      </c>
      <c r="D442" s="71" t="s">
        <v>3265</v>
      </c>
      <c r="E442" s="72" t="s">
        <v>829</v>
      </c>
      <c r="F442" s="73" t="str">
        <f t="shared" si="34"/>
        <v>120125</v>
      </c>
      <c r="G442" s="72" t="str">
        <f t="shared" si="35"/>
        <v>120125</v>
      </c>
      <c r="H442" s="74" t="s">
        <v>4221</v>
      </c>
    </row>
    <row r="443" spans="1:8" ht="18.75">
      <c r="A443" s="70">
        <v>12</v>
      </c>
      <c r="B443" s="70">
        <v>1</v>
      </c>
      <c r="C443" s="70">
        <v>26</v>
      </c>
      <c r="D443" s="71" t="s">
        <v>3266</v>
      </c>
      <c r="E443" s="72" t="s">
        <v>829</v>
      </c>
      <c r="F443" s="73" t="str">
        <f t="shared" si="34"/>
        <v>120126</v>
      </c>
      <c r="G443" s="72" t="str">
        <f t="shared" si="35"/>
        <v>120126</v>
      </c>
      <c r="H443" s="74" t="s">
        <v>4222</v>
      </c>
    </row>
    <row r="444" spans="1:8" ht="18.75">
      <c r="A444" s="70">
        <v>12</v>
      </c>
      <c r="B444" s="70">
        <v>1</v>
      </c>
      <c r="C444" s="70">
        <v>27</v>
      </c>
      <c r="D444" s="71" t="s">
        <v>3271</v>
      </c>
      <c r="E444" s="72" t="s">
        <v>829</v>
      </c>
      <c r="F444" s="73" t="str">
        <f t="shared" si="34"/>
        <v>120127</v>
      </c>
      <c r="G444" s="72" t="str">
        <f t="shared" si="35"/>
        <v>120127</v>
      </c>
      <c r="H444" s="74" t="s">
        <v>4223</v>
      </c>
    </row>
    <row r="445" spans="1:8" ht="18.75">
      <c r="A445" s="70">
        <v>12</v>
      </c>
      <c r="B445" s="70">
        <v>1</v>
      </c>
      <c r="C445" s="70">
        <v>28</v>
      </c>
      <c r="D445" s="71" t="s">
        <v>3267</v>
      </c>
      <c r="E445" s="72" t="s">
        <v>829</v>
      </c>
      <c r="F445" s="73" t="str">
        <f t="shared" si="34"/>
        <v>120128</v>
      </c>
      <c r="G445" s="72" t="str">
        <f t="shared" si="35"/>
        <v>120128</v>
      </c>
      <c r="H445" s="74" t="s">
        <v>4224</v>
      </c>
    </row>
    <row r="446" spans="1:8" ht="18.75">
      <c r="A446" s="70">
        <v>12</v>
      </c>
      <c r="B446" s="70">
        <v>1</v>
      </c>
      <c r="C446" s="70">
        <v>29</v>
      </c>
      <c r="D446" s="71" t="s">
        <v>3270</v>
      </c>
      <c r="E446" s="72" t="s">
        <v>829</v>
      </c>
      <c r="F446" s="73" t="str">
        <f t="shared" si="34"/>
        <v>120129</v>
      </c>
      <c r="G446" s="72" t="str">
        <f t="shared" si="35"/>
        <v>120129</v>
      </c>
      <c r="H446" s="74" t="s">
        <v>4225</v>
      </c>
    </row>
    <row r="447" spans="1:8" ht="18.75">
      <c r="A447" s="70">
        <v>12</v>
      </c>
      <c r="B447" s="70">
        <v>1</v>
      </c>
      <c r="C447" s="70">
        <v>30</v>
      </c>
      <c r="D447" s="71" t="s">
        <v>3268</v>
      </c>
      <c r="E447" s="72" t="s">
        <v>829</v>
      </c>
      <c r="F447" s="73" t="str">
        <f t="shared" si="34"/>
        <v>120130</v>
      </c>
      <c r="G447" s="72" t="str">
        <f t="shared" si="35"/>
        <v>120130</v>
      </c>
      <c r="H447" s="74" t="s">
        <v>4226</v>
      </c>
    </row>
    <row r="448" spans="1:8" ht="18.75">
      <c r="A448" s="70">
        <v>12</v>
      </c>
      <c r="B448" s="70">
        <v>1</v>
      </c>
      <c r="C448" s="70">
        <v>31</v>
      </c>
      <c r="D448" s="71" t="s">
        <v>3269</v>
      </c>
      <c r="E448" s="72" t="s">
        <v>829</v>
      </c>
      <c r="F448" s="73" t="str">
        <f t="shared" si="34"/>
        <v>120131</v>
      </c>
      <c r="G448" s="72" t="str">
        <f t="shared" si="35"/>
        <v>120131</v>
      </c>
      <c r="H448" s="74" t="s">
        <v>4227</v>
      </c>
    </row>
    <row r="449" spans="1:8" ht="18.75">
      <c r="A449" s="70">
        <v>12</v>
      </c>
      <c r="B449" s="70">
        <v>1</v>
      </c>
      <c r="C449" s="70">
        <v>32</v>
      </c>
      <c r="D449" s="71" t="s">
        <v>4228</v>
      </c>
      <c r="E449" s="72" t="s">
        <v>829</v>
      </c>
      <c r="F449" s="73" t="str">
        <f t="shared" si="34"/>
        <v>120132</v>
      </c>
      <c r="G449" s="72" t="str">
        <f t="shared" si="35"/>
        <v>120132</v>
      </c>
      <c r="H449" s="74" t="s">
        <v>5471</v>
      </c>
    </row>
    <row r="450" spans="1:8" ht="18.75">
      <c r="A450" s="70">
        <v>12</v>
      </c>
      <c r="B450" s="70">
        <v>1</v>
      </c>
      <c r="C450" s="70">
        <v>33</v>
      </c>
      <c r="D450" s="71" t="s">
        <v>3262</v>
      </c>
      <c r="E450" s="72" t="s">
        <v>829</v>
      </c>
      <c r="F450" s="73" t="str">
        <f t="shared" si="34"/>
        <v>120133</v>
      </c>
      <c r="G450" s="72" t="str">
        <f t="shared" si="35"/>
        <v>120133</v>
      </c>
      <c r="H450" s="74" t="s">
        <v>4229</v>
      </c>
    </row>
    <row r="451" spans="1:8" ht="18.75">
      <c r="A451" s="70">
        <v>12</v>
      </c>
      <c r="B451" s="70">
        <v>1</v>
      </c>
      <c r="C451" s="70">
        <v>34</v>
      </c>
      <c r="D451" s="71" t="s">
        <v>3263</v>
      </c>
      <c r="E451" s="72" t="s">
        <v>829</v>
      </c>
      <c r="F451" s="73" t="str">
        <f t="shared" si="34"/>
        <v>120134</v>
      </c>
      <c r="G451" s="72" t="str">
        <f t="shared" si="35"/>
        <v>120134</v>
      </c>
      <c r="H451" s="74" t="s">
        <v>4230</v>
      </c>
    </row>
    <row r="452" spans="1:8" ht="18.75">
      <c r="A452" s="70">
        <v>12</v>
      </c>
      <c r="B452" s="70">
        <v>1</v>
      </c>
      <c r="C452" s="70">
        <v>35</v>
      </c>
      <c r="D452" s="71" t="s">
        <v>3470</v>
      </c>
      <c r="E452" s="72" t="s">
        <v>829</v>
      </c>
      <c r="F452" s="73" t="str">
        <f t="shared" si="34"/>
        <v>120135</v>
      </c>
      <c r="G452" s="72" t="str">
        <f t="shared" si="35"/>
        <v>120135</v>
      </c>
      <c r="H452" s="74" t="s">
        <v>4231</v>
      </c>
    </row>
    <row r="453" spans="1:8" ht="18.75">
      <c r="A453" s="70">
        <v>12</v>
      </c>
      <c r="B453" s="70">
        <v>1</v>
      </c>
      <c r="C453" s="70">
        <v>36</v>
      </c>
      <c r="D453" s="71" t="s">
        <v>3295</v>
      </c>
      <c r="E453" s="72" t="s">
        <v>829</v>
      </c>
      <c r="F453" s="73" t="str">
        <f t="shared" si="34"/>
        <v>120136</v>
      </c>
      <c r="G453" s="72" t="str">
        <f t="shared" si="35"/>
        <v>120136</v>
      </c>
      <c r="H453" s="74" t="s">
        <v>4232</v>
      </c>
    </row>
    <row r="454" spans="1:8" ht="18.75">
      <c r="A454" s="70">
        <v>12</v>
      </c>
      <c r="B454" s="70">
        <v>1</v>
      </c>
      <c r="C454" s="70">
        <v>37</v>
      </c>
      <c r="D454" s="71" t="s">
        <v>559</v>
      </c>
      <c r="E454" s="72" t="s">
        <v>829</v>
      </c>
      <c r="F454" s="73" t="str">
        <f t="shared" si="34"/>
        <v>120137</v>
      </c>
      <c r="G454" s="72" t="str">
        <f t="shared" si="35"/>
        <v>120137</v>
      </c>
      <c r="H454" s="74" t="s">
        <v>4233</v>
      </c>
    </row>
    <row r="455" spans="1:8" ht="18.75">
      <c r="A455" s="70">
        <v>12</v>
      </c>
      <c r="B455" s="70">
        <v>1</v>
      </c>
      <c r="C455" s="70">
        <v>38</v>
      </c>
      <c r="D455" s="71" t="s">
        <v>3763</v>
      </c>
      <c r="E455" s="72" t="s">
        <v>829</v>
      </c>
      <c r="F455" s="73" t="str">
        <f t="shared" si="34"/>
        <v>120138</v>
      </c>
      <c r="G455" s="72" t="str">
        <f t="shared" si="35"/>
        <v>120138</v>
      </c>
      <c r="H455" s="74" t="s">
        <v>4234</v>
      </c>
    </row>
    <row r="456" spans="1:8" ht="18.75">
      <c r="A456" s="70">
        <v>12</v>
      </c>
      <c r="B456" s="70">
        <v>1</v>
      </c>
      <c r="C456" s="70">
        <v>39</v>
      </c>
      <c r="D456" s="71" t="s">
        <v>3764</v>
      </c>
      <c r="E456" s="72" t="s">
        <v>829</v>
      </c>
      <c r="F456" s="73" t="str">
        <f t="shared" si="34"/>
        <v>120139</v>
      </c>
      <c r="G456" s="72" t="str">
        <f t="shared" si="35"/>
        <v>120139</v>
      </c>
      <c r="H456" s="74" t="s">
        <v>4235</v>
      </c>
    </row>
    <row r="457" spans="1:8" ht="18.75">
      <c r="A457" s="70">
        <v>12</v>
      </c>
      <c r="B457" s="70">
        <v>1</v>
      </c>
      <c r="C457" s="70">
        <v>40</v>
      </c>
      <c r="D457" s="71" t="s">
        <v>3772</v>
      </c>
      <c r="E457" s="72" t="s">
        <v>829</v>
      </c>
      <c r="F457" s="73" t="str">
        <f t="shared" si="34"/>
        <v>120140</v>
      </c>
      <c r="G457" s="72" t="str">
        <f t="shared" si="35"/>
        <v>120140</v>
      </c>
      <c r="H457" s="74" t="s">
        <v>4236</v>
      </c>
    </row>
    <row r="458" spans="1:8" ht="18.75">
      <c r="A458" s="70">
        <v>12</v>
      </c>
      <c r="B458" s="70">
        <v>1</v>
      </c>
      <c r="C458" s="70">
        <v>41</v>
      </c>
      <c r="D458" s="71" t="s">
        <v>3794</v>
      </c>
      <c r="E458" s="72" t="s">
        <v>829</v>
      </c>
      <c r="F458" s="73" t="str">
        <f t="shared" si="34"/>
        <v>120141</v>
      </c>
      <c r="G458" s="72" t="str">
        <f t="shared" si="35"/>
        <v>120141</v>
      </c>
      <c r="H458" s="74" t="s">
        <v>4237</v>
      </c>
    </row>
    <row r="459" spans="1:8" ht="18.75">
      <c r="A459" s="70">
        <v>12</v>
      </c>
      <c r="B459" s="70">
        <v>1</v>
      </c>
      <c r="C459" s="70">
        <v>42</v>
      </c>
      <c r="D459" s="71" t="s">
        <v>3814</v>
      </c>
      <c r="E459" s="72" t="s">
        <v>829</v>
      </c>
      <c r="F459" s="73" t="str">
        <f t="shared" si="34"/>
        <v>120142</v>
      </c>
      <c r="G459" s="72" t="str">
        <f t="shared" si="35"/>
        <v>120142</v>
      </c>
      <c r="H459" s="74" t="s">
        <v>4238</v>
      </c>
    </row>
    <row r="460" spans="1:8" ht="18.75">
      <c r="A460" s="70">
        <v>12</v>
      </c>
      <c r="B460" s="70">
        <v>1</v>
      </c>
      <c r="C460" s="70">
        <v>43</v>
      </c>
      <c r="D460" s="71" t="s">
        <v>3815</v>
      </c>
      <c r="E460" s="72" t="s">
        <v>829</v>
      </c>
      <c r="F460" s="73" t="str">
        <f t="shared" si="34"/>
        <v>120143</v>
      </c>
      <c r="G460" s="72" t="str">
        <f t="shared" si="35"/>
        <v>120143</v>
      </c>
      <c r="H460" s="74" t="s">
        <v>4239</v>
      </c>
    </row>
    <row r="461" spans="1:8" ht="18.75">
      <c r="A461" s="70">
        <v>12</v>
      </c>
      <c r="B461" s="70">
        <v>1</v>
      </c>
      <c r="C461" s="70">
        <v>44</v>
      </c>
      <c r="D461" s="71" t="s">
        <v>3816</v>
      </c>
      <c r="E461" s="72" t="s">
        <v>829</v>
      </c>
      <c r="F461" s="73" t="str">
        <f t="shared" si="34"/>
        <v>120144</v>
      </c>
      <c r="G461" s="72" t="str">
        <f t="shared" si="35"/>
        <v>120144</v>
      </c>
      <c r="H461" s="74" t="s">
        <v>4240</v>
      </c>
    </row>
    <row r="462" spans="1:8" ht="18.75">
      <c r="A462" s="70">
        <v>12</v>
      </c>
      <c r="B462" s="70">
        <v>1</v>
      </c>
      <c r="C462" s="70">
        <v>45</v>
      </c>
      <c r="D462" s="71" t="s">
        <v>4241</v>
      </c>
      <c r="E462" s="72" t="s">
        <v>829</v>
      </c>
      <c r="F462" s="73" t="str">
        <f t="shared" si="34"/>
        <v>120145</v>
      </c>
      <c r="G462" s="72" t="str">
        <f t="shared" si="35"/>
        <v>120145</v>
      </c>
      <c r="H462" s="74" t="s">
        <v>5472</v>
      </c>
    </row>
    <row r="463" spans="1:8" ht="18.75">
      <c r="A463" s="70">
        <v>12</v>
      </c>
      <c r="B463" s="70">
        <v>1</v>
      </c>
      <c r="C463" s="70">
        <v>46</v>
      </c>
      <c r="D463" s="71" t="s">
        <v>5473</v>
      </c>
      <c r="E463" s="72" t="s">
        <v>829</v>
      </c>
      <c r="F463" s="73" t="str">
        <f t="shared" si="34"/>
        <v>120146</v>
      </c>
      <c r="G463" s="72" t="str">
        <f t="shared" si="35"/>
        <v>120146</v>
      </c>
      <c r="H463" s="74" t="s">
        <v>5474</v>
      </c>
    </row>
    <row r="464" spans="1:8" ht="18.75">
      <c r="A464" s="70">
        <v>12</v>
      </c>
      <c r="B464" s="70">
        <v>1</v>
      </c>
      <c r="C464" s="70">
        <v>47</v>
      </c>
      <c r="D464" s="71" t="s">
        <v>5475</v>
      </c>
      <c r="E464" s="72" t="s">
        <v>829</v>
      </c>
      <c r="F464" s="73" t="str">
        <f t="shared" si="34"/>
        <v>120147</v>
      </c>
      <c r="G464" s="72" t="str">
        <f t="shared" si="35"/>
        <v>120147</v>
      </c>
      <c r="H464" s="74" t="s">
        <v>5476</v>
      </c>
    </row>
    <row r="465" spans="1:8" ht="18.75">
      <c r="A465" s="70">
        <v>12</v>
      </c>
      <c r="B465" s="70">
        <v>1</v>
      </c>
      <c r="C465" s="70">
        <v>48</v>
      </c>
      <c r="D465" s="71" t="s">
        <v>5477</v>
      </c>
      <c r="E465" s="72" t="s">
        <v>829</v>
      </c>
      <c r="F465" s="73" t="str">
        <f t="shared" si="34"/>
        <v>120148</v>
      </c>
      <c r="G465" s="72" t="str">
        <f t="shared" si="35"/>
        <v>120148</v>
      </c>
      <c r="H465" s="74" t="s">
        <v>5478</v>
      </c>
    </row>
    <row r="466" spans="1:8" ht="18.75">
      <c r="A466" s="70">
        <v>12</v>
      </c>
      <c r="B466" s="70">
        <v>1</v>
      </c>
      <c r="C466" s="70">
        <v>49</v>
      </c>
      <c r="D466" s="71" t="s">
        <v>5479</v>
      </c>
      <c r="E466" s="72" t="s">
        <v>829</v>
      </c>
      <c r="F466" s="73" t="str">
        <f t="shared" si="34"/>
        <v>120149</v>
      </c>
      <c r="G466" s="72" t="str">
        <f t="shared" si="35"/>
        <v>120149</v>
      </c>
      <c r="H466" s="74" t="s">
        <v>5480</v>
      </c>
    </row>
    <row r="467" spans="1:8" ht="18.75">
      <c r="A467" s="70">
        <v>12</v>
      </c>
      <c r="B467" s="70">
        <v>1</v>
      </c>
      <c r="C467" s="70">
        <v>50</v>
      </c>
      <c r="D467" s="71" t="s">
        <v>5481</v>
      </c>
      <c r="E467" s="72" t="s">
        <v>829</v>
      </c>
      <c r="F467" s="73" t="str">
        <f t="shared" si="34"/>
        <v>120150</v>
      </c>
      <c r="G467" s="72" t="str">
        <f t="shared" si="35"/>
        <v>120150</v>
      </c>
      <c r="H467" s="74" t="s">
        <v>5482</v>
      </c>
    </row>
    <row r="468" spans="1:8" ht="18.75">
      <c r="A468" s="66">
        <v>12</v>
      </c>
      <c r="B468" s="66">
        <v>2</v>
      </c>
      <c r="C468" s="66">
        <v>0</v>
      </c>
      <c r="D468" s="67" t="s">
        <v>2962</v>
      </c>
      <c r="E468" s="68"/>
      <c r="F468" s="78"/>
      <c r="G468" s="79"/>
      <c r="H468" s="80"/>
    </row>
    <row r="469" spans="1:8" ht="18.75">
      <c r="A469" s="70">
        <v>12</v>
      </c>
      <c r="B469" s="70">
        <v>2</v>
      </c>
      <c r="C469" s="70">
        <v>11</v>
      </c>
      <c r="D469" s="71" t="s">
        <v>3278</v>
      </c>
      <c r="E469" s="72" t="s">
        <v>829</v>
      </c>
      <c r="F469" s="73" t="str">
        <f t="shared" ref="F469:F483" si="36">TEXT(A469,"00")&amp;TEXT(B469,"00")&amp;TEXT(C469,"00")</f>
        <v>120211</v>
      </c>
      <c r="G469" s="72" t="str">
        <f t="shared" ref="G469:G483" si="37">TEXT(F469,"000000")</f>
        <v>120211</v>
      </c>
      <c r="H469" s="74" t="s">
        <v>4242</v>
      </c>
    </row>
    <row r="470" spans="1:8" ht="18.75">
      <c r="A470" s="70">
        <v>12</v>
      </c>
      <c r="B470" s="70">
        <v>2</v>
      </c>
      <c r="C470" s="70">
        <v>12</v>
      </c>
      <c r="D470" s="71" t="s">
        <v>4243</v>
      </c>
      <c r="E470" s="72" t="s">
        <v>829</v>
      </c>
      <c r="F470" s="73" t="str">
        <f t="shared" si="36"/>
        <v>120212</v>
      </c>
      <c r="G470" s="72" t="str">
        <f t="shared" si="37"/>
        <v>120212</v>
      </c>
      <c r="H470" s="74" t="s">
        <v>4244</v>
      </c>
    </row>
    <row r="471" spans="1:8" ht="18.75">
      <c r="A471" s="70">
        <v>12</v>
      </c>
      <c r="B471" s="70">
        <v>2</v>
      </c>
      <c r="C471" s="70">
        <v>21</v>
      </c>
      <c r="D471" s="71" t="s">
        <v>3279</v>
      </c>
      <c r="E471" s="72" t="s">
        <v>829</v>
      </c>
      <c r="F471" s="73" t="str">
        <f t="shared" si="36"/>
        <v>120221</v>
      </c>
      <c r="G471" s="72" t="str">
        <f t="shared" si="37"/>
        <v>120221</v>
      </c>
      <c r="H471" s="74" t="s">
        <v>4245</v>
      </c>
    </row>
    <row r="472" spans="1:8" ht="18.75">
      <c r="A472" s="70">
        <v>12</v>
      </c>
      <c r="B472" s="70">
        <v>2</v>
      </c>
      <c r="C472" s="70">
        <v>22</v>
      </c>
      <c r="D472" s="71" t="s">
        <v>4246</v>
      </c>
      <c r="E472" s="72" t="s">
        <v>829</v>
      </c>
      <c r="F472" s="73" t="str">
        <f t="shared" si="36"/>
        <v>120222</v>
      </c>
      <c r="G472" s="72" t="str">
        <f t="shared" si="37"/>
        <v>120222</v>
      </c>
      <c r="H472" s="74" t="s">
        <v>4247</v>
      </c>
    </row>
    <row r="473" spans="1:8" ht="18.75">
      <c r="A473" s="70">
        <v>12</v>
      </c>
      <c r="B473" s="70">
        <v>2</v>
      </c>
      <c r="C473" s="70">
        <v>31</v>
      </c>
      <c r="D473" s="71" t="s">
        <v>3280</v>
      </c>
      <c r="E473" s="72" t="s">
        <v>829</v>
      </c>
      <c r="F473" s="73" t="str">
        <f t="shared" si="36"/>
        <v>120231</v>
      </c>
      <c r="G473" s="72" t="str">
        <f t="shared" si="37"/>
        <v>120231</v>
      </c>
      <c r="H473" s="74" t="s">
        <v>5483</v>
      </c>
    </row>
    <row r="474" spans="1:8" ht="18.75">
      <c r="A474" s="70">
        <v>12</v>
      </c>
      <c r="B474" s="70">
        <v>2</v>
      </c>
      <c r="C474" s="70">
        <v>32</v>
      </c>
      <c r="D474" s="71" t="s">
        <v>4248</v>
      </c>
      <c r="E474" s="72" t="s">
        <v>829</v>
      </c>
      <c r="F474" s="73" t="str">
        <f t="shared" si="36"/>
        <v>120232</v>
      </c>
      <c r="G474" s="72" t="str">
        <f t="shared" si="37"/>
        <v>120232</v>
      </c>
      <c r="H474" s="74" t="s">
        <v>4249</v>
      </c>
    </row>
    <row r="475" spans="1:8" ht="18.75">
      <c r="A475" s="70">
        <v>12</v>
      </c>
      <c r="B475" s="70">
        <v>2</v>
      </c>
      <c r="C475" s="70">
        <v>41</v>
      </c>
      <c r="D475" s="71" t="s">
        <v>3281</v>
      </c>
      <c r="E475" s="72" t="s">
        <v>829</v>
      </c>
      <c r="F475" s="73" t="str">
        <f t="shared" si="36"/>
        <v>120241</v>
      </c>
      <c r="G475" s="72" t="str">
        <f t="shared" si="37"/>
        <v>120241</v>
      </c>
      <c r="H475" s="74" t="s">
        <v>4250</v>
      </c>
    </row>
    <row r="476" spans="1:8" ht="18.75">
      <c r="A476" s="70">
        <v>12</v>
      </c>
      <c r="B476" s="70">
        <v>2</v>
      </c>
      <c r="C476" s="70">
        <v>42</v>
      </c>
      <c r="D476" s="71" t="s">
        <v>4251</v>
      </c>
      <c r="E476" s="72" t="s">
        <v>829</v>
      </c>
      <c r="F476" s="73" t="str">
        <f t="shared" si="36"/>
        <v>120242</v>
      </c>
      <c r="G476" s="72" t="str">
        <f t="shared" si="37"/>
        <v>120242</v>
      </c>
      <c r="H476" s="74" t="s">
        <v>4252</v>
      </c>
    </row>
    <row r="477" spans="1:8" ht="18.75">
      <c r="A477" s="70">
        <v>12</v>
      </c>
      <c r="B477" s="70">
        <v>2</v>
      </c>
      <c r="C477" s="70">
        <v>51</v>
      </c>
      <c r="D477" s="71" t="s">
        <v>3282</v>
      </c>
      <c r="E477" s="72" t="s">
        <v>829</v>
      </c>
      <c r="F477" s="73" t="str">
        <f t="shared" si="36"/>
        <v>120251</v>
      </c>
      <c r="G477" s="72" t="str">
        <f t="shared" si="37"/>
        <v>120251</v>
      </c>
      <c r="H477" s="74" t="s">
        <v>4253</v>
      </c>
    </row>
    <row r="478" spans="1:8" ht="18.75">
      <c r="A478" s="70">
        <v>12</v>
      </c>
      <c r="B478" s="70">
        <v>2</v>
      </c>
      <c r="C478" s="70">
        <v>52</v>
      </c>
      <c r="D478" s="71" t="s">
        <v>4254</v>
      </c>
      <c r="E478" s="72" t="s">
        <v>829</v>
      </c>
      <c r="F478" s="73" t="str">
        <f t="shared" si="36"/>
        <v>120252</v>
      </c>
      <c r="G478" s="72" t="str">
        <f t="shared" si="37"/>
        <v>120252</v>
      </c>
      <c r="H478" s="74" t="s">
        <v>4255</v>
      </c>
    </row>
    <row r="479" spans="1:8" ht="18.75">
      <c r="A479" s="70">
        <v>12</v>
      </c>
      <c r="B479" s="70">
        <v>2</v>
      </c>
      <c r="C479" s="70">
        <v>61</v>
      </c>
      <c r="D479" s="71" t="s">
        <v>3283</v>
      </c>
      <c r="E479" s="72" t="s">
        <v>829</v>
      </c>
      <c r="F479" s="73" t="str">
        <f t="shared" si="36"/>
        <v>120261</v>
      </c>
      <c r="G479" s="72" t="str">
        <f t="shared" si="37"/>
        <v>120261</v>
      </c>
      <c r="H479" s="74" t="s">
        <v>4256</v>
      </c>
    </row>
    <row r="480" spans="1:8" ht="18.75">
      <c r="A480" s="70">
        <v>12</v>
      </c>
      <c r="B480" s="70">
        <v>2</v>
      </c>
      <c r="C480" s="70">
        <v>62</v>
      </c>
      <c r="D480" s="71" t="s">
        <v>4257</v>
      </c>
      <c r="E480" s="72" t="s">
        <v>829</v>
      </c>
      <c r="F480" s="73" t="str">
        <f t="shared" si="36"/>
        <v>120262</v>
      </c>
      <c r="G480" s="72" t="str">
        <f t="shared" si="37"/>
        <v>120262</v>
      </c>
      <c r="H480" s="74" t="s">
        <v>4258</v>
      </c>
    </row>
    <row r="481" spans="1:8" ht="18.75">
      <c r="A481" s="70">
        <v>12</v>
      </c>
      <c r="B481" s="70">
        <v>2</v>
      </c>
      <c r="C481" s="70">
        <v>63</v>
      </c>
      <c r="D481" s="71" t="s">
        <v>5931</v>
      </c>
      <c r="E481" s="72" t="s">
        <v>829</v>
      </c>
      <c r="F481" s="73" t="str">
        <f t="shared" si="36"/>
        <v>120263</v>
      </c>
      <c r="G481" s="72" t="str">
        <f t="shared" si="37"/>
        <v>120263</v>
      </c>
      <c r="H481" s="74" t="s">
        <v>5932</v>
      </c>
    </row>
    <row r="482" spans="1:8" ht="18.75">
      <c r="A482" s="70">
        <v>12</v>
      </c>
      <c r="B482" s="70">
        <v>2</v>
      </c>
      <c r="C482" s="70">
        <v>64</v>
      </c>
      <c r="D482" s="71" t="s">
        <v>5933</v>
      </c>
      <c r="E482" s="72" t="s">
        <v>829</v>
      </c>
      <c r="F482" s="73" t="str">
        <f t="shared" si="36"/>
        <v>120264</v>
      </c>
      <c r="G482" s="72" t="str">
        <f t="shared" si="37"/>
        <v>120264</v>
      </c>
      <c r="H482" s="74" t="s">
        <v>5934</v>
      </c>
    </row>
    <row r="483" spans="1:8" ht="18.75">
      <c r="A483" s="70">
        <v>12</v>
      </c>
      <c r="B483" s="70">
        <v>2</v>
      </c>
      <c r="C483" s="70">
        <v>65</v>
      </c>
      <c r="D483" s="71" t="s">
        <v>5935</v>
      </c>
      <c r="E483" s="72" t="s">
        <v>829</v>
      </c>
      <c r="F483" s="73" t="str">
        <f t="shared" si="36"/>
        <v>120265</v>
      </c>
      <c r="G483" s="72" t="str">
        <f t="shared" si="37"/>
        <v>120265</v>
      </c>
      <c r="H483" s="74" t="s">
        <v>5936</v>
      </c>
    </row>
    <row r="484" spans="1:8" ht="18.75">
      <c r="A484" s="66">
        <v>12</v>
      </c>
      <c r="B484" s="66">
        <v>3</v>
      </c>
      <c r="C484" s="66">
        <v>0</v>
      </c>
      <c r="D484" s="67" t="s">
        <v>2856</v>
      </c>
      <c r="E484" s="68"/>
      <c r="F484" s="78"/>
      <c r="G484" s="79"/>
      <c r="H484" s="80"/>
    </row>
    <row r="485" spans="1:8" ht="18.75">
      <c r="A485" s="70">
        <v>12</v>
      </c>
      <c r="B485" s="70">
        <v>3</v>
      </c>
      <c r="C485" s="70">
        <v>11</v>
      </c>
      <c r="D485" s="71" t="s">
        <v>3284</v>
      </c>
      <c r="E485" s="72" t="s">
        <v>829</v>
      </c>
      <c r="F485" s="73" t="str">
        <f t="shared" ref="F485:F504" si="38">TEXT(A485,"00")&amp;TEXT(B485,"00")&amp;TEXT(C485,"00")</f>
        <v>120311</v>
      </c>
      <c r="G485" s="72" t="str">
        <f t="shared" ref="G485:G504" si="39">TEXT(F485,"000000")</f>
        <v>120311</v>
      </c>
      <c r="H485" s="74" t="s">
        <v>5484</v>
      </c>
    </row>
    <row r="486" spans="1:8" ht="18.75">
      <c r="A486" s="70">
        <v>12</v>
      </c>
      <c r="B486" s="70">
        <v>3</v>
      </c>
      <c r="C486" s="70">
        <v>12</v>
      </c>
      <c r="D486" s="71" t="s">
        <v>4259</v>
      </c>
      <c r="E486" s="72" t="s">
        <v>829</v>
      </c>
      <c r="F486" s="73" t="str">
        <f t="shared" si="38"/>
        <v>120312</v>
      </c>
      <c r="G486" s="72" t="str">
        <f t="shared" si="39"/>
        <v>120312</v>
      </c>
      <c r="H486" s="74" t="s">
        <v>4260</v>
      </c>
    </row>
    <row r="487" spans="1:8" ht="18.75">
      <c r="A487" s="70">
        <v>12</v>
      </c>
      <c r="B487" s="70">
        <v>3</v>
      </c>
      <c r="C487" s="70">
        <v>13</v>
      </c>
      <c r="D487" s="71" t="s">
        <v>576</v>
      </c>
      <c r="E487" s="72" t="s">
        <v>829</v>
      </c>
      <c r="F487" s="73" t="str">
        <f t="shared" si="38"/>
        <v>120313</v>
      </c>
      <c r="G487" s="72" t="str">
        <f t="shared" si="39"/>
        <v>120313</v>
      </c>
      <c r="H487" s="74" t="s">
        <v>4261</v>
      </c>
    </row>
    <row r="488" spans="1:8" ht="18.75">
      <c r="A488" s="70">
        <v>12</v>
      </c>
      <c r="B488" s="70">
        <v>3</v>
      </c>
      <c r="C488" s="70">
        <v>14</v>
      </c>
      <c r="D488" s="71" t="s">
        <v>2960</v>
      </c>
      <c r="E488" s="72" t="s">
        <v>829</v>
      </c>
      <c r="F488" s="73" t="str">
        <f t="shared" si="38"/>
        <v>120314</v>
      </c>
      <c r="G488" s="72" t="str">
        <f t="shared" si="39"/>
        <v>120314</v>
      </c>
      <c r="H488" s="74" t="s">
        <v>4262</v>
      </c>
    </row>
    <row r="489" spans="1:8" ht="18.75">
      <c r="A489" s="70">
        <v>12</v>
      </c>
      <c r="B489" s="70">
        <v>3</v>
      </c>
      <c r="C489" s="70">
        <v>15</v>
      </c>
      <c r="D489" s="71" t="s">
        <v>2961</v>
      </c>
      <c r="E489" s="72" t="s">
        <v>829</v>
      </c>
      <c r="F489" s="73" t="str">
        <f t="shared" si="38"/>
        <v>120315</v>
      </c>
      <c r="G489" s="72" t="str">
        <f t="shared" si="39"/>
        <v>120315</v>
      </c>
      <c r="H489" s="74" t="s">
        <v>4263</v>
      </c>
    </row>
    <row r="490" spans="1:8" ht="18.75">
      <c r="A490" s="70">
        <v>12</v>
      </c>
      <c r="B490" s="70">
        <v>3</v>
      </c>
      <c r="C490" s="70">
        <v>50</v>
      </c>
      <c r="D490" s="71" t="s">
        <v>3286</v>
      </c>
      <c r="E490" s="72" t="s">
        <v>829</v>
      </c>
      <c r="F490" s="73" t="str">
        <f t="shared" si="38"/>
        <v>120350</v>
      </c>
      <c r="G490" s="72" t="str">
        <f t="shared" si="39"/>
        <v>120350</v>
      </c>
      <c r="H490" s="74" t="s">
        <v>5485</v>
      </c>
    </row>
    <row r="491" spans="1:8" ht="18.75">
      <c r="A491" s="70">
        <v>12</v>
      </c>
      <c r="B491" s="70">
        <v>3</v>
      </c>
      <c r="C491" s="70">
        <v>51</v>
      </c>
      <c r="D491" s="71" t="s">
        <v>4264</v>
      </c>
      <c r="E491" s="72" t="s">
        <v>829</v>
      </c>
      <c r="F491" s="73" t="str">
        <f t="shared" si="38"/>
        <v>120351</v>
      </c>
      <c r="G491" s="72" t="str">
        <f t="shared" si="39"/>
        <v>120351</v>
      </c>
      <c r="H491" s="74" t="s">
        <v>4265</v>
      </c>
    </row>
    <row r="492" spans="1:8" ht="18.75">
      <c r="A492" s="70">
        <v>12</v>
      </c>
      <c r="B492" s="70">
        <v>3</v>
      </c>
      <c r="C492" s="70">
        <v>52</v>
      </c>
      <c r="D492" s="71" t="s">
        <v>3285</v>
      </c>
      <c r="E492" s="72" t="s">
        <v>829</v>
      </c>
      <c r="F492" s="73" t="str">
        <f t="shared" si="38"/>
        <v>120352</v>
      </c>
      <c r="G492" s="72" t="str">
        <f t="shared" si="39"/>
        <v>120352</v>
      </c>
      <c r="H492" s="74" t="s">
        <v>4266</v>
      </c>
    </row>
    <row r="493" spans="1:8" ht="18.75">
      <c r="A493" s="70">
        <v>12</v>
      </c>
      <c r="B493" s="70">
        <v>3</v>
      </c>
      <c r="C493" s="70">
        <v>53</v>
      </c>
      <c r="D493" s="71" t="s">
        <v>4267</v>
      </c>
      <c r="E493" s="72" t="s">
        <v>829</v>
      </c>
      <c r="F493" s="73" t="str">
        <f t="shared" si="38"/>
        <v>120353</v>
      </c>
      <c r="G493" s="72" t="str">
        <f t="shared" si="39"/>
        <v>120353</v>
      </c>
      <c r="H493" s="74" t="s">
        <v>4268</v>
      </c>
    </row>
    <row r="494" spans="1:8" ht="18.75">
      <c r="A494" s="70">
        <v>12</v>
      </c>
      <c r="B494" s="70">
        <v>3</v>
      </c>
      <c r="C494" s="70">
        <v>54</v>
      </c>
      <c r="D494" s="71" t="s">
        <v>4269</v>
      </c>
      <c r="E494" s="72" t="s">
        <v>829</v>
      </c>
      <c r="F494" s="73" t="str">
        <f t="shared" si="38"/>
        <v>120354</v>
      </c>
      <c r="G494" s="72" t="str">
        <f t="shared" si="39"/>
        <v>120354</v>
      </c>
      <c r="H494" s="74" t="s">
        <v>4270</v>
      </c>
    </row>
    <row r="495" spans="1:8" ht="18.75">
      <c r="A495" s="70">
        <v>12</v>
      </c>
      <c r="B495" s="70">
        <v>3</v>
      </c>
      <c r="C495" s="70">
        <v>55</v>
      </c>
      <c r="D495" s="71" t="s">
        <v>4271</v>
      </c>
      <c r="E495" s="72" t="s">
        <v>829</v>
      </c>
      <c r="F495" s="73" t="str">
        <f t="shared" si="38"/>
        <v>120355</v>
      </c>
      <c r="G495" s="72" t="str">
        <f t="shared" si="39"/>
        <v>120355</v>
      </c>
      <c r="H495" s="74" t="s">
        <v>4272</v>
      </c>
    </row>
    <row r="496" spans="1:8" ht="18.75">
      <c r="A496" s="70">
        <v>12</v>
      </c>
      <c r="B496" s="70">
        <v>3</v>
      </c>
      <c r="C496" s="70">
        <v>80</v>
      </c>
      <c r="D496" s="71" t="s">
        <v>3287</v>
      </c>
      <c r="E496" s="72" t="s">
        <v>829</v>
      </c>
      <c r="F496" s="73" t="str">
        <f t="shared" si="38"/>
        <v>120380</v>
      </c>
      <c r="G496" s="72" t="str">
        <f t="shared" si="39"/>
        <v>120380</v>
      </c>
      <c r="H496" s="74" t="s">
        <v>4273</v>
      </c>
    </row>
    <row r="497" spans="1:8" ht="18.75">
      <c r="A497" s="70">
        <v>12</v>
      </c>
      <c r="B497" s="70">
        <v>3</v>
      </c>
      <c r="C497" s="70">
        <v>81</v>
      </c>
      <c r="D497" s="71" t="s">
        <v>4274</v>
      </c>
      <c r="E497" s="72" t="s">
        <v>829</v>
      </c>
      <c r="F497" s="73" t="str">
        <f t="shared" si="38"/>
        <v>120381</v>
      </c>
      <c r="G497" s="72" t="str">
        <f t="shared" si="39"/>
        <v>120381</v>
      </c>
      <c r="H497" s="74" t="s">
        <v>4275</v>
      </c>
    </row>
    <row r="498" spans="1:8" ht="18.75">
      <c r="A498" s="70">
        <v>12</v>
      </c>
      <c r="B498" s="70">
        <v>3</v>
      </c>
      <c r="C498" s="70">
        <v>82</v>
      </c>
      <c r="D498" s="71" t="s">
        <v>3288</v>
      </c>
      <c r="E498" s="72" t="s">
        <v>829</v>
      </c>
      <c r="F498" s="73" t="str">
        <f t="shared" si="38"/>
        <v>120382</v>
      </c>
      <c r="G498" s="72" t="str">
        <f t="shared" si="39"/>
        <v>120382</v>
      </c>
      <c r="H498" s="74" t="s">
        <v>4276</v>
      </c>
    </row>
    <row r="499" spans="1:8" ht="18.75">
      <c r="A499" s="70">
        <v>12</v>
      </c>
      <c r="B499" s="70">
        <v>3</v>
      </c>
      <c r="C499" s="70">
        <v>83</v>
      </c>
      <c r="D499" s="71" t="s">
        <v>3289</v>
      </c>
      <c r="E499" s="72" t="s">
        <v>829</v>
      </c>
      <c r="F499" s="73" t="str">
        <f t="shared" si="38"/>
        <v>120383</v>
      </c>
      <c r="G499" s="72" t="str">
        <f t="shared" si="39"/>
        <v>120383</v>
      </c>
      <c r="H499" s="74" t="s">
        <v>4277</v>
      </c>
    </row>
    <row r="500" spans="1:8" ht="18.75">
      <c r="A500" s="70">
        <v>12</v>
      </c>
      <c r="B500" s="70">
        <v>3</v>
      </c>
      <c r="C500" s="70">
        <v>84</v>
      </c>
      <c r="D500" s="71" t="s">
        <v>3290</v>
      </c>
      <c r="E500" s="72" t="s">
        <v>829</v>
      </c>
      <c r="F500" s="73" t="str">
        <f t="shared" si="38"/>
        <v>120384</v>
      </c>
      <c r="G500" s="72" t="str">
        <f t="shared" si="39"/>
        <v>120384</v>
      </c>
      <c r="H500" s="74" t="s">
        <v>4278</v>
      </c>
    </row>
    <row r="501" spans="1:8" ht="18.75">
      <c r="A501" s="70">
        <v>12</v>
      </c>
      <c r="B501" s="70">
        <v>3</v>
      </c>
      <c r="C501" s="70">
        <v>85</v>
      </c>
      <c r="D501" s="71" t="s">
        <v>3804</v>
      </c>
      <c r="E501" s="72" t="s">
        <v>829</v>
      </c>
      <c r="F501" s="73" t="str">
        <f t="shared" si="38"/>
        <v>120385</v>
      </c>
      <c r="G501" s="72" t="str">
        <f t="shared" si="39"/>
        <v>120385</v>
      </c>
      <c r="H501" s="74" t="s">
        <v>4279</v>
      </c>
    </row>
    <row r="502" spans="1:8" ht="18.75">
      <c r="A502" s="70">
        <v>12</v>
      </c>
      <c r="B502" s="70">
        <v>3</v>
      </c>
      <c r="C502" s="70">
        <v>86</v>
      </c>
      <c r="D502" s="71" t="s">
        <v>5486</v>
      </c>
      <c r="E502" s="72" t="s">
        <v>829</v>
      </c>
      <c r="F502" s="73" t="str">
        <f t="shared" si="38"/>
        <v>120386</v>
      </c>
      <c r="G502" s="72" t="str">
        <f t="shared" si="39"/>
        <v>120386</v>
      </c>
      <c r="H502" s="74" t="s">
        <v>5487</v>
      </c>
    </row>
    <row r="503" spans="1:8" ht="18.75">
      <c r="A503" s="70">
        <v>12</v>
      </c>
      <c r="B503" s="70">
        <v>3</v>
      </c>
      <c r="C503" s="70">
        <v>87</v>
      </c>
      <c r="D503" s="71" t="s">
        <v>5712</v>
      </c>
      <c r="E503" s="72" t="s">
        <v>829</v>
      </c>
      <c r="F503" s="73" t="str">
        <f t="shared" si="38"/>
        <v>120387</v>
      </c>
      <c r="G503" s="72" t="str">
        <f t="shared" si="39"/>
        <v>120387</v>
      </c>
      <c r="H503" s="74" t="s">
        <v>5713</v>
      </c>
    </row>
    <row r="504" spans="1:8" ht="18.75">
      <c r="A504" s="70">
        <v>12</v>
      </c>
      <c r="B504" s="70">
        <v>3</v>
      </c>
      <c r="C504" s="70">
        <v>88</v>
      </c>
      <c r="D504" s="71" t="s">
        <v>5773</v>
      </c>
      <c r="E504" s="72" t="s">
        <v>829</v>
      </c>
      <c r="F504" s="73" t="str">
        <f t="shared" si="38"/>
        <v>120388</v>
      </c>
      <c r="G504" s="72" t="str">
        <f t="shared" si="39"/>
        <v>120388</v>
      </c>
      <c r="H504" s="74" t="s">
        <v>5774</v>
      </c>
    </row>
    <row r="505" spans="1:8" ht="18.75">
      <c r="A505" s="66">
        <v>12</v>
      </c>
      <c r="B505" s="66">
        <v>4</v>
      </c>
      <c r="C505" s="66">
        <v>0</v>
      </c>
      <c r="D505" s="67" t="s">
        <v>5488</v>
      </c>
      <c r="E505" s="68"/>
      <c r="F505" s="78"/>
      <c r="G505" s="79"/>
      <c r="H505" s="80"/>
    </row>
    <row r="506" spans="1:8" ht="18.75">
      <c r="A506" s="70">
        <v>12</v>
      </c>
      <c r="B506" s="70">
        <v>4</v>
      </c>
      <c r="C506" s="70">
        <v>10</v>
      </c>
      <c r="D506" s="71" t="s">
        <v>567</v>
      </c>
      <c r="E506" s="72" t="s">
        <v>829</v>
      </c>
      <c r="F506" s="73" t="str">
        <f t="shared" ref="F506:F524" si="40">TEXT(A506,"00")&amp;TEXT(B506,"00")&amp;TEXT(C506,"00")</f>
        <v>120410</v>
      </c>
      <c r="G506" s="72" t="str">
        <f t="shared" ref="G506:G524" si="41">TEXT(F506,"000000")</f>
        <v>120410</v>
      </c>
      <c r="H506" s="74" t="s">
        <v>4280</v>
      </c>
    </row>
    <row r="507" spans="1:8" ht="18.75">
      <c r="A507" s="70">
        <v>12</v>
      </c>
      <c r="B507" s="70">
        <v>4</v>
      </c>
      <c r="C507" s="70">
        <v>11</v>
      </c>
      <c r="D507" s="71" t="s">
        <v>3651</v>
      </c>
      <c r="E507" s="72" t="s">
        <v>829</v>
      </c>
      <c r="F507" s="73" t="str">
        <f t="shared" si="40"/>
        <v>120411</v>
      </c>
      <c r="G507" s="72" t="str">
        <f t="shared" si="41"/>
        <v>120411</v>
      </c>
      <c r="H507" s="74" t="s">
        <v>4281</v>
      </c>
    </row>
    <row r="508" spans="1:8" ht="18.75">
      <c r="A508" s="70">
        <v>12</v>
      </c>
      <c r="B508" s="70">
        <v>4</v>
      </c>
      <c r="C508" s="70">
        <v>12</v>
      </c>
      <c r="D508" s="71" t="s">
        <v>3652</v>
      </c>
      <c r="E508" s="72" t="s">
        <v>829</v>
      </c>
      <c r="F508" s="73" t="str">
        <f t="shared" si="40"/>
        <v>120412</v>
      </c>
      <c r="G508" s="72" t="str">
        <f t="shared" si="41"/>
        <v>120412</v>
      </c>
      <c r="H508" s="74" t="s">
        <v>4282</v>
      </c>
    </row>
    <row r="509" spans="1:8" ht="18.75">
      <c r="A509" s="70">
        <v>12</v>
      </c>
      <c r="B509" s="70">
        <v>4</v>
      </c>
      <c r="C509" s="70">
        <v>21</v>
      </c>
      <c r="D509" s="71" t="s">
        <v>2966</v>
      </c>
      <c r="E509" s="72" t="s">
        <v>829</v>
      </c>
      <c r="F509" s="73" t="str">
        <f t="shared" si="40"/>
        <v>120421</v>
      </c>
      <c r="G509" s="72" t="str">
        <f t="shared" si="41"/>
        <v>120421</v>
      </c>
      <c r="H509" s="74" t="s">
        <v>4283</v>
      </c>
    </row>
    <row r="510" spans="1:8" ht="18.75">
      <c r="A510" s="70">
        <v>12</v>
      </c>
      <c r="B510" s="70">
        <v>4</v>
      </c>
      <c r="C510" s="70">
        <v>31</v>
      </c>
      <c r="D510" s="71" t="s">
        <v>3650</v>
      </c>
      <c r="E510" s="72" t="s">
        <v>829</v>
      </c>
      <c r="F510" s="73" t="str">
        <f t="shared" si="40"/>
        <v>120431</v>
      </c>
      <c r="G510" s="72" t="str">
        <f t="shared" si="41"/>
        <v>120431</v>
      </c>
      <c r="H510" s="74" t="s">
        <v>4284</v>
      </c>
    </row>
    <row r="511" spans="1:8" ht="18.75">
      <c r="A511" s="70">
        <v>12</v>
      </c>
      <c r="B511" s="70">
        <v>4</v>
      </c>
      <c r="C511" s="70">
        <v>40</v>
      </c>
      <c r="D511" s="71" t="s">
        <v>668</v>
      </c>
      <c r="E511" s="72" t="s">
        <v>829</v>
      </c>
      <c r="F511" s="73" t="str">
        <f t="shared" si="40"/>
        <v>120440</v>
      </c>
      <c r="G511" s="72" t="str">
        <f t="shared" si="41"/>
        <v>120440</v>
      </c>
      <c r="H511" s="74" t="s">
        <v>4285</v>
      </c>
    </row>
    <row r="512" spans="1:8" ht="18.75">
      <c r="A512" s="70">
        <v>12</v>
      </c>
      <c r="B512" s="70">
        <v>4</v>
      </c>
      <c r="C512" s="70">
        <v>41</v>
      </c>
      <c r="D512" s="71" t="s">
        <v>2963</v>
      </c>
      <c r="E512" s="72" t="s">
        <v>829</v>
      </c>
      <c r="F512" s="73" t="str">
        <f t="shared" si="40"/>
        <v>120441</v>
      </c>
      <c r="G512" s="72" t="str">
        <f t="shared" si="41"/>
        <v>120441</v>
      </c>
      <c r="H512" s="74" t="s">
        <v>4286</v>
      </c>
    </row>
    <row r="513" spans="1:8" ht="18.75">
      <c r="A513" s="70">
        <v>12</v>
      </c>
      <c r="B513" s="70">
        <v>4</v>
      </c>
      <c r="C513" s="70">
        <v>51</v>
      </c>
      <c r="D513" s="71" t="s">
        <v>2964</v>
      </c>
      <c r="E513" s="72" t="s">
        <v>829</v>
      </c>
      <c r="F513" s="73" t="str">
        <f t="shared" si="40"/>
        <v>120451</v>
      </c>
      <c r="G513" s="72" t="str">
        <f t="shared" si="41"/>
        <v>120451</v>
      </c>
      <c r="H513" s="74" t="s">
        <v>4287</v>
      </c>
    </row>
    <row r="514" spans="1:8" ht="18.75">
      <c r="A514" s="70">
        <v>12</v>
      </c>
      <c r="B514" s="70">
        <v>4</v>
      </c>
      <c r="C514" s="70">
        <v>61</v>
      </c>
      <c r="D514" s="71" t="s">
        <v>563</v>
      </c>
      <c r="E514" s="72" t="s">
        <v>829</v>
      </c>
      <c r="F514" s="73" t="str">
        <f t="shared" si="40"/>
        <v>120461</v>
      </c>
      <c r="G514" s="72" t="str">
        <f t="shared" si="41"/>
        <v>120461</v>
      </c>
      <c r="H514" s="74" t="s">
        <v>4288</v>
      </c>
    </row>
    <row r="515" spans="1:8" ht="18.75">
      <c r="A515" s="70">
        <v>12</v>
      </c>
      <c r="B515" s="70">
        <v>4</v>
      </c>
      <c r="C515" s="70">
        <v>71</v>
      </c>
      <c r="D515" s="71" t="s">
        <v>564</v>
      </c>
      <c r="E515" s="72" t="s">
        <v>829</v>
      </c>
      <c r="F515" s="73" t="str">
        <f t="shared" si="40"/>
        <v>120471</v>
      </c>
      <c r="G515" s="72" t="str">
        <f t="shared" si="41"/>
        <v>120471</v>
      </c>
      <c r="H515" s="74" t="s">
        <v>4289</v>
      </c>
    </row>
    <row r="516" spans="1:8" ht="18.75">
      <c r="A516" s="70">
        <v>12</v>
      </c>
      <c r="B516" s="70">
        <v>4</v>
      </c>
      <c r="C516" s="70">
        <v>81</v>
      </c>
      <c r="D516" s="71" t="s">
        <v>566</v>
      </c>
      <c r="E516" s="72" t="s">
        <v>829</v>
      </c>
      <c r="F516" s="73" t="str">
        <f t="shared" si="40"/>
        <v>120481</v>
      </c>
      <c r="G516" s="72" t="str">
        <f t="shared" si="41"/>
        <v>120481</v>
      </c>
      <c r="H516" s="74" t="s">
        <v>4290</v>
      </c>
    </row>
    <row r="517" spans="1:8" ht="18.75">
      <c r="A517" s="70">
        <v>12</v>
      </c>
      <c r="B517" s="70">
        <v>4</v>
      </c>
      <c r="C517" s="70">
        <v>91</v>
      </c>
      <c r="D517" s="71" t="s">
        <v>2965</v>
      </c>
      <c r="E517" s="72" t="s">
        <v>829</v>
      </c>
      <c r="F517" s="73" t="str">
        <f t="shared" si="40"/>
        <v>120491</v>
      </c>
      <c r="G517" s="72" t="str">
        <f t="shared" si="41"/>
        <v>120491</v>
      </c>
      <c r="H517" s="74" t="s">
        <v>4291</v>
      </c>
    </row>
    <row r="518" spans="1:8" ht="18.75">
      <c r="A518" s="70">
        <v>12</v>
      </c>
      <c r="B518" s="70">
        <v>4</v>
      </c>
      <c r="C518" s="70">
        <v>92</v>
      </c>
      <c r="D518" s="71" t="s">
        <v>587</v>
      </c>
      <c r="E518" s="72" t="s">
        <v>829</v>
      </c>
      <c r="F518" s="73" t="str">
        <f t="shared" si="40"/>
        <v>120492</v>
      </c>
      <c r="G518" s="72" t="str">
        <f t="shared" si="41"/>
        <v>120492</v>
      </c>
      <c r="H518" s="74" t="s">
        <v>4292</v>
      </c>
    </row>
    <row r="519" spans="1:8" ht="18.75">
      <c r="A519" s="70">
        <v>12</v>
      </c>
      <c r="B519" s="70">
        <v>4</v>
      </c>
      <c r="C519" s="70">
        <v>93</v>
      </c>
      <c r="D519" s="71" t="s">
        <v>3291</v>
      </c>
      <c r="E519" s="72" t="s">
        <v>829</v>
      </c>
      <c r="F519" s="73" t="str">
        <f t="shared" si="40"/>
        <v>120493</v>
      </c>
      <c r="G519" s="72" t="str">
        <f t="shared" si="41"/>
        <v>120493</v>
      </c>
      <c r="H519" s="74" t="s">
        <v>4293</v>
      </c>
    </row>
    <row r="520" spans="1:8" ht="18.75">
      <c r="A520" s="70">
        <v>12</v>
      </c>
      <c r="B520" s="70">
        <v>4</v>
      </c>
      <c r="C520" s="70">
        <v>94</v>
      </c>
      <c r="D520" s="71" t="s">
        <v>3292</v>
      </c>
      <c r="E520" s="72" t="s">
        <v>829</v>
      </c>
      <c r="F520" s="73" t="str">
        <f t="shared" si="40"/>
        <v>120494</v>
      </c>
      <c r="G520" s="72" t="str">
        <f t="shared" si="41"/>
        <v>120494</v>
      </c>
      <c r="H520" s="74" t="s">
        <v>4294</v>
      </c>
    </row>
    <row r="521" spans="1:8" ht="18.75">
      <c r="A521" s="70">
        <v>12</v>
      </c>
      <c r="B521" s="70">
        <v>4</v>
      </c>
      <c r="C521" s="70">
        <v>95</v>
      </c>
      <c r="D521" s="71" t="s">
        <v>3293</v>
      </c>
      <c r="E521" s="72" t="s">
        <v>829</v>
      </c>
      <c r="F521" s="73" t="str">
        <f t="shared" si="40"/>
        <v>120495</v>
      </c>
      <c r="G521" s="72" t="str">
        <f t="shared" si="41"/>
        <v>120495</v>
      </c>
      <c r="H521" s="74" t="s">
        <v>4295</v>
      </c>
    </row>
    <row r="522" spans="1:8" ht="18.75">
      <c r="A522" s="70">
        <v>12</v>
      </c>
      <c r="B522" s="70">
        <v>4</v>
      </c>
      <c r="C522" s="70">
        <v>96</v>
      </c>
      <c r="D522" s="71" t="s">
        <v>3294</v>
      </c>
      <c r="E522" s="72" t="s">
        <v>829</v>
      </c>
      <c r="F522" s="73" t="str">
        <f t="shared" si="40"/>
        <v>120496</v>
      </c>
      <c r="G522" s="72" t="str">
        <f t="shared" si="41"/>
        <v>120496</v>
      </c>
      <c r="H522" s="74" t="s">
        <v>4296</v>
      </c>
    </row>
    <row r="523" spans="1:8" ht="18.75">
      <c r="A523" s="70">
        <v>12</v>
      </c>
      <c r="B523" s="70">
        <v>4</v>
      </c>
      <c r="C523" s="70">
        <v>97</v>
      </c>
      <c r="D523" s="71" t="s">
        <v>5714</v>
      </c>
      <c r="E523" s="72" t="s">
        <v>829</v>
      </c>
      <c r="F523" s="73" t="str">
        <f t="shared" si="40"/>
        <v>120497</v>
      </c>
      <c r="G523" s="72" t="str">
        <f t="shared" si="41"/>
        <v>120497</v>
      </c>
      <c r="H523" s="74" t="s">
        <v>5715</v>
      </c>
    </row>
    <row r="524" spans="1:8" ht="18.75">
      <c r="A524" s="70">
        <v>12</v>
      </c>
      <c r="B524" s="70">
        <v>4</v>
      </c>
      <c r="C524" s="70">
        <v>98</v>
      </c>
      <c r="D524" s="71" t="s">
        <v>5821</v>
      </c>
      <c r="E524" s="72" t="s">
        <v>829</v>
      </c>
      <c r="F524" s="73" t="str">
        <f t="shared" si="40"/>
        <v>120498</v>
      </c>
      <c r="G524" s="72" t="str">
        <f t="shared" si="41"/>
        <v>120498</v>
      </c>
      <c r="H524" s="74" t="s">
        <v>5822</v>
      </c>
    </row>
    <row r="525" spans="1:8" ht="18.75">
      <c r="A525" s="66">
        <v>12</v>
      </c>
      <c r="B525" s="66">
        <v>5</v>
      </c>
      <c r="C525" s="66">
        <v>0</v>
      </c>
      <c r="D525" s="67" t="s">
        <v>2967</v>
      </c>
      <c r="E525" s="68"/>
      <c r="F525" s="78"/>
      <c r="G525" s="79"/>
      <c r="H525" s="80"/>
    </row>
    <row r="526" spans="1:8" ht="18.75">
      <c r="A526" s="70">
        <v>12</v>
      </c>
      <c r="B526" s="70">
        <v>5</v>
      </c>
      <c r="C526" s="70">
        <v>11</v>
      </c>
      <c r="D526" s="71" t="s">
        <v>4297</v>
      </c>
      <c r="E526" s="72" t="s">
        <v>829</v>
      </c>
      <c r="F526" s="73" t="str">
        <f t="shared" ref="F526:F552" si="42">TEXT(A526,"00")&amp;TEXT(B526,"00")&amp;TEXT(C526,"00")</f>
        <v>120511</v>
      </c>
      <c r="G526" s="72" t="str">
        <f t="shared" ref="G526:G552" si="43">TEXT(F526,"000000")</f>
        <v>120511</v>
      </c>
      <c r="H526" s="74" t="s">
        <v>4298</v>
      </c>
    </row>
    <row r="527" spans="1:8" ht="18.75">
      <c r="A527" s="70">
        <v>12</v>
      </c>
      <c r="B527" s="70">
        <v>5</v>
      </c>
      <c r="C527" s="70">
        <v>12</v>
      </c>
      <c r="D527" s="71" t="s">
        <v>4299</v>
      </c>
      <c r="E527" s="72" t="s">
        <v>829</v>
      </c>
      <c r="F527" s="73" t="str">
        <f t="shared" si="42"/>
        <v>120512</v>
      </c>
      <c r="G527" s="72" t="str">
        <f t="shared" si="43"/>
        <v>120512</v>
      </c>
      <c r="H527" s="74" t="s">
        <v>4300</v>
      </c>
    </row>
    <row r="528" spans="1:8" ht="18.75">
      <c r="A528" s="70">
        <v>12</v>
      </c>
      <c r="B528" s="70">
        <v>5</v>
      </c>
      <c r="C528" s="70">
        <v>13</v>
      </c>
      <c r="D528" s="71" t="s">
        <v>4301</v>
      </c>
      <c r="E528" s="72" t="s">
        <v>829</v>
      </c>
      <c r="F528" s="73" t="str">
        <f t="shared" si="42"/>
        <v>120513</v>
      </c>
      <c r="G528" s="72" t="str">
        <f t="shared" si="43"/>
        <v>120513</v>
      </c>
      <c r="H528" s="74" t="s">
        <v>4302</v>
      </c>
    </row>
    <row r="529" spans="1:8" ht="18.75">
      <c r="A529" s="70">
        <v>12</v>
      </c>
      <c r="B529" s="70">
        <v>5</v>
      </c>
      <c r="C529" s="70">
        <v>21</v>
      </c>
      <c r="D529" s="71" t="s">
        <v>4303</v>
      </c>
      <c r="E529" s="72" t="s">
        <v>829</v>
      </c>
      <c r="F529" s="73" t="str">
        <f t="shared" si="42"/>
        <v>120521</v>
      </c>
      <c r="G529" s="72" t="str">
        <f t="shared" si="43"/>
        <v>120521</v>
      </c>
      <c r="H529" s="74" t="s">
        <v>4304</v>
      </c>
    </row>
    <row r="530" spans="1:8" ht="18.75">
      <c r="A530" s="70">
        <v>12</v>
      </c>
      <c r="B530" s="70">
        <v>5</v>
      </c>
      <c r="C530" s="70">
        <v>22</v>
      </c>
      <c r="D530" s="71" t="s">
        <v>4305</v>
      </c>
      <c r="E530" s="72" t="s">
        <v>829</v>
      </c>
      <c r="F530" s="73" t="str">
        <f t="shared" si="42"/>
        <v>120522</v>
      </c>
      <c r="G530" s="72" t="str">
        <f t="shared" si="43"/>
        <v>120522</v>
      </c>
      <c r="H530" s="74" t="s">
        <v>4306</v>
      </c>
    </row>
    <row r="531" spans="1:8" ht="18.75">
      <c r="A531" s="70">
        <v>12</v>
      </c>
      <c r="B531" s="70">
        <v>5</v>
      </c>
      <c r="C531" s="70">
        <v>23</v>
      </c>
      <c r="D531" s="71" t="s">
        <v>4307</v>
      </c>
      <c r="E531" s="72" t="s">
        <v>829</v>
      </c>
      <c r="F531" s="73" t="str">
        <f t="shared" si="42"/>
        <v>120523</v>
      </c>
      <c r="G531" s="72" t="str">
        <f t="shared" si="43"/>
        <v>120523</v>
      </c>
      <c r="H531" s="74" t="s">
        <v>4308</v>
      </c>
    </row>
    <row r="532" spans="1:8" ht="18.75">
      <c r="A532" s="70">
        <v>12</v>
      </c>
      <c r="B532" s="70">
        <v>5</v>
      </c>
      <c r="C532" s="70">
        <v>24</v>
      </c>
      <c r="D532" s="71" t="s">
        <v>4309</v>
      </c>
      <c r="E532" s="72" t="s">
        <v>829</v>
      </c>
      <c r="F532" s="73" t="str">
        <f t="shared" si="42"/>
        <v>120524</v>
      </c>
      <c r="G532" s="72" t="str">
        <f t="shared" si="43"/>
        <v>120524</v>
      </c>
      <c r="H532" s="74" t="s">
        <v>4310</v>
      </c>
    </row>
    <row r="533" spans="1:8" ht="18.75">
      <c r="A533" s="70">
        <v>12</v>
      </c>
      <c r="B533" s="70">
        <v>5</v>
      </c>
      <c r="C533" s="70">
        <v>25</v>
      </c>
      <c r="D533" s="71" t="s">
        <v>4311</v>
      </c>
      <c r="E533" s="72" t="s">
        <v>829</v>
      </c>
      <c r="F533" s="73" t="str">
        <f t="shared" si="42"/>
        <v>120525</v>
      </c>
      <c r="G533" s="72" t="str">
        <f t="shared" si="43"/>
        <v>120525</v>
      </c>
      <c r="H533" s="74" t="s">
        <v>4312</v>
      </c>
    </row>
    <row r="534" spans="1:8" ht="18.75">
      <c r="A534" s="70">
        <v>12</v>
      </c>
      <c r="B534" s="70">
        <v>5</v>
      </c>
      <c r="C534" s="70">
        <v>26</v>
      </c>
      <c r="D534" s="71" t="s">
        <v>4313</v>
      </c>
      <c r="E534" s="72" t="s">
        <v>829</v>
      </c>
      <c r="F534" s="73" t="str">
        <f t="shared" si="42"/>
        <v>120526</v>
      </c>
      <c r="G534" s="72" t="str">
        <f t="shared" si="43"/>
        <v>120526</v>
      </c>
      <c r="H534" s="74" t="s">
        <v>4314</v>
      </c>
    </row>
    <row r="535" spans="1:8" ht="18.75">
      <c r="A535" s="70">
        <v>12</v>
      </c>
      <c r="B535" s="70">
        <v>5</v>
      </c>
      <c r="C535" s="70">
        <v>27</v>
      </c>
      <c r="D535" s="71" t="s">
        <v>4315</v>
      </c>
      <c r="E535" s="72" t="s">
        <v>829</v>
      </c>
      <c r="F535" s="73" t="str">
        <f t="shared" si="42"/>
        <v>120527</v>
      </c>
      <c r="G535" s="72" t="str">
        <f t="shared" si="43"/>
        <v>120527</v>
      </c>
      <c r="H535" s="74" t="s">
        <v>4316</v>
      </c>
    </row>
    <row r="536" spans="1:8" ht="18.75">
      <c r="A536" s="70">
        <v>12</v>
      </c>
      <c r="B536" s="70">
        <v>5</v>
      </c>
      <c r="C536" s="70">
        <v>28</v>
      </c>
      <c r="D536" s="71" t="s">
        <v>4317</v>
      </c>
      <c r="E536" s="72" t="s">
        <v>829</v>
      </c>
      <c r="F536" s="73" t="str">
        <f t="shared" si="42"/>
        <v>120528</v>
      </c>
      <c r="G536" s="72" t="str">
        <f t="shared" si="43"/>
        <v>120528</v>
      </c>
      <c r="H536" s="74" t="s">
        <v>4318</v>
      </c>
    </row>
    <row r="537" spans="1:8" ht="18.75">
      <c r="A537" s="70">
        <v>12</v>
      </c>
      <c r="B537" s="70">
        <v>5</v>
      </c>
      <c r="C537" s="70">
        <v>29</v>
      </c>
      <c r="D537" s="71" t="s">
        <v>4319</v>
      </c>
      <c r="E537" s="72" t="s">
        <v>829</v>
      </c>
      <c r="F537" s="73" t="str">
        <f t="shared" si="42"/>
        <v>120529</v>
      </c>
      <c r="G537" s="72" t="str">
        <f t="shared" si="43"/>
        <v>120529</v>
      </c>
      <c r="H537" s="74" t="s">
        <v>4320</v>
      </c>
    </row>
    <row r="538" spans="1:8" ht="18.75">
      <c r="A538" s="70">
        <v>12</v>
      </c>
      <c r="B538" s="70">
        <v>5</v>
      </c>
      <c r="C538" s="70">
        <v>30</v>
      </c>
      <c r="D538" s="71" t="s">
        <v>4321</v>
      </c>
      <c r="E538" s="72" t="s">
        <v>829</v>
      </c>
      <c r="F538" s="73" t="str">
        <f t="shared" si="42"/>
        <v>120530</v>
      </c>
      <c r="G538" s="72" t="str">
        <f t="shared" si="43"/>
        <v>120530</v>
      </c>
      <c r="H538" s="74" t="s">
        <v>4322</v>
      </c>
    </row>
    <row r="539" spans="1:8" ht="18.75">
      <c r="A539" s="70">
        <v>12</v>
      </c>
      <c r="B539" s="70">
        <v>5</v>
      </c>
      <c r="C539" s="70">
        <v>31</v>
      </c>
      <c r="D539" s="71" t="s">
        <v>4323</v>
      </c>
      <c r="E539" s="72" t="s">
        <v>829</v>
      </c>
      <c r="F539" s="73" t="str">
        <f t="shared" si="42"/>
        <v>120531</v>
      </c>
      <c r="G539" s="72" t="str">
        <f t="shared" si="43"/>
        <v>120531</v>
      </c>
      <c r="H539" s="74" t="s">
        <v>4324</v>
      </c>
    </row>
    <row r="540" spans="1:8" ht="18.75">
      <c r="A540" s="70">
        <v>12</v>
      </c>
      <c r="B540" s="70">
        <v>5</v>
      </c>
      <c r="C540" s="70">
        <v>32</v>
      </c>
      <c r="D540" s="71" t="s">
        <v>4325</v>
      </c>
      <c r="E540" s="72" t="s">
        <v>829</v>
      </c>
      <c r="F540" s="73" t="str">
        <f t="shared" si="42"/>
        <v>120532</v>
      </c>
      <c r="G540" s="72" t="str">
        <f t="shared" si="43"/>
        <v>120532</v>
      </c>
      <c r="H540" s="74" t="s">
        <v>4326</v>
      </c>
    </row>
    <row r="541" spans="1:8" ht="18.75">
      <c r="A541" s="70">
        <v>12</v>
      </c>
      <c r="B541" s="70">
        <v>5</v>
      </c>
      <c r="C541" s="70">
        <v>33</v>
      </c>
      <c r="D541" s="71" t="s">
        <v>4327</v>
      </c>
      <c r="E541" s="72" t="s">
        <v>829</v>
      </c>
      <c r="F541" s="73" t="str">
        <f t="shared" si="42"/>
        <v>120533</v>
      </c>
      <c r="G541" s="72" t="str">
        <f t="shared" si="43"/>
        <v>120533</v>
      </c>
      <c r="H541" s="74" t="s">
        <v>4328</v>
      </c>
    </row>
    <row r="542" spans="1:8" ht="18.75">
      <c r="A542" s="70">
        <v>12</v>
      </c>
      <c r="B542" s="70">
        <v>5</v>
      </c>
      <c r="C542" s="70">
        <v>34</v>
      </c>
      <c r="D542" s="71" t="s">
        <v>4329</v>
      </c>
      <c r="E542" s="72" t="s">
        <v>829</v>
      </c>
      <c r="F542" s="73" t="str">
        <f t="shared" si="42"/>
        <v>120534</v>
      </c>
      <c r="G542" s="72" t="str">
        <f t="shared" si="43"/>
        <v>120534</v>
      </c>
      <c r="H542" s="74" t="s">
        <v>4330</v>
      </c>
    </row>
    <row r="543" spans="1:8" ht="18.75">
      <c r="A543" s="70">
        <v>12</v>
      </c>
      <c r="B543" s="70">
        <v>5</v>
      </c>
      <c r="C543" s="70">
        <v>35</v>
      </c>
      <c r="D543" s="71" t="s">
        <v>4331</v>
      </c>
      <c r="E543" s="72" t="s">
        <v>829</v>
      </c>
      <c r="F543" s="73" t="str">
        <f t="shared" si="42"/>
        <v>120535</v>
      </c>
      <c r="G543" s="72" t="str">
        <f t="shared" si="43"/>
        <v>120535</v>
      </c>
      <c r="H543" s="74" t="s">
        <v>4332</v>
      </c>
    </row>
    <row r="544" spans="1:8" ht="18.75">
      <c r="A544" s="70">
        <v>12</v>
      </c>
      <c r="B544" s="70">
        <v>5</v>
      </c>
      <c r="C544" s="70">
        <v>36</v>
      </c>
      <c r="D544" s="71" t="s">
        <v>4333</v>
      </c>
      <c r="E544" s="72" t="s">
        <v>829</v>
      </c>
      <c r="F544" s="73" t="str">
        <f t="shared" si="42"/>
        <v>120536</v>
      </c>
      <c r="G544" s="72" t="str">
        <f t="shared" si="43"/>
        <v>120536</v>
      </c>
      <c r="H544" s="74" t="s">
        <v>4334</v>
      </c>
    </row>
    <row r="545" spans="1:8" ht="18.75">
      <c r="A545" s="70">
        <v>12</v>
      </c>
      <c r="B545" s="70">
        <v>5</v>
      </c>
      <c r="C545" s="70">
        <v>50</v>
      </c>
      <c r="D545" s="71" t="s">
        <v>4335</v>
      </c>
      <c r="E545" s="72" t="s">
        <v>829</v>
      </c>
      <c r="F545" s="73" t="str">
        <f t="shared" si="42"/>
        <v>120550</v>
      </c>
      <c r="G545" s="72" t="str">
        <f t="shared" si="43"/>
        <v>120550</v>
      </c>
      <c r="H545" s="74" t="s">
        <v>4336</v>
      </c>
    </row>
    <row r="546" spans="1:8" ht="18.75">
      <c r="A546" s="70">
        <v>12</v>
      </c>
      <c r="B546" s="70">
        <v>5</v>
      </c>
      <c r="C546" s="70">
        <v>51</v>
      </c>
      <c r="D546" s="71" t="s">
        <v>4337</v>
      </c>
      <c r="E546" s="72" t="s">
        <v>829</v>
      </c>
      <c r="F546" s="73" t="str">
        <f t="shared" si="42"/>
        <v>120551</v>
      </c>
      <c r="G546" s="72" t="str">
        <f t="shared" si="43"/>
        <v>120551</v>
      </c>
      <c r="H546" s="74" t="s">
        <v>4338</v>
      </c>
    </row>
    <row r="547" spans="1:8" ht="18.75">
      <c r="A547" s="70">
        <v>12</v>
      </c>
      <c r="B547" s="70">
        <v>5</v>
      </c>
      <c r="C547" s="70">
        <v>52</v>
      </c>
      <c r="D547" s="71" t="s">
        <v>3454</v>
      </c>
      <c r="E547" s="72" t="s">
        <v>829</v>
      </c>
      <c r="F547" s="73" t="str">
        <f t="shared" si="42"/>
        <v>120552</v>
      </c>
      <c r="G547" s="72" t="str">
        <f t="shared" si="43"/>
        <v>120552</v>
      </c>
      <c r="H547" s="74" t="s">
        <v>4339</v>
      </c>
    </row>
    <row r="548" spans="1:8" ht="18.75">
      <c r="A548" s="70">
        <v>12</v>
      </c>
      <c r="B548" s="70">
        <v>5</v>
      </c>
      <c r="C548" s="70">
        <v>53</v>
      </c>
      <c r="D548" s="71" t="s">
        <v>4340</v>
      </c>
      <c r="E548" s="72" t="s">
        <v>829</v>
      </c>
      <c r="F548" s="73" t="str">
        <f t="shared" si="42"/>
        <v>120553</v>
      </c>
      <c r="G548" s="72" t="str">
        <f t="shared" si="43"/>
        <v>120553</v>
      </c>
      <c r="H548" s="74" t="s">
        <v>4341</v>
      </c>
    </row>
    <row r="549" spans="1:8" ht="18.75">
      <c r="A549" s="70">
        <v>12</v>
      </c>
      <c r="B549" s="70">
        <v>5</v>
      </c>
      <c r="C549" s="70">
        <v>54</v>
      </c>
      <c r="D549" s="71" t="s">
        <v>4342</v>
      </c>
      <c r="E549" s="72" t="s">
        <v>829</v>
      </c>
      <c r="F549" s="73" t="str">
        <f t="shared" si="42"/>
        <v>120554</v>
      </c>
      <c r="G549" s="72" t="str">
        <f t="shared" si="43"/>
        <v>120554</v>
      </c>
      <c r="H549" s="74" t="s">
        <v>4343</v>
      </c>
    </row>
    <row r="550" spans="1:8" ht="18.75">
      <c r="A550" s="70">
        <v>12</v>
      </c>
      <c r="B550" s="70">
        <v>5</v>
      </c>
      <c r="C550" s="70">
        <v>55</v>
      </c>
      <c r="D550" s="71" t="s">
        <v>4344</v>
      </c>
      <c r="E550" s="72" t="s">
        <v>829</v>
      </c>
      <c r="F550" s="73" t="str">
        <f t="shared" si="42"/>
        <v>120555</v>
      </c>
      <c r="G550" s="72" t="str">
        <f t="shared" si="43"/>
        <v>120555</v>
      </c>
      <c r="H550" s="74" t="s">
        <v>4345</v>
      </c>
    </row>
    <row r="551" spans="1:8" ht="18.75">
      <c r="A551" s="70">
        <v>12</v>
      </c>
      <c r="B551" s="70">
        <v>5</v>
      </c>
      <c r="C551" s="70">
        <v>56</v>
      </c>
      <c r="D551" s="71" t="s">
        <v>5823</v>
      </c>
      <c r="E551" s="72" t="s">
        <v>829</v>
      </c>
      <c r="F551" s="73" t="str">
        <f t="shared" si="42"/>
        <v>120556</v>
      </c>
      <c r="G551" s="72" t="str">
        <f t="shared" si="43"/>
        <v>120556</v>
      </c>
      <c r="H551" s="74" t="s">
        <v>5717</v>
      </c>
    </row>
    <row r="552" spans="1:8" ht="18.75">
      <c r="A552" s="70">
        <v>12</v>
      </c>
      <c r="B552" s="70">
        <v>5</v>
      </c>
      <c r="C552" s="70">
        <v>57</v>
      </c>
      <c r="D552" s="71" t="s">
        <v>5824</v>
      </c>
      <c r="E552" s="72" t="s">
        <v>829</v>
      </c>
      <c r="F552" s="73" t="str">
        <f t="shared" si="42"/>
        <v>120557</v>
      </c>
      <c r="G552" s="72" t="str">
        <f t="shared" si="43"/>
        <v>120557</v>
      </c>
      <c r="H552" s="74" t="s">
        <v>5825</v>
      </c>
    </row>
    <row r="553" spans="1:8" ht="18.75">
      <c r="A553" s="66">
        <v>12</v>
      </c>
      <c r="B553" s="66">
        <v>6</v>
      </c>
      <c r="C553" s="66">
        <v>0</v>
      </c>
      <c r="D553" s="67" t="s">
        <v>2968</v>
      </c>
      <c r="E553" s="68"/>
      <c r="F553" s="78"/>
      <c r="G553" s="79"/>
      <c r="H553" s="80"/>
    </row>
    <row r="554" spans="1:8" ht="18.75">
      <c r="A554" s="70">
        <v>12</v>
      </c>
      <c r="B554" s="70">
        <v>6</v>
      </c>
      <c r="C554" s="70">
        <v>11</v>
      </c>
      <c r="D554" s="71" t="s">
        <v>4346</v>
      </c>
      <c r="E554" s="72" t="s">
        <v>829</v>
      </c>
      <c r="F554" s="73" t="str">
        <f t="shared" ref="F554:F569" si="44">TEXT(A554,"00")&amp;TEXT(B554,"00")&amp;TEXT(C554,"00")</f>
        <v>120611</v>
      </c>
      <c r="G554" s="72" t="str">
        <f t="shared" ref="G554:G569" si="45">TEXT(F554,"000000")</f>
        <v>120611</v>
      </c>
      <c r="H554" s="74" t="s">
        <v>4347</v>
      </c>
    </row>
    <row r="555" spans="1:8" ht="18.75">
      <c r="A555" s="70">
        <v>12</v>
      </c>
      <c r="B555" s="70">
        <v>6</v>
      </c>
      <c r="C555" s="70">
        <v>12</v>
      </c>
      <c r="D555" s="71" t="s">
        <v>4348</v>
      </c>
      <c r="E555" s="72" t="s">
        <v>829</v>
      </c>
      <c r="F555" s="73" t="str">
        <f t="shared" si="44"/>
        <v>120612</v>
      </c>
      <c r="G555" s="72" t="str">
        <f t="shared" si="45"/>
        <v>120612</v>
      </c>
      <c r="H555" s="74" t="s">
        <v>4349</v>
      </c>
    </row>
    <row r="556" spans="1:8" ht="18.75">
      <c r="A556" s="70">
        <v>12</v>
      </c>
      <c r="B556" s="70">
        <v>6</v>
      </c>
      <c r="C556" s="70">
        <v>13</v>
      </c>
      <c r="D556" s="71" t="s">
        <v>4350</v>
      </c>
      <c r="E556" s="72" t="s">
        <v>829</v>
      </c>
      <c r="F556" s="73" t="str">
        <f t="shared" si="44"/>
        <v>120613</v>
      </c>
      <c r="G556" s="72" t="str">
        <f t="shared" si="45"/>
        <v>120613</v>
      </c>
      <c r="H556" s="74" t="s">
        <v>4351</v>
      </c>
    </row>
    <row r="557" spans="1:8" ht="18.75">
      <c r="A557" s="70">
        <v>12</v>
      </c>
      <c r="B557" s="70">
        <v>6</v>
      </c>
      <c r="C557" s="70">
        <v>14</v>
      </c>
      <c r="D557" s="71" t="s">
        <v>4352</v>
      </c>
      <c r="E557" s="72" t="s">
        <v>829</v>
      </c>
      <c r="F557" s="73" t="str">
        <f t="shared" si="44"/>
        <v>120614</v>
      </c>
      <c r="G557" s="72" t="str">
        <f t="shared" si="45"/>
        <v>120614</v>
      </c>
      <c r="H557" s="74" t="s">
        <v>4353</v>
      </c>
    </row>
    <row r="558" spans="1:8" ht="18.75">
      <c r="A558" s="70">
        <v>12</v>
      </c>
      <c r="B558" s="70">
        <v>6</v>
      </c>
      <c r="C558" s="70">
        <v>15</v>
      </c>
      <c r="D558" s="71" t="s">
        <v>4354</v>
      </c>
      <c r="E558" s="72" t="s">
        <v>829</v>
      </c>
      <c r="F558" s="73" t="str">
        <f t="shared" si="44"/>
        <v>120615</v>
      </c>
      <c r="G558" s="72" t="str">
        <f t="shared" si="45"/>
        <v>120615</v>
      </c>
      <c r="H558" s="74" t="s">
        <v>4355</v>
      </c>
    </row>
    <row r="559" spans="1:8" ht="18.75">
      <c r="A559" s="70">
        <v>12</v>
      </c>
      <c r="B559" s="70">
        <v>6</v>
      </c>
      <c r="C559" s="70">
        <v>16</v>
      </c>
      <c r="D559" s="71" t="s">
        <v>4356</v>
      </c>
      <c r="E559" s="72" t="s">
        <v>829</v>
      </c>
      <c r="F559" s="73" t="str">
        <f t="shared" si="44"/>
        <v>120616</v>
      </c>
      <c r="G559" s="72" t="str">
        <f t="shared" si="45"/>
        <v>120616</v>
      </c>
      <c r="H559" s="74" t="s">
        <v>4357</v>
      </c>
    </row>
    <row r="560" spans="1:8" ht="18.75">
      <c r="A560" s="70">
        <v>12</v>
      </c>
      <c r="B560" s="70">
        <v>6</v>
      </c>
      <c r="C560" s="70">
        <v>17</v>
      </c>
      <c r="D560" s="71" t="s">
        <v>4358</v>
      </c>
      <c r="E560" s="72" t="s">
        <v>829</v>
      </c>
      <c r="F560" s="73" t="str">
        <f t="shared" si="44"/>
        <v>120617</v>
      </c>
      <c r="G560" s="72" t="str">
        <f t="shared" si="45"/>
        <v>120617</v>
      </c>
      <c r="H560" s="74" t="s">
        <v>4359</v>
      </c>
    </row>
    <row r="561" spans="1:8" ht="18.75">
      <c r="A561" s="70">
        <v>12</v>
      </c>
      <c r="B561" s="70">
        <v>6</v>
      </c>
      <c r="C561" s="70">
        <v>18</v>
      </c>
      <c r="D561" s="71" t="s">
        <v>4360</v>
      </c>
      <c r="E561" s="72" t="s">
        <v>829</v>
      </c>
      <c r="F561" s="73" t="str">
        <f t="shared" si="44"/>
        <v>120618</v>
      </c>
      <c r="G561" s="72" t="str">
        <f t="shared" si="45"/>
        <v>120618</v>
      </c>
      <c r="H561" s="74" t="s">
        <v>4361</v>
      </c>
    </row>
    <row r="562" spans="1:8" ht="18.75">
      <c r="A562" s="70">
        <v>12</v>
      </c>
      <c r="B562" s="70">
        <v>6</v>
      </c>
      <c r="C562" s="70">
        <v>19</v>
      </c>
      <c r="D562" s="71" t="s">
        <v>4362</v>
      </c>
      <c r="E562" s="72" t="s">
        <v>829</v>
      </c>
      <c r="F562" s="73" t="str">
        <f t="shared" si="44"/>
        <v>120619</v>
      </c>
      <c r="G562" s="72" t="str">
        <f t="shared" si="45"/>
        <v>120619</v>
      </c>
      <c r="H562" s="74" t="s">
        <v>4363</v>
      </c>
    </row>
    <row r="563" spans="1:8" ht="18.75">
      <c r="A563" s="70">
        <v>12</v>
      </c>
      <c r="B563" s="70">
        <v>6</v>
      </c>
      <c r="C563" s="70">
        <v>20</v>
      </c>
      <c r="D563" s="71" t="s">
        <v>4364</v>
      </c>
      <c r="E563" s="72" t="s">
        <v>829</v>
      </c>
      <c r="F563" s="73" t="str">
        <f t="shared" si="44"/>
        <v>120620</v>
      </c>
      <c r="G563" s="72" t="str">
        <f t="shared" si="45"/>
        <v>120620</v>
      </c>
      <c r="H563" s="74" t="s">
        <v>4365</v>
      </c>
    </row>
    <row r="564" spans="1:8" ht="18.75">
      <c r="A564" s="70">
        <v>12</v>
      </c>
      <c r="B564" s="70">
        <v>6</v>
      </c>
      <c r="C564" s="70">
        <v>21</v>
      </c>
      <c r="D564" s="71" t="s">
        <v>4366</v>
      </c>
      <c r="E564" s="72" t="s">
        <v>829</v>
      </c>
      <c r="F564" s="73" t="str">
        <f t="shared" si="44"/>
        <v>120621</v>
      </c>
      <c r="G564" s="72" t="str">
        <f t="shared" si="45"/>
        <v>120621</v>
      </c>
      <c r="H564" s="74" t="s">
        <v>4367</v>
      </c>
    </row>
    <row r="565" spans="1:8" ht="18.75">
      <c r="A565" s="70">
        <v>12</v>
      </c>
      <c r="B565" s="70">
        <v>6</v>
      </c>
      <c r="C565" s="70">
        <v>22</v>
      </c>
      <c r="D565" s="71" t="s">
        <v>4368</v>
      </c>
      <c r="E565" s="72" t="s">
        <v>829</v>
      </c>
      <c r="F565" s="73" t="str">
        <f t="shared" si="44"/>
        <v>120622</v>
      </c>
      <c r="G565" s="72" t="str">
        <f t="shared" si="45"/>
        <v>120622</v>
      </c>
      <c r="H565" s="74" t="s">
        <v>4369</v>
      </c>
    </row>
    <row r="566" spans="1:8" ht="18.75">
      <c r="A566" s="70">
        <v>12</v>
      </c>
      <c r="B566" s="70">
        <v>6</v>
      </c>
      <c r="C566" s="70">
        <v>23</v>
      </c>
      <c r="D566" s="71" t="s">
        <v>4370</v>
      </c>
      <c r="E566" s="72" t="s">
        <v>829</v>
      </c>
      <c r="F566" s="73" t="str">
        <f t="shared" si="44"/>
        <v>120623</v>
      </c>
      <c r="G566" s="72" t="str">
        <f t="shared" si="45"/>
        <v>120623</v>
      </c>
      <c r="H566" s="74" t="s">
        <v>5489</v>
      </c>
    </row>
    <row r="567" spans="1:8" ht="18.75">
      <c r="A567" s="70">
        <v>12</v>
      </c>
      <c r="B567" s="70">
        <v>6</v>
      </c>
      <c r="C567" s="70">
        <v>24</v>
      </c>
      <c r="D567" s="71" t="s">
        <v>5490</v>
      </c>
      <c r="E567" s="72" t="s">
        <v>829</v>
      </c>
      <c r="F567" s="73" t="str">
        <f t="shared" si="44"/>
        <v>120624</v>
      </c>
      <c r="G567" s="72" t="str">
        <f t="shared" si="45"/>
        <v>120624</v>
      </c>
      <c r="H567" s="74" t="s">
        <v>5491</v>
      </c>
    </row>
    <row r="568" spans="1:8" ht="18.75">
      <c r="A568" s="70">
        <v>12</v>
      </c>
      <c r="B568" s="70">
        <v>6</v>
      </c>
      <c r="C568" s="70">
        <v>25</v>
      </c>
      <c r="D568" s="71" t="s">
        <v>5492</v>
      </c>
      <c r="E568" s="72" t="s">
        <v>829</v>
      </c>
      <c r="F568" s="73" t="str">
        <f t="shared" si="44"/>
        <v>120625</v>
      </c>
      <c r="G568" s="72" t="str">
        <f t="shared" si="45"/>
        <v>120625</v>
      </c>
      <c r="H568" s="74" t="s">
        <v>5493</v>
      </c>
    </row>
    <row r="569" spans="1:8" ht="18.75">
      <c r="A569" s="70">
        <v>12</v>
      </c>
      <c r="B569" s="70">
        <v>6</v>
      </c>
      <c r="C569" s="70">
        <v>26</v>
      </c>
      <c r="D569" s="71" t="s">
        <v>5494</v>
      </c>
      <c r="E569" s="72" t="s">
        <v>829</v>
      </c>
      <c r="F569" s="73" t="str">
        <f t="shared" si="44"/>
        <v>120626</v>
      </c>
      <c r="G569" s="72" t="str">
        <f t="shared" si="45"/>
        <v>120626</v>
      </c>
      <c r="H569" s="74" t="s">
        <v>5495</v>
      </c>
    </row>
    <row r="570" spans="1:8" ht="18.75">
      <c r="A570" s="66">
        <v>12</v>
      </c>
      <c r="B570" s="66">
        <v>7</v>
      </c>
      <c r="C570" s="66">
        <v>0</v>
      </c>
      <c r="D570" s="67" t="s">
        <v>2857</v>
      </c>
      <c r="E570" s="68"/>
      <c r="F570" s="78"/>
      <c r="G570" s="79"/>
      <c r="H570" s="80"/>
    </row>
    <row r="571" spans="1:8" ht="18.75">
      <c r="A571" s="70">
        <v>12</v>
      </c>
      <c r="B571" s="70">
        <v>7</v>
      </c>
      <c r="C571" s="70">
        <v>1</v>
      </c>
      <c r="D571" s="71" t="s">
        <v>4371</v>
      </c>
      <c r="E571" s="72" t="s">
        <v>829</v>
      </c>
      <c r="F571" s="73" t="str">
        <f t="shared" ref="F571:F595" si="46">TEXT(A571,"00")&amp;TEXT(B571,"00")&amp;TEXT(C571,"00")</f>
        <v>120701</v>
      </c>
      <c r="G571" s="72" t="str">
        <f t="shared" ref="G571:G595" si="47">TEXT(F571,"000000")</f>
        <v>120701</v>
      </c>
      <c r="H571" s="74" t="s">
        <v>4372</v>
      </c>
    </row>
    <row r="572" spans="1:8" ht="18.75">
      <c r="A572" s="70">
        <v>12</v>
      </c>
      <c r="B572" s="70">
        <v>7</v>
      </c>
      <c r="C572" s="70">
        <v>2</v>
      </c>
      <c r="D572" s="71" t="s">
        <v>4373</v>
      </c>
      <c r="E572" s="72" t="s">
        <v>829</v>
      </c>
      <c r="F572" s="73" t="str">
        <f t="shared" si="46"/>
        <v>120702</v>
      </c>
      <c r="G572" s="72" t="str">
        <f t="shared" si="47"/>
        <v>120702</v>
      </c>
      <c r="H572" s="74" t="s">
        <v>4374</v>
      </c>
    </row>
    <row r="573" spans="1:8" ht="18.75">
      <c r="A573" s="70">
        <v>12</v>
      </c>
      <c r="B573" s="70">
        <v>7</v>
      </c>
      <c r="C573" s="70">
        <v>3</v>
      </c>
      <c r="D573" s="71" t="s">
        <v>594</v>
      </c>
      <c r="E573" s="72" t="s">
        <v>829</v>
      </c>
      <c r="F573" s="73" t="str">
        <f t="shared" si="46"/>
        <v>120703</v>
      </c>
      <c r="G573" s="72" t="str">
        <f t="shared" si="47"/>
        <v>120703</v>
      </c>
      <c r="H573" s="74" t="s">
        <v>4375</v>
      </c>
    </row>
    <row r="574" spans="1:8" ht="18.75">
      <c r="A574" s="70">
        <v>12</v>
      </c>
      <c r="B574" s="70">
        <v>7</v>
      </c>
      <c r="C574" s="70">
        <v>51</v>
      </c>
      <c r="D574" s="71" t="s">
        <v>5496</v>
      </c>
      <c r="E574" s="72" t="s">
        <v>829</v>
      </c>
      <c r="F574" s="73" t="str">
        <f t="shared" si="46"/>
        <v>120751</v>
      </c>
      <c r="G574" s="72" t="str">
        <f t="shared" si="47"/>
        <v>120751</v>
      </c>
      <c r="H574" s="74" t="s">
        <v>4376</v>
      </c>
    </row>
    <row r="575" spans="1:8" ht="18.75">
      <c r="A575" s="70">
        <v>12</v>
      </c>
      <c r="B575" s="70">
        <v>7</v>
      </c>
      <c r="C575" s="70">
        <v>61</v>
      </c>
      <c r="D575" s="71" t="s">
        <v>3143</v>
      </c>
      <c r="E575" s="72" t="s">
        <v>829</v>
      </c>
      <c r="F575" s="73" t="str">
        <f t="shared" si="46"/>
        <v>120761</v>
      </c>
      <c r="G575" s="72" t="str">
        <f t="shared" si="47"/>
        <v>120761</v>
      </c>
      <c r="H575" s="74" t="s">
        <v>4377</v>
      </c>
    </row>
    <row r="576" spans="1:8" ht="18.75">
      <c r="A576" s="70">
        <v>12</v>
      </c>
      <c r="B576" s="70">
        <v>7</v>
      </c>
      <c r="C576" s="70">
        <v>62</v>
      </c>
      <c r="D576" s="71" t="s">
        <v>3663</v>
      </c>
      <c r="E576" s="72" t="s">
        <v>4049</v>
      </c>
      <c r="F576" s="73" t="str">
        <f t="shared" si="46"/>
        <v>120762</v>
      </c>
      <c r="G576" s="72" t="str">
        <f t="shared" si="47"/>
        <v>120762</v>
      </c>
      <c r="H576" s="74" t="s">
        <v>4378</v>
      </c>
    </row>
    <row r="577" spans="1:8" ht="18.75">
      <c r="A577" s="70">
        <v>12</v>
      </c>
      <c r="B577" s="70">
        <v>7</v>
      </c>
      <c r="C577" s="70">
        <v>71</v>
      </c>
      <c r="D577" s="71" t="s">
        <v>678</v>
      </c>
      <c r="E577" s="72" t="s">
        <v>829</v>
      </c>
      <c r="F577" s="73" t="str">
        <f t="shared" si="46"/>
        <v>120771</v>
      </c>
      <c r="G577" s="72" t="str">
        <f t="shared" si="47"/>
        <v>120771</v>
      </c>
      <c r="H577" s="74" t="s">
        <v>4379</v>
      </c>
    </row>
    <row r="578" spans="1:8" ht="18.75">
      <c r="A578" s="70">
        <v>12</v>
      </c>
      <c r="B578" s="70">
        <v>7</v>
      </c>
      <c r="C578" s="70">
        <v>72</v>
      </c>
      <c r="D578" s="71" t="s">
        <v>3683</v>
      </c>
      <c r="E578" s="72" t="s">
        <v>829</v>
      </c>
      <c r="F578" s="73" t="str">
        <f t="shared" si="46"/>
        <v>120772</v>
      </c>
      <c r="G578" s="72" t="str">
        <f t="shared" si="47"/>
        <v>120772</v>
      </c>
      <c r="H578" s="74" t="s">
        <v>4380</v>
      </c>
    </row>
    <row r="579" spans="1:8" ht="18.75">
      <c r="A579" s="70">
        <v>12</v>
      </c>
      <c r="B579" s="70">
        <v>7</v>
      </c>
      <c r="C579" s="70">
        <v>81</v>
      </c>
      <c r="D579" s="71" t="s">
        <v>3146</v>
      </c>
      <c r="E579" s="72" t="s">
        <v>829</v>
      </c>
      <c r="F579" s="73" t="str">
        <f t="shared" si="46"/>
        <v>120781</v>
      </c>
      <c r="G579" s="72" t="str">
        <f t="shared" si="47"/>
        <v>120781</v>
      </c>
      <c r="H579" s="74" t="s">
        <v>4381</v>
      </c>
    </row>
    <row r="580" spans="1:8" ht="18.75">
      <c r="A580" s="70">
        <v>12</v>
      </c>
      <c r="B580" s="70">
        <v>7</v>
      </c>
      <c r="C580" s="70">
        <v>82</v>
      </c>
      <c r="D580" s="71" t="s">
        <v>3145</v>
      </c>
      <c r="E580" s="72" t="s">
        <v>829</v>
      </c>
      <c r="F580" s="73" t="str">
        <f t="shared" si="46"/>
        <v>120782</v>
      </c>
      <c r="G580" s="72" t="str">
        <f t="shared" si="47"/>
        <v>120782</v>
      </c>
      <c r="H580" s="74" t="s">
        <v>4382</v>
      </c>
    </row>
    <row r="581" spans="1:8" ht="18.75">
      <c r="A581" s="70">
        <v>12</v>
      </c>
      <c r="B581" s="70">
        <v>7</v>
      </c>
      <c r="C581" s="70">
        <v>83</v>
      </c>
      <c r="D581" s="71" t="s">
        <v>3144</v>
      </c>
      <c r="E581" s="72" t="s">
        <v>829</v>
      </c>
      <c r="F581" s="73" t="str">
        <f t="shared" si="46"/>
        <v>120783</v>
      </c>
      <c r="G581" s="72" t="str">
        <f t="shared" si="47"/>
        <v>120783</v>
      </c>
      <c r="H581" s="74" t="s">
        <v>4383</v>
      </c>
    </row>
    <row r="582" spans="1:8" ht="18.75">
      <c r="A582" s="70">
        <v>12</v>
      </c>
      <c r="B582" s="70">
        <v>7</v>
      </c>
      <c r="C582" s="70">
        <v>84</v>
      </c>
      <c r="D582" s="71" t="s">
        <v>3656</v>
      </c>
      <c r="E582" s="72" t="s">
        <v>829</v>
      </c>
      <c r="F582" s="73" t="str">
        <f t="shared" si="46"/>
        <v>120784</v>
      </c>
      <c r="G582" s="72" t="str">
        <f t="shared" si="47"/>
        <v>120784</v>
      </c>
      <c r="H582" s="74" t="s">
        <v>4384</v>
      </c>
    </row>
    <row r="583" spans="1:8" ht="18.75">
      <c r="A583" s="70">
        <v>12</v>
      </c>
      <c r="B583" s="70">
        <v>7</v>
      </c>
      <c r="C583" s="70">
        <v>85</v>
      </c>
      <c r="D583" s="71" t="s">
        <v>3790</v>
      </c>
      <c r="E583" s="72" t="s">
        <v>829</v>
      </c>
      <c r="F583" s="73" t="str">
        <f t="shared" si="46"/>
        <v>120785</v>
      </c>
      <c r="G583" s="72" t="str">
        <f t="shared" si="47"/>
        <v>120785</v>
      </c>
      <c r="H583" s="74" t="s">
        <v>4385</v>
      </c>
    </row>
    <row r="584" spans="1:8" ht="18.75">
      <c r="A584" s="70">
        <v>12</v>
      </c>
      <c r="B584" s="70">
        <v>7</v>
      </c>
      <c r="C584" s="70">
        <v>86</v>
      </c>
      <c r="D584" s="71" t="s">
        <v>3791</v>
      </c>
      <c r="E584" s="72" t="s">
        <v>829</v>
      </c>
      <c r="F584" s="73" t="str">
        <f t="shared" si="46"/>
        <v>120786</v>
      </c>
      <c r="G584" s="72" t="str">
        <f t="shared" si="47"/>
        <v>120786</v>
      </c>
      <c r="H584" s="74" t="s">
        <v>4386</v>
      </c>
    </row>
    <row r="585" spans="1:8" ht="18.75">
      <c r="A585" s="70">
        <v>12</v>
      </c>
      <c r="B585" s="70">
        <v>7</v>
      </c>
      <c r="C585" s="70">
        <v>87</v>
      </c>
      <c r="D585" s="71" t="s">
        <v>4387</v>
      </c>
      <c r="E585" s="72" t="s">
        <v>829</v>
      </c>
      <c r="F585" s="73" t="str">
        <f t="shared" si="46"/>
        <v>120787</v>
      </c>
      <c r="G585" s="72" t="str">
        <f t="shared" si="47"/>
        <v>120787</v>
      </c>
      <c r="H585" s="74" t="s">
        <v>4388</v>
      </c>
    </row>
    <row r="586" spans="1:8" ht="18.75">
      <c r="A586" s="70">
        <v>12</v>
      </c>
      <c r="B586" s="70">
        <v>7</v>
      </c>
      <c r="C586" s="70">
        <v>88</v>
      </c>
      <c r="D586" s="71" t="s">
        <v>4389</v>
      </c>
      <c r="E586" s="72" t="s">
        <v>829</v>
      </c>
      <c r="F586" s="73" t="str">
        <f t="shared" si="46"/>
        <v>120788</v>
      </c>
      <c r="G586" s="72" t="str">
        <f t="shared" si="47"/>
        <v>120788</v>
      </c>
      <c r="H586" s="74" t="s">
        <v>4390</v>
      </c>
    </row>
    <row r="587" spans="1:8" ht="18.75">
      <c r="A587" s="70">
        <v>12</v>
      </c>
      <c r="B587" s="70">
        <v>7</v>
      </c>
      <c r="C587" s="70">
        <v>89</v>
      </c>
      <c r="D587" s="71" t="s">
        <v>4391</v>
      </c>
      <c r="E587" s="72" t="s">
        <v>829</v>
      </c>
      <c r="F587" s="73" t="str">
        <f t="shared" si="46"/>
        <v>120789</v>
      </c>
      <c r="G587" s="72" t="str">
        <f t="shared" si="47"/>
        <v>120789</v>
      </c>
      <c r="H587" s="74" t="s">
        <v>4392</v>
      </c>
    </row>
    <row r="588" spans="1:8" ht="18.75">
      <c r="A588" s="70">
        <v>12</v>
      </c>
      <c r="B588" s="70">
        <v>7</v>
      </c>
      <c r="C588" s="70">
        <v>90</v>
      </c>
      <c r="D588" s="71" t="s">
        <v>4393</v>
      </c>
      <c r="E588" s="72" t="s">
        <v>829</v>
      </c>
      <c r="F588" s="73" t="str">
        <f t="shared" si="46"/>
        <v>120790</v>
      </c>
      <c r="G588" s="72" t="str">
        <f t="shared" si="47"/>
        <v>120790</v>
      </c>
      <c r="H588" s="74" t="s">
        <v>4394</v>
      </c>
    </row>
    <row r="589" spans="1:8" ht="18.75">
      <c r="A589" s="70">
        <v>12</v>
      </c>
      <c r="B589" s="70">
        <v>7</v>
      </c>
      <c r="C589" s="70">
        <v>91</v>
      </c>
      <c r="D589" s="71" t="s">
        <v>5826</v>
      </c>
      <c r="E589" s="72" t="s">
        <v>829</v>
      </c>
      <c r="F589" s="73" t="str">
        <f t="shared" si="46"/>
        <v>120791</v>
      </c>
      <c r="G589" s="72" t="str">
        <f t="shared" si="47"/>
        <v>120791</v>
      </c>
      <c r="H589" s="74" t="s">
        <v>5827</v>
      </c>
    </row>
    <row r="590" spans="1:8" ht="18.75">
      <c r="A590" s="70">
        <v>12</v>
      </c>
      <c r="B590" s="70">
        <v>7</v>
      </c>
      <c r="C590" s="70">
        <v>92</v>
      </c>
      <c r="D590" s="71" t="s">
        <v>5828</v>
      </c>
      <c r="E590" s="72" t="s">
        <v>829</v>
      </c>
      <c r="F590" s="73" t="str">
        <f t="shared" si="46"/>
        <v>120792</v>
      </c>
      <c r="G590" s="72" t="str">
        <f t="shared" si="47"/>
        <v>120792</v>
      </c>
      <c r="H590" s="74" t="s">
        <v>5829</v>
      </c>
    </row>
    <row r="591" spans="1:8" ht="18.75">
      <c r="A591" s="70">
        <v>12</v>
      </c>
      <c r="B591" s="70">
        <v>7</v>
      </c>
      <c r="C591" s="70">
        <v>93</v>
      </c>
      <c r="D591" s="71" t="s">
        <v>5830</v>
      </c>
      <c r="E591" s="72" t="s">
        <v>829</v>
      </c>
      <c r="F591" s="73" t="str">
        <f t="shared" si="46"/>
        <v>120793</v>
      </c>
      <c r="G591" s="72" t="str">
        <f t="shared" si="47"/>
        <v>120793</v>
      </c>
      <c r="H591" s="74" t="s">
        <v>5831</v>
      </c>
    </row>
    <row r="592" spans="1:8" ht="18.75">
      <c r="A592" s="70">
        <v>12</v>
      </c>
      <c r="B592" s="70">
        <v>7</v>
      </c>
      <c r="C592" s="70">
        <v>94</v>
      </c>
      <c r="D592" s="71" t="s">
        <v>5937</v>
      </c>
      <c r="E592" s="72" t="s">
        <v>829</v>
      </c>
      <c r="F592" s="73" t="str">
        <f t="shared" si="46"/>
        <v>120794</v>
      </c>
      <c r="G592" s="72" t="str">
        <f t="shared" si="47"/>
        <v>120794</v>
      </c>
      <c r="H592" s="74" t="s">
        <v>5938</v>
      </c>
    </row>
    <row r="593" spans="1:8" ht="18.75">
      <c r="A593" s="70">
        <v>12</v>
      </c>
      <c r="B593" s="70">
        <v>7</v>
      </c>
      <c r="C593" s="70">
        <v>95</v>
      </c>
      <c r="D593" s="71" t="s">
        <v>5939</v>
      </c>
      <c r="E593" s="72" t="s">
        <v>829</v>
      </c>
      <c r="F593" s="73" t="str">
        <f t="shared" si="46"/>
        <v>120795</v>
      </c>
      <c r="G593" s="72" t="str">
        <f t="shared" si="47"/>
        <v>120795</v>
      </c>
      <c r="H593" s="74" t="s">
        <v>5940</v>
      </c>
    </row>
    <row r="594" spans="1:8" ht="18.75">
      <c r="A594" s="70">
        <v>12</v>
      </c>
      <c r="B594" s="70">
        <v>7</v>
      </c>
      <c r="C594" s="70">
        <v>96</v>
      </c>
      <c r="D594" s="71" t="s">
        <v>5941</v>
      </c>
      <c r="E594" s="72" t="s">
        <v>829</v>
      </c>
      <c r="F594" s="73" t="str">
        <f t="shared" si="46"/>
        <v>120796</v>
      </c>
      <c r="G594" s="72" t="str">
        <f t="shared" si="47"/>
        <v>120796</v>
      </c>
      <c r="H594" s="74" t="s">
        <v>5942</v>
      </c>
    </row>
    <row r="595" spans="1:8" ht="18.75">
      <c r="A595" s="70">
        <v>12</v>
      </c>
      <c r="B595" s="70">
        <v>7</v>
      </c>
      <c r="C595" s="70">
        <v>97</v>
      </c>
      <c r="D595" s="71" t="s">
        <v>5943</v>
      </c>
      <c r="E595" s="72" t="s">
        <v>829</v>
      </c>
      <c r="F595" s="73" t="str">
        <f t="shared" si="46"/>
        <v>120797</v>
      </c>
      <c r="G595" s="72" t="str">
        <f t="shared" si="47"/>
        <v>120797</v>
      </c>
      <c r="H595" s="74" t="s">
        <v>5944</v>
      </c>
    </row>
    <row r="596" spans="1:8" ht="18.75">
      <c r="A596" s="66">
        <v>12</v>
      </c>
      <c r="B596" s="66">
        <v>8</v>
      </c>
      <c r="C596" s="66">
        <v>0</v>
      </c>
      <c r="D596" s="67" t="s">
        <v>5718</v>
      </c>
      <c r="E596" s="68"/>
      <c r="F596" s="78"/>
      <c r="G596" s="79"/>
      <c r="H596" s="80"/>
    </row>
    <row r="597" spans="1:8" ht="18.75">
      <c r="A597" s="70">
        <v>12</v>
      </c>
      <c r="B597" s="70">
        <v>8</v>
      </c>
      <c r="C597" s="70">
        <v>1</v>
      </c>
      <c r="D597" s="71" t="s">
        <v>5719</v>
      </c>
      <c r="E597" s="72" t="s">
        <v>829</v>
      </c>
      <c r="F597" s="73" t="str">
        <f>TEXT(A597,"00")&amp;TEXT(B597,"00")&amp;TEXT(C597,"00")</f>
        <v>120801</v>
      </c>
      <c r="G597" s="72" t="str">
        <f>TEXT(F597,"000000")</f>
        <v>120801</v>
      </c>
      <c r="H597" s="74" t="s">
        <v>5720</v>
      </c>
    </row>
    <row r="598" spans="1:8" ht="18.75">
      <c r="A598" s="70">
        <v>12</v>
      </c>
      <c r="B598" s="70">
        <v>8</v>
      </c>
      <c r="C598" s="70">
        <v>2</v>
      </c>
      <c r="D598" s="71" t="s">
        <v>5721</v>
      </c>
      <c r="E598" s="72" t="s">
        <v>829</v>
      </c>
      <c r="F598" s="73" t="str">
        <f>TEXT(A598,"00")&amp;TEXT(B598,"00")&amp;TEXT(C598,"00")</f>
        <v>120802</v>
      </c>
      <c r="G598" s="72" t="str">
        <f>TEXT(F598,"000000")</f>
        <v>120802</v>
      </c>
      <c r="H598" s="74" t="s">
        <v>5722</v>
      </c>
    </row>
    <row r="599" spans="1:8" ht="18.75">
      <c r="A599" s="70">
        <v>12</v>
      </c>
      <c r="B599" s="70">
        <v>8</v>
      </c>
      <c r="C599" s="70">
        <v>3</v>
      </c>
      <c r="D599" s="71" t="s">
        <v>5716</v>
      </c>
      <c r="E599" s="72" t="s">
        <v>829</v>
      </c>
      <c r="F599" s="73" t="str">
        <f>TEXT(A599,"00")&amp;TEXT(B599,"00")&amp;TEXT(C599,"00")</f>
        <v>120803</v>
      </c>
      <c r="G599" s="72" t="str">
        <f>TEXT(F599,"000000")</f>
        <v>120803</v>
      </c>
      <c r="H599" s="74" t="s">
        <v>5832</v>
      </c>
    </row>
    <row r="600" spans="1:8" ht="18.75">
      <c r="A600" s="70">
        <v>12</v>
      </c>
      <c r="B600" s="70">
        <v>8</v>
      </c>
      <c r="C600" s="70">
        <v>4</v>
      </c>
      <c r="D600" s="71" t="s">
        <v>5945</v>
      </c>
      <c r="E600" s="72" t="s">
        <v>829</v>
      </c>
      <c r="F600" s="73" t="str">
        <f>TEXT(A600,"00")&amp;TEXT(B600,"00")&amp;TEXT(C600,"00")</f>
        <v>120804</v>
      </c>
      <c r="G600" s="72" t="str">
        <f>TEXT(F600,"000000")</f>
        <v>120804</v>
      </c>
      <c r="H600" s="74" t="s">
        <v>5946</v>
      </c>
    </row>
    <row r="601" spans="1:8" ht="18.75">
      <c r="A601" s="62">
        <v>13</v>
      </c>
      <c r="B601" s="62">
        <v>0</v>
      </c>
      <c r="C601" s="62">
        <v>0</v>
      </c>
      <c r="D601" s="63" t="s">
        <v>5833</v>
      </c>
      <c r="E601" s="64"/>
      <c r="F601" s="75"/>
      <c r="G601" s="76"/>
      <c r="H601" s="77"/>
    </row>
    <row r="602" spans="1:8" ht="18.75">
      <c r="A602" s="66">
        <v>13</v>
      </c>
      <c r="B602" s="66">
        <v>1</v>
      </c>
      <c r="C602" s="66">
        <v>0</v>
      </c>
      <c r="D602" s="67" t="s">
        <v>5833</v>
      </c>
      <c r="E602" s="68"/>
      <c r="F602" s="78"/>
      <c r="G602" s="79"/>
      <c r="H602" s="80"/>
    </row>
    <row r="603" spans="1:8" ht="18.75">
      <c r="A603" s="70">
        <v>13</v>
      </c>
      <c r="B603" s="70">
        <v>1</v>
      </c>
      <c r="C603" s="70">
        <v>1</v>
      </c>
      <c r="D603" s="71" t="s">
        <v>5834</v>
      </c>
      <c r="E603" s="72" t="s">
        <v>5835</v>
      </c>
      <c r="F603" s="73" t="str">
        <f t="shared" ref="F603:F606" si="48">TEXT(A603,"00")&amp;TEXT(B603,"00")&amp;TEXT(C603,"00")</f>
        <v>130101</v>
      </c>
      <c r="G603" s="72" t="str">
        <f t="shared" ref="G603:G606" si="49">TEXT(F603,"000000")</f>
        <v>130101</v>
      </c>
      <c r="H603" s="74" t="s">
        <v>5836</v>
      </c>
    </row>
    <row r="604" spans="1:8" ht="18.75">
      <c r="A604" s="70">
        <v>13</v>
      </c>
      <c r="B604" s="70">
        <v>1</v>
      </c>
      <c r="C604" s="70">
        <v>2</v>
      </c>
      <c r="D604" s="71" t="s">
        <v>5837</v>
      </c>
      <c r="E604" s="72" t="s">
        <v>829</v>
      </c>
      <c r="F604" s="73" t="str">
        <f t="shared" si="48"/>
        <v>130102</v>
      </c>
      <c r="G604" s="72" t="str">
        <f t="shared" si="49"/>
        <v>130102</v>
      </c>
      <c r="H604" s="74" t="s">
        <v>5838</v>
      </c>
    </row>
    <row r="605" spans="1:8" ht="18.75">
      <c r="A605" s="70">
        <v>13</v>
      </c>
      <c r="B605" s="70">
        <v>1</v>
      </c>
      <c r="C605" s="70">
        <v>3</v>
      </c>
      <c r="D605" s="71" t="s">
        <v>5839</v>
      </c>
      <c r="E605" s="72" t="s">
        <v>4727</v>
      </c>
      <c r="F605" s="73" t="str">
        <f t="shared" si="48"/>
        <v>130103</v>
      </c>
      <c r="G605" s="72" t="str">
        <f t="shared" si="49"/>
        <v>130103</v>
      </c>
      <c r="H605" s="74" t="s">
        <v>5840</v>
      </c>
    </row>
    <row r="606" spans="1:8" ht="18.75">
      <c r="A606" s="70">
        <v>13</v>
      </c>
      <c r="B606" s="70">
        <v>1</v>
      </c>
      <c r="C606" s="70">
        <v>4</v>
      </c>
      <c r="D606" s="71" t="s">
        <v>5841</v>
      </c>
      <c r="E606" s="72" t="s">
        <v>4727</v>
      </c>
      <c r="F606" s="73" t="str">
        <f t="shared" si="48"/>
        <v>130104</v>
      </c>
      <c r="G606" s="72" t="str">
        <f t="shared" si="49"/>
        <v>130104</v>
      </c>
      <c r="H606" s="74" t="s">
        <v>5842</v>
      </c>
    </row>
    <row r="607" spans="1:8" ht="18.75">
      <c r="A607" s="62">
        <v>17</v>
      </c>
      <c r="B607" s="62">
        <v>0</v>
      </c>
      <c r="C607" s="62">
        <v>0</v>
      </c>
      <c r="D607" s="63" t="s">
        <v>5497</v>
      </c>
      <c r="E607" s="64"/>
      <c r="F607" s="75"/>
      <c r="G607" s="76"/>
      <c r="H607" s="77"/>
    </row>
    <row r="608" spans="1:8" ht="18.75">
      <c r="A608" s="66">
        <v>17</v>
      </c>
      <c r="B608" s="66">
        <v>1</v>
      </c>
      <c r="C608" s="66">
        <v>0</v>
      </c>
      <c r="D608" s="67" t="s">
        <v>5498</v>
      </c>
      <c r="E608" s="68"/>
      <c r="F608" s="78"/>
      <c r="G608" s="79"/>
      <c r="H608" s="80"/>
    </row>
    <row r="609" spans="1:8" ht="18.75">
      <c r="A609" s="70">
        <v>17</v>
      </c>
      <c r="B609" s="70">
        <v>1</v>
      </c>
      <c r="C609" s="70">
        <v>11</v>
      </c>
      <c r="D609" s="71" t="s">
        <v>42</v>
      </c>
      <c r="E609" s="72" t="s">
        <v>829</v>
      </c>
      <c r="F609" s="73" t="str">
        <f>TEXT(A609,"00")&amp;TEXT(B609,"00")&amp;TEXT(C609,"00")</f>
        <v>170111</v>
      </c>
      <c r="G609" s="72" t="str">
        <f>TEXT(F609,"000000")</f>
        <v>170111</v>
      </c>
      <c r="H609" s="74" t="s">
        <v>4395</v>
      </c>
    </row>
    <row r="610" spans="1:8" ht="18.75">
      <c r="A610" s="70">
        <v>17</v>
      </c>
      <c r="B610" s="70">
        <v>1</v>
      </c>
      <c r="C610" s="70">
        <v>21</v>
      </c>
      <c r="D610" s="71" t="s">
        <v>43</v>
      </c>
      <c r="E610" s="72" t="s">
        <v>829</v>
      </c>
      <c r="F610" s="73" t="str">
        <f>TEXT(A610,"00")&amp;TEXT(B610,"00")&amp;TEXT(C610,"00")</f>
        <v>170121</v>
      </c>
      <c r="G610" s="72" t="str">
        <f>TEXT(F610,"000000")</f>
        <v>170121</v>
      </c>
      <c r="H610" s="74" t="s">
        <v>4396</v>
      </c>
    </row>
    <row r="611" spans="1:8" ht="18.75">
      <c r="A611" s="66">
        <v>17</v>
      </c>
      <c r="B611" s="66">
        <v>2</v>
      </c>
      <c r="C611" s="66">
        <v>0</v>
      </c>
      <c r="D611" s="67" t="s">
        <v>2859</v>
      </c>
      <c r="E611" s="68"/>
      <c r="F611" s="78"/>
      <c r="G611" s="79"/>
      <c r="H611" s="80"/>
    </row>
    <row r="612" spans="1:8" ht="18.75">
      <c r="A612" s="70">
        <v>17</v>
      </c>
      <c r="B612" s="70">
        <v>2</v>
      </c>
      <c r="C612" s="70">
        <v>11</v>
      </c>
      <c r="D612" s="71" t="s">
        <v>3147</v>
      </c>
      <c r="E612" s="72" t="s">
        <v>829</v>
      </c>
      <c r="F612" s="73" t="str">
        <f>TEXT(A612,"00")&amp;TEXT(B612,"00")&amp;TEXT(C612,"00")</f>
        <v>170211</v>
      </c>
      <c r="G612" s="72" t="str">
        <f>TEXT(F612,"000000")</f>
        <v>170211</v>
      </c>
      <c r="H612" s="74" t="s">
        <v>4397</v>
      </c>
    </row>
    <row r="613" spans="1:8" ht="18.75">
      <c r="A613" s="70">
        <v>17</v>
      </c>
      <c r="B613" s="70">
        <v>2</v>
      </c>
      <c r="C613" s="70">
        <v>21</v>
      </c>
      <c r="D613" s="71" t="s">
        <v>44</v>
      </c>
      <c r="E613" s="72" t="s">
        <v>829</v>
      </c>
      <c r="F613" s="73" t="str">
        <f>TEXT(A613,"00")&amp;TEXT(B613,"00")&amp;TEXT(C613,"00")</f>
        <v>170221</v>
      </c>
      <c r="G613" s="72" t="str">
        <f>TEXT(F613,"000000")</f>
        <v>170221</v>
      </c>
      <c r="H613" s="74" t="s">
        <v>4398</v>
      </c>
    </row>
    <row r="614" spans="1:8" ht="18.75">
      <c r="A614" s="70">
        <v>17</v>
      </c>
      <c r="B614" s="70">
        <v>2</v>
      </c>
      <c r="C614" s="70">
        <v>31</v>
      </c>
      <c r="D614" s="71" t="s">
        <v>45</v>
      </c>
      <c r="E614" s="72" t="s">
        <v>829</v>
      </c>
      <c r="F614" s="73" t="str">
        <f>TEXT(A614,"00")&amp;TEXT(B614,"00")&amp;TEXT(C614,"00")</f>
        <v>170231</v>
      </c>
      <c r="G614" s="72" t="str">
        <f>TEXT(F614,"000000")</f>
        <v>170231</v>
      </c>
      <c r="H614" s="74" t="s">
        <v>4399</v>
      </c>
    </row>
    <row r="615" spans="1:8" ht="18.75">
      <c r="A615" s="70">
        <v>17</v>
      </c>
      <c r="B615" s="70">
        <v>2</v>
      </c>
      <c r="C615" s="70">
        <v>32</v>
      </c>
      <c r="D615" s="71" t="s">
        <v>5947</v>
      </c>
      <c r="E615" s="72" t="s">
        <v>829</v>
      </c>
      <c r="F615" s="73" t="str">
        <f>TEXT(A615,"00")&amp;TEXT(B615,"00")&amp;TEXT(C615,"00")</f>
        <v>170232</v>
      </c>
      <c r="G615" s="72" t="str">
        <f>TEXT(F615,"000000")</f>
        <v>170232</v>
      </c>
      <c r="H615" s="74" t="s">
        <v>5948</v>
      </c>
    </row>
    <row r="616" spans="1:8" ht="18.75">
      <c r="A616" s="62">
        <v>18</v>
      </c>
      <c r="B616" s="62">
        <v>0</v>
      </c>
      <c r="C616" s="62">
        <v>0</v>
      </c>
      <c r="D616" s="63" t="s">
        <v>2858</v>
      </c>
      <c r="E616" s="64"/>
      <c r="F616" s="75"/>
      <c r="G616" s="76"/>
      <c r="H616" s="77"/>
    </row>
    <row r="617" spans="1:8" ht="18.75">
      <c r="A617" s="66">
        <v>18</v>
      </c>
      <c r="B617" s="66">
        <v>1</v>
      </c>
      <c r="C617" s="66">
        <v>0</v>
      </c>
      <c r="D617" s="67" t="s">
        <v>2858</v>
      </c>
      <c r="E617" s="68"/>
      <c r="F617" s="78"/>
      <c r="G617" s="79"/>
      <c r="H617" s="80"/>
    </row>
    <row r="618" spans="1:8" ht="18.75">
      <c r="A618" s="70">
        <v>18</v>
      </c>
      <c r="B618" s="70">
        <v>1</v>
      </c>
      <c r="C618" s="70">
        <v>11</v>
      </c>
      <c r="D618" s="71" t="s">
        <v>600</v>
      </c>
      <c r="E618" s="72" t="s">
        <v>829</v>
      </c>
      <c r="F618" s="73" t="str">
        <f>TEXT(A618,"00")&amp;TEXT(B618,"00")&amp;TEXT(C618,"00")</f>
        <v>180111</v>
      </c>
      <c r="G618" s="72" t="str">
        <f>TEXT(F618,"000000")</f>
        <v>180111</v>
      </c>
      <c r="H618" s="74" t="s">
        <v>4400</v>
      </c>
    </row>
    <row r="619" spans="1:8" ht="18.75">
      <c r="A619" s="70">
        <v>18</v>
      </c>
      <c r="B619" s="70">
        <v>1</v>
      </c>
      <c r="C619" s="70">
        <v>21</v>
      </c>
      <c r="D619" s="71" t="s">
        <v>601</v>
      </c>
      <c r="E619" s="72" t="s">
        <v>4049</v>
      </c>
      <c r="F619" s="73" t="str">
        <f>TEXT(A619,"00")&amp;TEXT(B619,"00")&amp;TEXT(C619,"00")</f>
        <v>180121</v>
      </c>
      <c r="G619" s="72" t="str">
        <f>TEXT(F619,"000000")</f>
        <v>180121</v>
      </c>
      <c r="H619" s="74" t="s">
        <v>4401</v>
      </c>
    </row>
    <row r="620" spans="1:8" ht="18.75">
      <c r="A620" s="70">
        <v>18</v>
      </c>
      <c r="B620" s="70">
        <v>1</v>
      </c>
      <c r="C620" s="70">
        <v>31</v>
      </c>
      <c r="D620" s="71" t="s">
        <v>602</v>
      </c>
      <c r="E620" s="72" t="s">
        <v>829</v>
      </c>
      <c r="F620" s="73" t="str">
        <f>TEXT(A620,"00")&amp;TEXT(B620,"00")&amp;TEXT(C620,"00")</f>
        <v>180131</v>
      </c>
      <c r="G620" s="72" t="str">
        <f>TEXT(F620,"000000")</f>
        <v>180131</v>
      </c>
      <c r="H620" s="74" t="s">
        <v>4402</v>
      </c>
    </row>
    <row r="621" spans="1:8" ht="18.75">
      <c r="A621" s="62">
        <v>19</v>
      </c>
      <c r="B621" s="62">
        <v>0</v>
      </c>
      <c r="C621" s="62">
        <v>0</v>
      </c>
      <c r="D621" s="63" t="s">
        <v>2860</v>
      </c>
      <c r="E621" s="64"/>
      <c r="F621" s="75"/>
      <c r="G621" s="76"/>
      <c r="H621" s="77"/>
    </row>
    <row r="622" spans="1:8" ht="18.75">
      <c r="A622" s="66">
        <v>19</v>
      </c>
      <c r="B622" s="66">
        <v>1</v>
      </c>
      <c r="C622" s="66">
        <v>0</v>
      </c>
      <c r="D622" s="67" t="s">
        <v>2858</v>
      </c>
      <c r="E622" s="68"/>
      <c r="F622" s="78"/>
      <c r="G622" s="79"/>
      <c r="H622" s="80"/>
    </row>
    <row r="623" spans="1:8" ht="18.75">
      <c r="A623" s="70">
        <v>19</v>
      </c>
      <c r="B623" s="70">
        <v>1</v>
      </c>
      <c r="C623" s="70">
        <v>11</v>
      </c>
      <c r="D623" s="71" t="s">
        <v>5723</v>
      </c>
      <c r="E623" s="72" t="s">
        <v>4049</v>
      </c>
      <c r="F623" s="73" t="str">
        <f>TEXT(A623,"00")&amp;TEXT(B623,"00")&amp;TEXT(C623,"00")</f>
        <v>190111</v>
      </c>
      <c r="G623" s="72" t="str">
        <f>TEXT(F623,"000000")</f>
        <v>190111</v>
      </c>
      <c r="H623" s="74" t="s">
        <v>4403</v>
      </c>
    </row>
    <row r="624" spans="1:8" ht="18.75">
      <c r="A624" s="62">
        <v>21</v>
      </c>
      <c r="B624" s="62">
        <v>0</v>
      </c>
      <c r="C624" s="62">
        <v>0</v>
      </c>
      <c r="D624" s="63" t="s">
        <v>2861</v>
      </c>
      <c r="E624" s="64"/>
      <c r="F624" s="75"/>
      <c r="G624" s="76"/>
      <c r="H624" s="77"/>
    </row>
    <row r="625" spans="1:8" ht="18.75">
      <c r="A625" s="66">
        <v>21</v>
      </c>
      <c r="B625" s="66">
        <v>1</v>
      </c>
      <c r="C625" s="66">
        <v>0</v>
      </c>
      <c r="D625" s="67" t="s">
        <v>2861</v>
      </c>
      <c r="E625" s="68"/>
      <c r="F625" s="78"/>
      <c r="G625" s="79"/>
      <c r="H625" s="80"/>
    </row>
    <row r="626" spans="1:8" ht="18.75">
      <c r="A626" s="70">
        <v>21</v>
      </c>
      <c r="B626" s="70">
        <v>1</v>
      </c>
      <c r="C626" s="70">
        <v>12</v>
      </c>
      <c r="D626" s="71" t="s">
        <v>4404</v>
      </c>
      <c r="E626" s="72" t="s">
        <v>829</v>
      </c>
      <c r="F626" s="73" t="str">
        <f>TEXT(A626,"00")&amp;TEXT(B626,"00")&amp;TEXT(C626,"00")</f>
        <v>210112</v>
      </c>
      <c r="G626" s="72" t="str">
        <f>TEXT(F626,"000000")</f>
        <v>210112</v>
      </c>
      <c r="H626" s="74" t="s">
        <v>4405</v>
      </c>
    </row>
    <row r="627" spans="1:8" ht="18.75">
      <c r="A627" s="62">
        <v>24</v>
      </c>
      <c r="B627" s="62">
        <v>0</v>
      </c>
      <c r="C627" s="62">
        <v>0</v>
      </c>
      <c r="D627" s="63" t="s">
        <v>2862</v>
      </c>
      <c r="E627" s="64"/>
      <c r="F627" s="75"/>
      <c r="G627" s="76"/>
      <c r="H627" s="77"/>
    </row>
    <row r="628" spans="1:8" ht="18.75">
      <c r="A628" s="66">
        <v>24</v>
      </c>
      <c r="B628" s="66">
        <v>1</v>
      </c>
      <c r="C628" s="66">
        <v>0</v>
      </c>
      <c r="D628" s="67" t="s">
        <v>2988</v>
      </c>
      <c r="E628" s="68"/>
      <c r="F628" s="78"/>
      <c r="G628" s="79"/>
      <c r="H628" s="80"/>
    </row>
    <row r="629" spans="1:8" ht="18.75">
      <c r="A629" s="70">
        <v>24</v>
      </c>
      <c r="B629" s="70">
        <v>1</v>
      </c>
      <c r="C629" s="70">
        <v>11</v>
      </c>
      <c r="D629" s="71" t="s">
        <v>58</v>
      </c>
      <c r="E629" s="72" t="s">
        <v>4406</v>
      </c>
      <c r="F629" s="73" t="str">
        <f t="shared" ref="F629:F643" si="50">TEXT(A629,"00")&amp;TEXT(B629,"00")&amp;TEXT(C629,"00")</f>
        <v>240111</v>
      </c>
      <c r="G629" s="72" t="str">
        <f t="shared" ref="G629:G643" si="51">TEXT(F629,"000000")</f>
        <v>240111</v>
      </c>
      <c r="H629" s="74" t="s">
        <v>4407</v>
      </c>
    </row>
    <row r="630" spans="1:8" ht="18.75">
      <c r="A630" s="70">
        <v>24</v>
      </c>
      <c r="B630" s="70">
        <v>1</v>
      </c>
      <c r="C630" s="70">
        <v>12</v>
      </c>
      <c r="D630" s="71" t="s">
        <v>55</v>
      </c>
      <c r="E630" s="72" t="s">
        <v>4406</v>
      </c>
      <c r="F630" s="73" t="str">
        <f t="shared" si="50"/>
        <v>240112</v>
      </c>
      <c r="G630" s="72" t="str">
        <f t="shared" si="51"/>
        <v>240112</v>
      </c>
      <c r="H630" s="74" t="s">
        <v>4408</v>
      </c>
    </row>
    <row r="631" spans="1:8" ht="18.75">
      <c r="A631" s="70">
        <v>24</v>
      </c>
      <c r="B631" s="70">
        <v>1</v>
      </c>
      <c r="C631" s="70">
        <v>13</v>
      </c>
      <c r="D631" s="71" t="s">
        <v>56</v>
      </c>
      <c r="E631" s="72" t="s">
        <v>4406</v>
      </c>
      <c r="F631" s="73" t="str">
        <f t="shared" si="50"/>
        <v>240113</v>
      </c>
      <c r="G631" s="72" t="str">
        <f t="shared" si="51"/>
        <v>240113</v>
      </c>
      <c r="H631" s="74" t="s">
        <v>4409</v>
      </c>
    </row>
    <row r="632" spans="1:8" ht="18.75">
      <c r="A632" s="70">
        <v>24</v>
      </c>
      <c r="B632" s="70">
        <v>1</v>
      </c>
      <c r="C632" s="70">
        <v>14</v>
      </c>
      <c r="D632" s="71" t="s">
        <v>57</v>
      </c>
      <c r="E632" s="72" t="s">
        <v>4406</v>
      </c>
      <c r="F632" s="73" t="str">
        <f t="shared" si="50"/>
        <v>240114</v>
      </c>
      <c r="G632" s="72" t="str">
        <f t="shared" si="51"/>
        <v>240114</v>
      </c>
      <c r="H632" s="74" t="s">
        <v>4410</v>
      </c>
    </row>
    <row r="633" spans="1:8" ht="18.75">
      <c r="A633" s="70">
        <v>24</v>
      </c>
      <c r="B633" s="70">
        <v>1</v>
      </c>
      <c r="C633" s="70">
        <v>15</v>
      </c>
      <c r="D633" s="71" t="s">
        <v>59</v>
      </c>
      <c r="E633" s="72" t="s">
        <v>4406</v>
      </c>
      <c r="F633" s="73" t="str">
        <f t="shared" si="50"/>
        <v>240115</v>
      </c>
      <c r="G633" s="72" t="str">
        <f t="shared" si="51"/>
        <v>240115</v>
      </c>
      <c r="H633" s="74" t="s">
        <v>4411</v>
      </c>
    </row>
    <row r="634" spans="1:8" ht="18.75">
      <c r="A634" s="70">
        <v>24</v>
      </c>
      <c r="B634" s="70">
        <v>1</v>
      </c>
      <c r="C634" s="70">
        <v>16</v>
      </c>
      <c r="D634" s="71" t="s">
        <v>60</v>
      </c>
      <c r="E634" s="72" t="s">
        <v>4406</v>
      </c>
      <c r="F634" s="73" t="str">
        <f t="shared" si="50"/>
        <v>240116</v>
      </c>
      <c r="G634" s="72" t="str">
        <f t="shared" si="51"/>
        <v>240116</v>
      </c>
      <c r="H634" s="74" t="s">
        <v>4412</v>
      </c>
    </row>
    <row r="635" spans="1:8" ht="18.75">
      <c r="A635" s="70">
        <v>24</v>
      </c>
      <c r="B635" s="70">
        <v>1</v>
      </c>
      <c r="C635" s="70">
        <v>17</v>
      </c>
      <c r="D635" s="71" t="s">
        <v>61</v>
      </c>
      <c r="E635" s="72" t="s">
        <v>4406</v>
      </c>
      <c r="F635" s="73" t="str">
        <f t="shared" si="50"/>
        <v>240117</v>
      </c>
      <c r="G635" s="72" t="str">
        <f t="shared" si="51"/>
        <v>240117</v>
      </c>
      <c r="H635" s="74" t="s">
        <v>4413</v>
      </c>
    </row>
    <row r="636" spans="1:8" ht="18.75">
      <c r="A636" s="70">
        <v>24</v>
      </c>
      <c r="B636" s="70">
        <v>1</v>
      </c>
      <c r="C636" s="70">
        <v>18</v>
      </c>
      <c r="D636" s="71" t="s">
        <v>62</v>
      </c>
      <c r="E636" s="72" t="s">
        <v>4406</v>
      </c>
      <c r="F636" s="73" t="str">
        <f t="shared" si="50"/>
        <v>240118</v>
      </c>
      <c r="G636" s="72" t="str">
        <f t="shared" si="51"/>
        <v>240118</v>
      </c>
      <c r="H636" s="74" t="s">
        <v>4414</v>
      </c>
    </row>
    <row r="637" spans="1:8" ht="18.75">
      <c r="A637" s="70">
        <v>24</v>
      </c>
      <c r="B637" s="70">
        <v>1</v>
      </c>
      <c r="C637" s="70">
        <v>19</v>
      </c>
      <c r="D637" s="71" t="s">
        <v>63</v>
      </c>
      <c r="E637" s="72" t="s">
        <v>4406</v>
      </c>
      <c r="F637" s="73" t="str">
        <f t="shared" si="50"/>
        <v>240119</v>
      </c>
      <c r="G637" s="72" t="str">
        <f t="shared" si="51"/>
        <v>240119</v>
      </c>
      <c r="H637" s="74" t="s">
        <v>4415</v>
      </c>
    </row>
    <row r="638" spans="1:8" ht="18.75">
      <c r="A638" s="70">
        <v>24</v>
      </c>
      <c r="B638" s="70">
        <v>1</v>
      </c>
      <c r="C638" s="70">
        <v>20</v>
      </c>
      <c r="D638" s="71" t="s">
        <v>64</v>
      </c>
      <c r="E638" s="72" t="s">
        <v>4406</v>
      </c>
      <c r="F638" s="73" t="str">
        <f t="shared" si="50"/>
        <v>240120</v>
      </c>
      <c r="G638" s="72" t="str">
        <f t="shared" si="51"/>
        <v>240120</v>
      </c>
      <c r="H638" s="74" t="s">
        <v>4416</v>
      </c>
    </row>
    <row r="639" spans="1:8" ht="18.75">
      <c r="A639" s="70">
        <v>24</v>
      </c>
      <c r="B639" s="70">
        <v>1</v>
      </c>
      <c r="C639" s="70">
        <v>21</v>
      </c>
      <c r="D639" s="71" t="s">
        <v>65</v>
      </c>
      <c r="E639" s="72" t="s">
        <v>4406</v>
      </c>
      <c r="F639" s="73" t="str">
        <f t="shared" si="50"/>
        <v>240121</v>
      </c>
      <c r="G639" s="72" t="str">
        <f t="shared" si="51"/>
        <v>240121</v>
      </c>
      <c r="H639" s="74" t="s">
        <v>4417</v>
      </c>
    </row>
    <row r="640" spans="1:8" ht="18.75">
      <c r="A640" s="70">
        <v>24</v>
      </c>
      <c r="B640" s="70">
        <v>1</v>
      </c>
      <c r="C640" s="70">
        <v>22</v>
      </c>
      <c r="D640" s="71" t="s">
        <v>66</v>
      </c>
      <c r="E640" s="72" t="s">
        <v>4406</v>
      </c>
      <c r="F640" s="73" t="str">
        <f t="shared" si="50"/>
        <v>240122</v>
      </c>
      <c r="G640" s="72" t="str">
        <f t="shared" si="51"/>
        <v>240122</v>
      </c>
      <c r="H640" s="74" t="s">
        <v>4418</v>
      </c>
    </row>
    <row r="641" spans="1:8" ht="18.75">
      <c r="A641" s="70">
        <v>24</v>
      </c>
      <c r="B641" s="70">
        <v>1</v>
      </c>
      <c r="C641" s="70">
        <v>23</v>
      </c>
      <c r="D641" s="71" t="s">
        <v>68</v>
      </c>
      <c r="E641" s="72" t="s">
        <v>4406</v>
      </c>
      <c r="F641" s="73" t="str">
        <f t="shared" si="50"/>
        <v>240123</v>
      </c>
      <c r="G641" s="72" t="str">
        <f t="shared" si="51"/>
        <v>240123</v>
      </c>
      <c r="H641" s="74" t="s">
        <v>4419</v>
      </c>
    </row>
    <row r="642" spans="1:8" ht="18.75">
      <c r="A642" s="70">
        <v>24</v>
      </c>
      <c r="B642" s="70">
        <v>1</v>
      </c>
      <c r="C642" s="70">
        <v>24</v>
      </c>
      <c r="D642" s="71" t="s">
        <v>69</v>
      </c>
      <c r="E642" s="72" t="s">
        <v>4406</v>
      </c>
      <c r="F642" s="73" t="str">
        <f t="shared" si="50"/>
        <v>240124</v>
      </c>
      <c r="G642" s="72" t="str">
        <f t="shared" si="51"/>
        <v>240124</v>
      </c>
      <c r="H642" s="74" t="s">
        <v>4420</v>
      </c>
    </row>
    <row r="643" spans="1:8" ht="18.75">
      <c r="A643" s="70">
        <v>24</v>
      </c>
      <c r="B643" s="70">
        <v>1</v>
      </c>
      <c r="C643" s="70">
        <v>25</v>
      </c>
      <c r="D643" s="71" t="s">
        <v>70</v>
      </c>
      <c r="E643" s="72" t="s">
        <v>4406</v>
      </c>
      <c r="F643" s="73" t="str">
        <f t="shared" si="50"/>
        <v>240125</v>
      </c>
      <c r="G643" s="72" t="str">
        <f t="shared" si="51"/>
        <v>240125</v>
      </c>
      <c r="H643" s="74" t="s">
        <v>4421</v>
      </c>
    </row>
    <row r="644" spans="1:8" ht="18.75">
      <c r="A644" s="66">
        <v>24</v>
      </c>
      <c r="B644" s="66">
        <v>2</v>
      </c>
      <c r="C644" s="66">
        <v>0</v>
      </c>
      <c r="D644" s="67" t="s">
        <v>2987</v>
      </c>
      <c r="E644" s="68"/>
      <c r="F644" s="78"/>
      <c r="G644" s="79"/>
      <c r="H644" s="80"/>
    </row>
    <row r="645" spans="1:8" ht="18.75">
      <c r="A645" s="70">
        <v>24</v>
      </c>
      <c r="B645" s="70">
        <v>2</v>
      </c>
      <c r="C645" s="70">
        <v>11</v>
      </c>
      <c r="D645" s="71" t="s">
        <v>71</v>
      </c>
      <c r="E645" s="72" t="s">
        <v>4406</v>
      </c>
      <c r="F645" s="73" t="str">
        <f>TEXT(A645,"00")&amp;TEXT(B645,"00")&amp;TEXT(C645,"00")</f>
        <v>240211</v>
      </c>
      <c r="G645" s="72" t="str">
        <f>TEXT(F645,"000000")</f>
        <v>240211</v>
      </c>
      <c r="H645" s="74" t="s">
        <v>4422</v>
      </c>
    </row>
    <row r="646" spans="1:8" ht="18.75">
      <c r="A646" s="70">
        <v>24</v>
      </c>
      <c r="B646" s="70">
        <v>2</v>
      </c>
      <c r="C646" s="70">
        <v>12</v>
      </c>
      <c r="D646" s="71" t="s">
        <v>72</v>
      </c>
      <c r="E646" s="72" t="s">
        <v>4406</v>
      </c>
      <c r="F646" s="73" t="str">
        <f>TEXT(A646,"00")&amp;TEXT(B646,"00")&amp;TEXT(C646,"00")</f>
        <v>240212</v>
      </c>
      <c r="G646" s="72" t="str">
        <f>TEXT(F646,"000000")</f>
        <v>240212</v>
      </c>
      <c r="H646" s="74" t="s">
        <v>4423</v>
      </c>
    </row>
    <row r="647" spans="1:8" ht="18.75">
      <c r="A647" s="70">
        <v>24</v>
      </c>
      <c r="B647" s="70">
        <v>2</v>
      </c>
      <c r="C647" s="70">
        <v>13</v>
      </c>
      <c r="D647" s="71" t="s">
        <v>53</v>
      </c>
      <c r="E647" s="72" t="s">
        <v>4406</v>
      </c>
      <c r="F647" s="73" t="str">
        <f>TEXT(A647,"00")&amp;TEXT(B647,"00")&amp;TEXT(C647,"00")</f>
        <v>240213</v>
      </c>
      <c r="G647" s="72" t="str">
        <f>TEXT(F647,"000000")</f>
        <v>240213</v>
      </c>
      <c r="H647" s="74" t="s">
        <v>4424</v>
      </c>
    </row>
    <row r="648" spans="1:8" ht="18.75">
      <c r="A648" s="70">
        <v>24</v>
      </c>
      <c r="B648" s="70">
        <v>2</v>
      </c>
      <c r="C648" s="70">
        <v>14</v>
      </c>
      <c r="D648" s="71" t="s">
        <v>54</v>
      </c>
      <c r="E648" s="72" t="s">
        <v>4406</v>
      </c>
      <c r="F648" s="73" t="str">
        <f>TEXT(A648,"00")&amp;TEXT(B648,"00")&amp;TEXT(C648,"00")</f>
        <v>240214</v>
      </c>
      <c r="G648" s="72" t="str">
        <f>TEXT(F648,"000000")</f>
        <v>240214</v>
      </c>
      <c r="H648" s="74" t="s">
        <v>4425</v>
      </c>
    </row>
    <row r="649" spans="1:8" ht="18.75">
      <c r="A649" s="70">
        <v>24</v>
      </c>
      <c r="B649" s="70">
        <v>2</v>
      </c>
      <c r="C649" s="70">
        <v>15</v>
      </c>
      <c r="D649" s="71" t="s">
        <v>67</v>
      </c>
      <c r="E649" s="72" t="s">
        <v>4406</v>
      </c>
      <c r="F649" s="73" t="str">
        <f>TEXT(A649,"00")&amp;TEXT(B649,"00")&amp;TEXT(C649,"00")</f>
        <v>240215</v>
      </c>
      <c r="G649" s="72" t="str">
        <f>TEXT(F649,"000000")</f>
        <v>240215</v>
      </c>
      <c r="H649" s="74" t="s">
        <v>4426</v>
      </c>
    </row>
    <row r="650" spans="1:8" ht="18.75">
      <c r="A650" s="66">
        <v>24</v>
      </c>
      <c r="B650" s="66">
        <v>3</v>
      </c>
      <c r="C650" s="66">
        <v>0</v>
      </c>
      <c r="D650" s="67" t="s">
        <v>2931</v>
      </c>
      <c r="E650" s="68"/>
      <c r="F650" s="78"/>
      <c r="G650" s="79"/>
      <c r="H650" s="80"/>
    </row>
    <row r="651" spans="1:8" ht="18.75">
      <c r="A651" s="70">
        <v>24</v>
      </c>
      <c r="B651" s="70">
        <v>3</v>
      </c>
      <c r="C651" s="70">
        <v>11</v>
      </c>
      <c r="D651" s="71" t="s">
        <v>406</v>
      </c>
      <c r="E651" s="72" t="s">
        <v>4406</v>
      </c>
      <c r="F651" s="73" t="str">
        <f>TEXT(A651,"00")&amp;TEXT(B651,"00")&amp;TEXT(C651,"00")</f>
        <v>240311</v>
      </c>
      <c r="G651" s="72" t="str">
        <f>TEXT(F651,"000000")</f>
        <v>240311</v>
      </c>
      <c r="H651" s="74" t="s">
        <v>4427</v>
      </c>
    </row>
    <row r="652" spans="1:8" ht="18.75">
      <c r="A652" s="70">
        <v>24</v>
      </c>
      <c r="B652" s="70">
        <v>3</v>
      </c>
      <c r="C652" s="70">
        <v>12</v>
      </c>
      <c r="D652" s="71" t="s">
        <v>407</v>
      </c>
      <c r="E652" s="72" t="s">
        <v>4406</v>
      </c>
      <c r="F652" s="73" t="str">
        <f>TEXT(A652,"00")&amp;TEXT(B652,"00")&amp;TEXT(C652,"00")</f>
        <v>240312</v>
      </c>
      <c r="G652" s="72" t="str">
        <f>TEXT(F652,"000000")</f>
        <v>240312</v>
      </c>
      <c r="H652" s="74" t="s">
        <v>4428</v>
      </c>
    </row>
    <row r="653" spans="1:8" ht="18.75">
      <c r="A653" s="62">
        <v>26</v>
      </c>
      <c r="B653" s="62">
        <v>0</v>
      </c>
      <c r="C653" s="62">
        <v>0</v>
      </c>
      <c r="D653" s="63" t="s">
        <v>2863</v>
      </c>
      <c r="E653" s="64"/>
      <c r="F653" s="75"/>
      <c r="G653" s="76"/>
      <c r="H653" s="77"/>
    </row>
    <row r="654" spans="1:8" ht="18.75">
      <c r="A654" s="66">
        <v>26</v>
      </c>
      <c r="B654" s="66">
        <v>1</v>
      </c>
      <c r="C654" s="66">
        <v>0</v>
      </c>
      <c r="D654" s="67" t="s">
        <v>2864</v>
      </c>
      <c r="E654" s="68"/>
      <c r="F654" s="78"/>
      <c r="G654" s="79"/>
      <c r="H654" s="80"/>
    </row>
    <row r="655" spans="1:8" ht="18.75">
      <c r="A655" s="70">
        <v>26</v>
      </c>
      <c r="B655" s="70">
        <v>1</v>
      </c>
      <c r="C655" s="70">
        <v>11</v>
      </c>
      <c r="D655" s="71" t="s">
        <v>3162</v>
      </c>
      <c r="E655" s="72" t="s">
        <v>3891</v>
      </c>
      <c r="F655" s="73" t="str">
        <f t="shared" ref="F655:F665" si="52">TEXT(A655,"00")&amp;TEXT(B655,"00")&amp;TEXT(C655,"00")</f>
        <v>260111</v>
      </c>
      <c r="G655" s="72" t="str">
        <f t="shared" ref="G655:G665" si="53">TEXT(F655,"000000")</f>
        <v>260111</v>
      </c>
      <c r="H655" s="74" t="s">
        <v>4429</v>
      </c>
    </row>
    <row r="656" spans="1:8" ht="18.75">
      <c r="A656" s="70">
        <v>26</v>
      </c>
      <c r="B656" s="70">
        <v>1</v>
      </c>
      <c r="C656" s="70">
        <v>21</v>
      </c>
      <c r="D656" s="71" t="s">
        <v>3161</v>
      </c>
      <c r="E656" s="72" t="s">
        <v>3891</v>
      </c>
      <c r="F656" s="73" t="str">
        <f t="shared" si="52"/>
        <v>260121</v>
      </c>
      <c r="G656" s="72" t="str">
        <f t="shared" si="53"/>
        <v>260121</v>
      </c>
      <c r="H656" s="74" t="s">
        <v>4430</v>
      </c>
    </row>
    <row r="657" spans="1:8" ht="18.75">
      <c r="A657" s="70">
        <v>26</v>
      </c>
      <c r="B657" s="70">
        <v>1</v>
      </c>
      <c r="C657" s="70">
        <v>31</v>
      </c>
      <c r="D657" s="71" t="s">
        <v>3159</v>
      </c>
      <c r="E657" s="72" t="s">
        <v>3891</v>
      </c>
      <c r="F657" s="73" t="str">
        <f t="shared" si="52"/>
        <v>260131</v>
      </c>
      <c r="G657" s="72" t="str">
        <f t="shared" si="53"/>
        <v>260131</v>
      </c>
      <c r="H657" s="74" t="s">
        <v>4431</v>
      </c>
    </row>
    <row r="658" spans="1:8" ht="18.75">
      <c r="A658" s="70">
        <v>26</v>
      </c>
      <c r="B658" s="70">
        <v>1</v>
      </c>
      <c r="C658" s="70">
        <v>41</v>
      </c>
      <c r="D658" s="71" t="s">
        <v>3163</v>
      </c>
      <c r="E658" s="72" t="s">
        <v>829</v>
      </c>
      <c r="F658" s="73" t="str">
        <f t="shared" si="52"/>
        <v>260141</v>
      </c>
      <c r="G658" s="72" t="str">
        <f t="shared" si="53"/>
        <v>260141</v>
      </c>
      <c r="H658" s="74" t="s">
        <v>4432</v>
      </c>
    </row>
    <row r="659" spans="1:8" ht="18.75">
      <c r="A659" s="70">
        <v>26</v>
      </c>
      <c r="B659" s="70">
        <v>1</v>
      </c>
      <c r="C659" s="70">
        <v>42</v>
      </c>
      <c r="D659" s="71" t="s">
        <v>3164</v>
      </c>
      <c r="E659" s="72" t="s">
        <v>829</v>
      </c>
      <c r="F659" s="73" t="str">
        <f t="shared" si="52"/>
        <v>260142</v>
      </c>
      <c r="G659" s="72" t="str">
        <f t="shared" si="53"/>
        <v>260142</v>
      </c>
      <c r="H659" s="74" t="s">
        <v>4433</v>
      </c>
    </row>
    <row r="660" spans="1:8" ht="18.75">
      <c r="A660" s="70">
        <v>26</v>
      </c>
      <c r="B660" s="70">
        <v>1</v>
      </c>
      <c r="C660" s="70">
        <v>61</v>
      </c>
      <c r="D660" s="71" t="s">
        <v>5949</v>
      </c>
      <c r="E660" s="72" t="s">
        <v>829</v>
      </c>
      <c r="F660" s="73" t="str">
        <f t="shared" si="52"/>
        <v>260161</v>
      </c>
      <c r="G660" s="72" t="str">
        <f t="shared" si="53"/>
        <v>260161</v>
      </c>
      <c r="H660" s="74" t="s">
        <v>4434</v>
      </c>
    </row>
    <row r="661" spans="1:8" ht="18.75">
      <c r="A661" s="70">
        <v>26</v>
      </c>
      <c r="B661" s="70">
        <v>1</v>
      </c>
      <c r="C661" s="70">
        <v>71</v>
      </c>
      <c r="D661" s="71" t="s">
        <v>3300</v>
      </c>
      <c r="E661" s="72" t="s">
        <v>829</v>
      </c>
      <c r="F661" s="73" t="str">
        <f t="shared" si="52"/>
        <v>260171</v>
      </c>
      <c r="G661" s="72" t="str">
        <f t="shared" si="53"/>
        <v>260171</v>
      </c>
      <c r="H661" s="74" t="s">
        <v>4435</v>
      </c>
    </row>
    <row r="662" spans="1:8" ht="18.75">
      <c r="A662" s="70">
        <v>26</v>
      </c>
      <c r="B662" s="70">
        <v>1</v>
      </c>
      <c r="C662" s="70">
        <v>72</v>
      </c>
      <c r="D662" s="71" t="s">
        <v>5499</v>
      </c>
      <c r="E662" s="72" t="s">
        <v>829</v>
      </c>
      <c r="F662" s="73" t="str">
        <f t="shared" si="52"/>
        <v>260172</v>
      </c>
      <c r="G662" s="72" t="str">
        <f t="shared" si="53"/>
        <v>260172</v>
      </c>
      <c r="H662" s="74" t="s">
        <v>5500</v>
      </c>
    </row>
    <row r="663" spans="1:8" ht="18.75">
      <c r="A663" s="70">
        <v>26</v>
      </c>
      <c r="B663" s="70">
        <v>1</v>
      </c>
      <c r="C663" s="70">
        <v>73</v>
      </c>
      <c r="D663" s="71" t="s">
        <v>5501</v>
      </c>
      <c r="E663" s="72" t="s">
        <v>829</v>
      </c>
      <c r="F663" s="73" t="str">
        <f t="shared" si="52"/>
        <v>260173</v>
      </c>
      <c r="G663" s="72" t="str">
        <f t="shared" si="53"/>
        <v>260173</v>
      </c>
      <c r="H663" s="74" t="s">
        <v>5502</v>
      </c>
    </row>
    <row r="664" spans="1:8" ht="18.75">
      <c r="A664" s="70">
        <v>26</v>
      </c>
      <c r="B664" s="70">
        <v>1</v>
      </c>
      <c r="C664" s="70">
        <v>74</v>
      </c>
      <c r="D664" s="71" t="s">
        <v>5503</v>
      </c>
      <c r="E664" s="72" t="s">
        <v>829</v>
      </c>
      <c r="F664" s="73" t="str">
        <f t="shared" si="52"/>
        <v>260174</v>
      </c>
      <c r="G664" s="72" t="str">
        <f t="shared" si="53"/>
        <v>260174</v>
      </c>
      <c r="H664" s="74" t="s">
        <v>5504</v>
      </c>
    </row>
    <row r="665" spans="1:8" ht="18.75">
      <c r="A665" s="70">
        <v>26</v>
      </c>
      <c r="B665" s="70">
        <v>1</v>
      </c>
      <c r="C665" s="70">
        <v>75</v>
      </c>
      <c r="D665" s="71" t="s">
        <v>5843</v>
      </c>
      <c r="E665" s="72" t="s">
        <v>829</v>
      </c>
      <c r="F665" s="73" t="str">
        <f t="shared" si="52"/>
        <v>260175</v>
      </c>
      <c r="G665" s="72" t="str">
        <f t="shared" si="53"/>
        <v>260175</v>
      </c>
      <c r="H665" s="74" t="s">
        <v>5844</v>
      </c>
    </row>
    <row r="666" spans="1:8" ht="18.75">
      <c r="A666" s="66">
        <v>26</v>
      </c>
      <c r="B666" s="66">
        <v>2</v>
      </c>
      <c r="C666" s="66">
        <v>0</v>
      </c>
      <c r="D666" s="67" t="s">
        <v>2989</v>
      </c>
      <c r="E666" s="68"/>
      <c r="F666" s="78"/>
      <c r="G666" s="79"/>
      <c r="H666" s="80"/>
    </row>
    <row r="667" spans="1:8" ht="18.75">
      <c r="A667" s="70">
        <v>26</v>
      </c>
      <c r="B667" s="70">
        <v>2</v>
      </c>
      <c r="C667" s="70">
        <v>11</v>
      </c>
      <c r="D667" s="71" t="s">
        <v>3298</v>
      </c>
      <c r="E667" s="72" t="s">
        <v>829</v>
      </c>
      <c r="F667" s="73" t="str">
        <f t="shared" ref="F667:F679" si="54">TEXT(A667,"00")&amp;TEXT(B667,"00")&amp;TEXT(C667,"00")</f>
        <v>260211</v>
      </c>
      <c r="G667" s="72" t="str">
        <f t="shared" ref="G667:G679" si="55">TEXT(F667,"000000")</f>
        <v>260211</v>
      </c>
      <c r="H667" s="74" t="s">
        <v>4436</v>
      </c>
    </row>
    <row r="668" spans="1:8" ht="18.75">
      <c r="A668" s="70">
        <v>26</v>
      </c>
      <c r="B668" s="70">
        <v>2</v>
      </c>
      <c r="C668" s="70">
        <v>12</v>
      </c>
      <c r="D668" s="71" t="s">
        <v>3821</v>
      </c>
      <c r="E668" s="72" t="s">
        <v>829</v>
      </c>
      <c r="F668" s="73" t="str">
        <f t="shared" si="54"/>
        <v>260212</v>
      </c>
      <c r="G668" s="72" t="str">
        <f t="shared" si="55"/>
        <v>260212</v>
      </c>
      <c r="H668" s="74" t="s">
        <v>4437</v>
      </c>
    </row>
    <row r="669" spans="1:8" ht="18.75">
      <c r="A669" s="70">
        <v>26</v>
      </c>
      <c r="B669" s="70">
        <v>2</v>
      </c>
      <c r="C669" s="70">
        <v>13</v>
      </c>
      <c r="D669" s="71" t="s">
        <v>3160</v>
      </c>
      <c r="E669" s="72" t="s">
        <v>829</v>
      </c>
      <c r="F669" s="73" t="str">
        <f t="shared" si="54"/>
        <v>260213</v>
      </c>
      <c r="G669" s="72" t="str">
        <f t="shared" si="55"/>
        <v>260213</v>
      </c>
      <c r="H669" s="74" t="s">
        <v>4438</v>
      </c>
    </row>
    <row r="670" spans="1:8" ht="18.75">
      <c r="A670" s="70">
        <v>26</v>
      </c>
      <c r="B670" s="70">
        <v>2</v>
      </c>
      <c r="C670" s="70">
        <v>14</v>
      </c>
      <c r="D670" s="71" t="s">
        <v>5441</v>
      </c>
      <c r="E670" s="72" t="s">
        <v>829</v>
      </c>
      <c r="F670" s="73" t="str">
        <f t="shared" si="54"/>
        <v>260214</v>
      </c>
      <c r="G670" s="72" t="str">
        <f t="shared" si="55"/>
        <v>260214</v>
      </c>
      <c r="H670" s="74" t="s">
        <v>4439</v>
      </c>
    </row>
    <row r="671" spans="1:8" ht="18.75">
      <c r="A671" s="70">
        <v>26</v>
      </c>
      <c r="B671" s="70">
        <v>2</v>
      </c>
      <c r="C671" s="70">
        <v>41</v>
      </c>
      <c r="D671" s="71" t="s">
        <v>3301</v>
      </c>
      <c r="E671" s="72" t="s">
        <v>829</v>
      </c>
      <c r="F671" s="73" t="str">
        <f t="shared" si="54"/>
        <v>260241</v>
      </c>
      <c r="G671" s="72" t="str">
        <f t="shared" si="55"/>
        <v>260241</v>
      </c>
      <c r="H671" s="74" t="s">
        <v>4440</v>
      </c>
    </row>
    <row r="672" spans="1:8" ht="18.75">
      <c r="A672" s="70">
        <v>26</v>
      </c>
      <c r="B672" s="70">
        <v>2</v>
      </c>
      <c r="C672" s="70">
        <v>51</v>
      </c>
      <c r="D672" s="71" t="s">
        <v>280</v>
      </c>
      <c r="E672" s="72" t="s">
        <v>829</v>
      </c>
      <c r="F672" s="73" t="str">
        <f t="shared" si="54"/>
        <v>260251</v>
      </c>
      <c r="G672" s="72" t="str">
        <f t="shared" si="55"/>
        <v>260251</v>
      </c>
      <c r="H672" s="74" t="s">
        <v>4441</v>
      </c>
    </row>
    <row r="673" spans="1:8" ht="18.75">
      <c r="A673" s="70">
        <v>26</v>
      </c>
      <c r="B673" s="70">
        <v>2</v>
      </c>
      <c r="C673" s="70">
        <v>61</v>
      </c>
      <c r="D673" s="71" t="s">
        <v>3296</v>
      </c>
      <c r="E673" s="72" t="s">
        <v>829</v>
      </c>
      <c r="F673" s="73" t="str">
        <f t="shared" si="54"/>
        <v>260261</v>
      </c>
      <c r="G673" s="72" t="str">
        <f t="shared" si="55"/>
        <v>260261</v>
      </c>
      <c r="H673" s="74" t="s">
        <v>4442</v>
      </c>
    </row>
    <row r="674" spans="1:8" ht="18.75">
      <c r="A674" s="70">
        <v>26</v>
      </c>
      <c r="B674" s="70">
        <v>2</v>
      </c>
      <c r="C674" s="70">
        <v>62</v>
      </c>
      <c r="D674" s="71" t="s">
        <v>3297</v>
      </c>
      <c r="E674" s="72" t="s">
        <v>829</v>
      </c>
      <c r="F674" s="73" t="str">
        <f t="shared" si="54"/>
        <v>260262</v>
      </c>
      <c r="G674" s="72" t="str">
        <f t="shared" si="55"/>
        <v>260262</v>
      </c>
      <c r="H674" s="74" t="s">
        <v>4443</v>
      </c>
    </row>
    <row r="675" spans="1:8" ht="18.75">
      <c r="A675" s="70">
        <v>26</v>
      </c>
      <c r="B675" s="70">
        <v>2</v>
      </c>
      <c r="C675" s="70">
        <v>63</v>
      </c>
      <c r="D675" s="71" t="s">
        <v>3299</v>
      </c>
      <c r="E675" s="72" t="s">
        <v>829</v>
      </c>
      <c r="F675" s="73" t="str">
        <f t="shared" si="54"/>
        <v>260263</v>
      </c>
      <c r="G675" s="72" t="str">
        <f t="shared" si="55"/>
        <v>260263</v>
      </c>
      <c r="H675" s="74" t="s">
        <v>4444</v>
      </c>
    </row>
    <row r="676" spans="1:8" ht="18.75">
      <c r="A676" s="70">
        <v>26</v>
      </c>
      <c r="B676" s="70">
        <v>2</v>
      </c>
      <c r="C676" s="70">
        <v>71</v>
      </c>
      <c r="D676" s="71" t="s">
        <v>5950</v>
      </c>
      <c r="E676" s="72" t="s">
        <v>829</v>
      </c>
      <c r="F676" s="73" t="str">
        <f t="shared" si="54"/>
        <v>260271</v>
      </c>
      <c r="G676" s="72" t="str">
        <f t="shared" si="55"/>
        <v>260271</v>
      </c>
      <c r="H676" s="74" t="s">
        <v>4445</v>
      </c>
    </row>
    <row r="677" spans="1:8" ht="18.75">
      <c r="A677" s="70">
        <v>26</v>
      </c>
      <c r="B677" s="70">
        <v>2</v>
      </c>
      <c r="C677" s="70">
        <v>72</v>
      </c>
      <c r="D677" s="71" t="s">
        <v>5951</v>
      </c>
      <c r="E677" s="72" t="s">
        <v>829</v>
      </c>
      <c r="F677" s="73" t="str">
        <f t="shared" si="54"/>
        <v>260272</v>
      </c>
      <c r="G677" s="72" t="str">
        <f t="shared" si="55"/>
        <v>260272</v>
      </c>
      <c r="H677" s="74" t="s">
        <v>4446</v>
      </c>
    </row>
    <row r="678" spans="1:8" ht="18.75">
      <c r="A678" s="70">
        <v>26</v>
      </c>
      <c r="B678" s="70">
        <v>2</v>
      </c>
      <c r="C678" s="70">
        <v>73</v>
      </c>
      <c r="D678" s="71" t="s">
        <v>5845</v>
      </c>
      <c r="E678" s="72" t="s">
        <v>829</v>
      </c>
      <c r="F678" s="73" t="str">
        <f t="shared" si="54"/>
        <v>260273</v>
      </c>
      <c r="G678" s="72" t="str">
        <f t="shared" si="55"/>
        <v>260273</v>
      </c>
      <c r="H678" s="74" t="s">
        <v>5846</v>
      </c>
    </row>
    <row r="679" spans="1:8" ht="18.75">
      <c r="A679" s="70">
        <v>26</v>
      </c>
      <c r="B679" s="70">
        <v>2</v>
      </c>
      <c r="C679" s="70">
        <v>74</v>
      </c>
      <c r="D679" s="71" t="s">
        <v>5952</v>
      </c>
      <c r="E679" s="72" t="s">
        <v>829</v>
      </c>
      <c r="F679" s="73" t="str">
        <f t="shared" si="54"/>
        <v>260274</v>
      </c>
      <c r="G679" s="72" t="str">
        <f t="shared" si="55"/>
        <v>260274</v>
      </c>
      <c r="H679" s="74" t="s">
        <v>5953</v>
      </c>
    </row>
    <row r="680" spans="1:8" ht="18.75">
      <c r="A680" s="66">
        <v>26</v>
      </c>
      <c r="B680" s="66">
        <v>3</v>
      </c>
      <c r="C680" s="66">
        <v>0</v>
      </c>
      <c r="D680" s="67" t="s">
        <v>2944</v>
      </c>
      <c r="E680" s="68"/>
      <c r="F680" s="78"/>
      <c r="G680" s="79"/>
      <c r="H680" s="80"/>
    </row>
    <row r="681" spans="1:8" ht="18.75">
      <c r="A681" s="70">
        <v>26</v>
      </c>
      <c r="B681" s="70">
        <v>3</v>
      </c>
      <c r="C681" s="70">
        <v>11</v>
      </c>
      <c r="D681" s="71" t="s">
        <v>3576</v>
      </c>
      <c r="E681" s="72" t="s">
        <v>829</v>
      </c>
      <c r="F681" s="73" t="str">
        <f t="shared" ref="F681:F705" si="56">TEXT(A681,"00")&amp;TEXT(B681,"00")&amp;TEXT(C681,"00")</f>
        <v>260311</v>
      </c>
      <c r="G681" s="72" t="str">
        <f t="shared" ref="G681:G705" si="57">TEXT(F681,"000000")</f>
        <v>260311</v>
      </c>
      <c r="H681" s="74" t="s">
        <v>4447</v>
      </c>
    </row>
    <row r="682" spans="1:8" ht="18.75">
      <c r="A682" s="70">
        <v>26</v>
      </c>
      <c r="B682" s="70">
        <v>3</v>
      </c>
      <c r="C682" s="70">
        <v>12</v>
      </c>
      <c r="D682" s="71" t="s">
        <v>3577</v>
      </c>
      <c r="E682" s="72" t="s">
        <v>829</v>
      </c>
      <c r="F682" s="73" t="str">
        <f t="shared" si="56"/>
        <v>260312</v>
      </c>
      <c r="G682" s="72" t="str">
        <f t="shared" si="57"/>
        <v>260312</v>
      </c>
      <c r="H682" s="74" t="s">
        <v>4448</v>
      </c>
    </row>
    <row r="683" spans="1:8" ht="18.75">
      <c r="A683" s="70">
        <v>26</v>
      </c>
      <c r="B683" s="70">
        <v>3</v>
      </c>
      <c r="C683" s="70">
        <v>13</v>
      </c>
      <c r="D683" s="71" t="s">
        <v>3578</v>
      </c>
      <c r="E683" s="72" t="s">
        <v>829</v>
      </c>
      <c r="F683" s="73" t="str">
        <f t="shared" si="56"/>
        <v>260313</v>
      </c>
      <c r="G683" s="72" t="str">
        <f t="shared" si="57"/>
        <v>260313</v>
      </c>
      <c r="H683" s="74" t="s">
        <v>4449</v>
      </c>
    </row>
    <row r="684" spans="1:8" ht="18.75">
      <c r="A684" s="70">
        <v>26</v>
      </c>
      <c r="B684" s="70">
        <v>3</v>
      </c>
      <c r="C684" s="70">
        <v>14</v>
      </c>
      <c r="D684" s="71" t="s">
        <v>3579</v>
      </c>
      <c r="E684" s="72" t="s">
        <v>829</v>
      </c>
      <c r="F684" s="73" t="str">
        <f t="shared" si="56"/>
        <v>260314</v>
      </c>
      <c r="G684" s="72" t="str">
        <f t="shared" si="57"/>
        <v>260314</v>
      </c>
      <c r="H684" s="74" t="s">
        <v>4450</v>
      </c>
    </row>
    <row r="685" spans="1:8" ht="18.75">
      <c r="A685" s="70">
        <v>26</v>
      </c>
      <c r="B685" s="70">
        <v>3</v>
      </c>
      <c r="C685" s="70">
        <v>15</v>
      </c>
      <c r="D685" s="71" t="s">
        <v>3581</v>
      </c>
      <c r="E685" s="72" t="s">
        <v>829</v>
      </c>
      <c r="F685" s="73" t="str">
        <f t="shared" si="56"/>
        <v>260315</v>
      </c>
      <c r="G685" s="72" t="str">
        <f t="shared" si="57"/>
        <v>260315</v>
      </c>
      <c r="H685" s="74" t="s">
        <v>4451</v>
      </c>
    </row>
    <row r="686" spans="1:8" ht="18.75">
      <c r="A686" s="70">
        <v>26</v>
      </c>
      <c r="B686" s="70">
        <v>3</v>
      </c>
      <c r="C686" s="70">
        <v>16</v>
      </c>
      <c r="D686" s="71" t="s">
        <v>3580</v>
      </c>
      <c r="E686" s="72" t="s">
        <v>829</v>
      </c>
      <c r="F686" s="73" t="str">
        <f t="shared" si="56"/>
        <v>260316</v>
      </c>
      <c r="G686" s="72" t="str">
        <f t="shared" si="57"/>
        <v>260316</v>
      </c>
      <c r="H686" s="74" t="s">
        <v>4452</v>
      </c>
    </row>
    <row r="687" spans="1:8" ht="18.75">
      <c r="A687" s="70">
        <v>26</v>
      </c>
      <c r="B687" s="70">
        <v>3</v>
      </c>
      <c r="C687" s="70">
        <v>21</v>
      </c>
      <c r="D687" s="71" t="s">
        <v>3171</v>
      </c>
      <c r="E687" s="72" t="s">
        <v>829</v>
      </c>
      <c r="F687" s="73" t="str">
        <f t="shared" si="56"/>
        <v>260321</v>
      </c>
      <c r="G687" s="72" t="str">
        <f t="shared" si="57"/>
        <v>260321</v>
      </c>
      <c r="H687" s="74" t="s">
        <v>4453</v>
      </c>
    </row>
    <row r="688" spans="1:8" ht="18.75">
      <c r="A688" s="70">
        <v>26</v>
      </c>
      <c r="B688" s="70">
        <v>3</v>
      </c>
      <c r="C688" s="70">
        <v>22</v>
      </c>
      <c r="D688" s="71" t="s">
        <v>3170</v>
      </c>
      <c r="E688" s="72" t="s">
        <v>829</v>
      </c>
      <c r="F688" s="73" t="str">
        <f t="shared" si="56"/>
        <v>260322</v>
      </c>
      <c r="G688" s="72" t="str">
        <f t="shared" si="57"/>
        <v>260322</v>
      </c>
      <c r="H688" s="74" t="s">
        <v>4454</v>
      </c>
    </row>
    <row r="689" spans="1:8" ht="18.75">
      <c r="A689" s="70">
        <v>26</v>
      </c>
      <c r="B689" s="70">
        <v>3</v>
      </c>
      <c r="C689" s="70">
        <v>31</v>
      </c>
      <c r="D689" s="71" t="s">
        <v>728</v>
      </c>
      <c r="E689" s="72" t="s">
        <v>829</v>
      </c>
      <c r="F689" s="73" t="str">
        <f t="shared" si="56"/>
        <v>260331</v>
      </c>
      <c r="G689" s="72" t="str">
        <f t="shared" si="57"/>
        <v>260331</v>
      </c>
      <c r="H689" s="74" t="s">
        <v>4455</v>
      </c>
    </row>
    <row r="690" spans="1:8" ht="18.75">
      <c r="A690" s="70">
        <v>26</v>
      </c>
      <c r="B690" s="70">
        <v>3</v>
      </c>
      <c r="C690" s="70">
        <v>32</v>
      </c>
      <c r="D690" s="71" t="s">
        <v>296</v>
      </c>
      <c r="E690" s="72" t="s">
        <v>829</v>
      </c>
      <c r="F690" s="73" t="str">
        <f t="shared" si="56"/>
        <v>260332</v>
      </c>
      <c r="G690" s="72" t="str">
        <f t="shared" si="57"/>
        <v>260332</v>
      </c>
      <c r="H690" s="74" t="s">
        <v>4456</v>
      </c>
    </row>
    <row r="691" spans="1:8" ht="18.75">
      <c r="A691" s="70">
        <v>26</v>
      </c>
      <c r="B691" s="70">
        <v>3</v>
      </c>
      <c r="C691" s="70">
        <v>41</v>
      </c>
      <c r="D691" s="71" t="s">
        <v>297</v>
      </c>
      <c r="E691" s="72" t="s">
        <v>829</v>
      </c>
      <c r="F691" s="73" t="str">
        <f t="shared" si="56"/>
        <v>260341</v>
      </c>
      <c r="G691" s="72" t="str">
        <f t="shared" si="57"/>
        <v>260341</v>
      </c>
      <c r="H691" s="74" t="s">
        <v>5505</v>
      </c>
    </row>
    <row r="692" spans="1:8" ht="18.75">
      <c r="A692" s="70">
        <v>26</v>
      </c>
      <c r="B692" s="70">
        <v>3</v>
      </c>
      <c r="C692" s="70">
        <v>51</v>
      </c>
      <c r="D692" s="71" t="s">
        <v>292</v>
      </c>
      <c r="E692" s="72" t="s">
        <v>829</v>
      </c>
      <c r="F692" s="73" t="str">
        <f t="shared" si="56"/>
        <v>260351</v>
      </c>
      <c r="G692" s="72" t="str">
        <f t="shared" si="57"/>
        <v>260351</v>
      </c>
      <c r="H692" s="74" t="s">
        <v>5506</v>
      </c>
    </row>
    <row r="693" spans="1:8" ht="18.75">
      <c r="A693" s="70">
        <v>26</v>
      </c>
      <c r="B693" s="70">
        <v>3</v>
      </c>
      <c r="C693" s="70">
        <v>52</v>
      </c>
      <c r="D693" s="71" t="s">
        <v>4457</v>
      </c>
      <c r="E693" s="72" t="s">
        <v>829</v>
      </c>
      <c r="F693" s="73" t="str">
        <f t="shared" si="56"/>
        <v>260352</v>
      </c>
      <c r="G693" s="72" t="str">
        <f t="shared" si="57"/>
        <v>260352</v>
      </c>
      <c r="H693" s="74" t="s">
        <v>5507</v>
      </c>
    </row>
    <row r="694" spans="1:8" ht="18.75">
      <c r="A694" s="70">
        <v>26</v>
      </c>
      <c r="B694" s="70">
        <v>3</v>
      </c>
      <c r="C694" s="70">
        <v>53</v>
      </c>
      <c r="D694" s="71" t="s">
        <v>4458</v>
      </c>
      <c r="E694" s="72" t="s">
        <v>829</v>
      </c>
      <c r="F694" s="73" t="str">
        <f t="shared" si="56"/>
        <v>260353</v>
      </c>
      <c r="G694" s="72" t="str">
        <f t="shared" si="57"/>
        <v>260353</v>
      </c>
      <c r="H694" s="74" t="s">
        <v>5508</v>
      </c>
    </row>
    <row r="695" spans="1:8" ht="18.75">
      <c r="A695" s="70">
        <v>26</v>
      </c>
      <c r="B695" s="70">
        <v>3</v>
      </c>
      <c r="C695" s="70">
        <v>54</v>
      </c>
      <c r="D695" s="71" t="s">
        <v>4459</v>
      </c>
      <c r="E695" s="72" t="s">
        <v>829</v>
      </c>
      <c r="F695" s="73" t="str">
        <f t="shared" si="56"/>
        <v>260354</v>
      </c>
      <c r="G695" s="72" t="str">
        <f t="shared" si="57"/>
        <v>260354</v>
      </c>
      <c r="H695" s="74" t="s">
        <v>5509</v>
      </c>
    </row>
    <row r="696" spans="1:8" ht="18.75">
      <c r="A696" s="70">
        <v>26</v>
      </c>
      <c r="B696" s="70">
        <v>3</v>
      </c>
      <c r="C696" s="70">
        <v>55</v>
      </c>
      <c r="D696" s="71" t="s">
        <v>4460</v>
      </c>
      <c r="E696" s="72" t="s">
        <v>829</v>
      </c>
      <c r="F696" s="73" t="str">
        <f t="shared" si="56"/>
        <v>260355</v>
      </c>
      <c r="G696" s="72" t="str">
        <f t="shared" si="57"/>
        <v>260355</v>
      </c>
      <c r="H696" s="74" t="s">
        <v>5510</v>
      </c>
    </row>
    <row r="697" spans="1:8" ht="18.75">
      <c r="A697" s="70">
        <v>26</v>
      </c>
      <c r="B697" s="70">
        <v>3</v>
      </c>
      <c r="C697" s="70">
        <v>56</v>
      </c>
      <c r="D697" s="71" t="s">
        <v>4461</v>
      </c>
      <c r="E697" s="72" t="s">
        <v>829</v>
      </c>
      <c r="F697" s="73" t="str">
        <f t="shared" si="56"/>
        <v>260356</v>
      </c>
      <c r="G697" s="72" t="str">
        <f t="shared" si="57"/>
        <v>260356</v>
      </c>
      <c r="H697" s="74" t="s">
        <v>5511</v>
      </c>
    </row>
    <row r="698" spans="1:8" ht="18.75">
      <c r="A698" s="70">
        <v>26</v>
      </c>
      <c r="B698" s="70">
        <v>3</v>
      </c>
      <c r="C698" s="70">
        <v>57</v>
      </c>
      <c r="D698" s="71" t="s">
        <v>4462</v>
      </c>
      <c r="E698" s="72" t="s">
        <v>829</v>
      </c>
      <c r="F698" s="73" t="str">
        <f t="shared" si="56"/>
        <v>260357</v>
      </c>
      <c r="G698" s="72" t="str">
        <f t="shared" si="57"/>
        <v>260357</v>
      </c>
      <c r="H698" s="74" t="s">
        <v>5512</v>
      </c>
    </row>
    <row r="699" spans="1:8" ht="18.75">
      <c r="A699" s="70">
        <v>26</v>
      </c>
      <c r="B699" s="70">
        <v>3</v>
      </c>
      <c r="C699" s="70">
        <v>58</v>
      </c>
      <c r="D699" s="71" t="s">
        <v>5847</v>
      </c>
      <c r="E699" s="72" t="s">
        <v>829</v>
      </c>
      <c r="F699" s="73" t="str">
        <f t="shared" si="56"/>
        <v>260358</v>
      </c>
      <c r="G699" s="72" t="str">
        <f t="shared" si="57"/>
        <v>260358</v>
      </c>
      <c r="H699" s="74" t="s">
        <v>5848</v>
      </c>
    </row>
    <row r="700" spans="1:8" ht="18.75">
      <c r="A700" s="70">
        <v>26</v>
      </c>
      <c r="B700" s="70">
        <v>3</v>
      </c>
      <c r="C700" s="70">
        <v>59</v>
      </c>
      <c r="D700" s="71" t="s">
        <v>5849</v>
      </c>
      <c r="E700" s="72" t="s">
        <v>829</v>
      </c>
      <c r="F700" s="73" t="str">
        <f t="shared" si="56"/>
        <v>260359</v>
      </c>
      <c r="G700" s="72" t="str">
        <f t="shared" si="57"/>
        <v>260359</v>
      </c>
      <c r="H700" s="74" t="s">
        <v>5850</v>
      </c>
    </row>
    <row r="701" spans="1:8" ht="18.75">
      <c r="A701" s="70">
        <v>26</v>
      </c>
      <c r="B701" s="70">
        <v>3</v>
      </c>
      <c r="C701" s="70">
        <v>60</v>
      </c>
      <c r="D701" s="71" t="s">
        <v>5851</v>
      </c>
      <c r="E701" s="72" t="s">
        <v>829</v>
      </c>
      <c r="F701" s="73" t="str">
        <f t="shared" si="56"/>
        <v>260360</v>
      </c>
      <c r="G701" s="72" t="str">
        <f t="shared" si="57"/>
        <v>260360</v>
      </c>
      <c r="H701" s="74" t="s">
        <v>5852</v>
      </c>
    </row>
    <row r="702" spans="1:8" ht="18.75">
      <c r="A702" s="70">
        <v>26</v>
      </c>
      <c r="B702" s="70">
        <v>3</v>
      </c>
      <c r="C702" s="70">
        <v>61</v>
      </c>
      <c r="D702" s="71" t="s">
        <v>5954</v>
      </c>
      <c r="E702" s="72" t="s">
        <v>829</v>
      </c>
      <c r="F702" s="73" t="str">
        <f t="shared" si="56"/>
        <v>260361</v>
      </c>
      <c r="G702" s="72" t="str">
        <f t="shared" si="57"/>
        <v>260361</v>
      </c>
      <c r="H702" s="74" t="s">
        <v>5955</v>
      </c>
    </row>
    <row r="703" spans="1:8" ht="18.75">
      <c r="A703" s="70">
        <v>26</v>
      </c>
      <c r="B703" s="70">
        <v>3</v>
      </c>
      <c r="C703" s="70">
        <v>62</v>
      </c>
      <c r="D703" s="71" t="s">
        <v>5956</v>
      </c>
      <c r="E703" s="72" t="s">
        <v>829</v>
      </c>
      <c r="F703" s="73" t="str">
        <f t="shared" si="56"/>
        <v>260362</v>
      </c>
      <c r="G703" s="72" t="str">
        <f t="shared" si="57"/>
        <v>260362</v>
      </c>
      <c r="H703" s="74" t="s">
        <v>5957</v>
      </c>
    </row>
    <row r="704" spans="1:8" ht="18.75">
      <c r="A704" s="70">
        <v>26</v>
      </c>
      <c r="B704" s="70">
        <v>3</v>
      </c>
      <c r="C704" s="70">
        <v>63</v>
      </c>
      <c r="D704" s="71" t="s">
        <v>5958</v>
      </c>
      <c r="E704" s="72" t="s">
        <v>829</v>
      </c>
      <c r="F704" s="73" t="str">
        <f t="shared" si="56"/>
        <v>260363</v>
      </c>
      <c r="G704" s="72" t="str">
        <f t="shared" si="57"/>
        <v>260363</v>
      </c>
      <c r="H704" s="74" t="s">
        <v>5959</v>
      </c>
    </row>
    <row r="705" spans="1:8" ht="18.75">
      <c r="A705" s="70">
        <v>26</v>
      </c>
      <c r="B705" s="70">
        <v>3</v>
      </c>
      <c r="C705" s="70">
        <v>64</v>
      </c>
      <c r="D705" s="71" t="s">
        <v>3581</v>
      </c>
      <c r="E705" s="72" t="s">
        <v>829</v>
      </c>
      <c r="F705" s="73" t="str">
        <f t="shared" si="56"/>
        <v>260364</v>
      </c>
      <c r="G705" s="72" t="str">
        <f t="shared" si="57"/>
        <v>260364</v>
      </c>
      <c r="H705" s="74" t="s">
        <v>5960</v>
      </c>
    </row>
    <row r="706" spans="1:8" ht="18.75">
      <c r="A706" s="62">
        <v>27</v>
      </c>
      <c r="B706" s="62">
        <v>0</v>
      </c>
      <c r="C706" s="62">
        <v>0</v>
      </c>
      <c r="D706" s="63" t="s">
        <v>2865</v>
      </c>
      <c r="E706" s="64"/>
      <c r="F706" s="75"/>
      <c r="G706" s="76"/>
      <c r="H706" s="77"/>
    </row>
    <row r="707" spans="1:8" ht="18.75">
      <c r="A707" s="66">
        <v>27</v>
      </c>
      <c r="B707" s="66">
        <v>1</v>
      </c>
      <c r="C707" s="66">
        <v>0</v>
      </c>
      <c r="D707" s="67" t="s">
        <v>2866</v>
      </c>
      <c r="E707" s="68"/>
      <c r="F707" s="78"/>
      <c r="G707" s="79"/>
      <c r="H707" s="80"/>
    </row>
    <row r="708" spans="1:8" ht="18.75">
      <c r="A708" s="70">
        <v>27</v>
      </c>
      <c r="B708" s="70">
        <v>1</v>
      </c>
      <c r="C708" s="70">
        <v>11</v>
      </c>
      <c r="D708" s="71" t="s">
        <v>727</v>
      </c>
      <c r="E708" s="72" t="s">
        <v>829</v>
      </c>
      <c r="F708" s="73" t="str">
        <f>TEXT(A708,"00")&amp;TEXT(B708,"00")&amp;TEXT(C708,"00")</f>
        <v>270111</v>
      </c>
      <c r="G708" s="72" t="str">
        <f>TEXT(F708,"000000")</f>
        <v>270111</v>
      </c>
      <c r="H708" s="74" t="s">
        <v>4463</v>
      </c>
    </row>
    <row r="709" spans="1:8" ht="18.75">
      <c r="A709" s="62">
        <v>30</v>
      </c>
      <c r="B709" s="62">
        <v>0</v>
      </c>
      <c r="C709" s="62">
        <v>0</v>
      </c>
      <c r="D709" s="63" t="s">
        <v>5461</v>
      </c>
      <c r="E709" s="64"/>
      <c r="F709" s="75"/>
      <c r="G709" s="76"/>
      <c r="H709" s="77"/>
    </row>
    <row r="710" spans="1:8" ht="18.75">
      <c r="A710" s="66">
        <v>30</v>
      </c>
      <c r="B710" s="66">
        <v>1</v>
      </c>
      <c r="C710" s="66">
        <v>0</v>
      </c>
      <c r="D710" s="67" t="s">
        <v>2990</v>
      </c>
      <c r="E710" s="68"/>
      <c r="F710" s="78"/>
      <c r="G710" s="79"/>
      <c r="H710" s="80"/>
    </row>
    <row r="711" spans="1:8" ht="18.75">
      <c r="A711" s="70">
        <v>30</v>
      </c>
      <c r="B711" s="70">
        <v>1</v>
      </c>
      <c r="C711" s="70">
        <v>11</v>
      </c>
      <c r="D711" s="71" t="s">
        <v>3167</v>
      </c>
      <c r="E711" s="72" t="s">
        <v>4049</v>
      </c>
      <c r="F711" s="73" t="str">
        <f>TEXT(A711,"00")&amp;TEXT(B711,"00")&amp;TEXT(C711,"00")</f>
        <v>300111</v>
      </c>
      <c r="G711" s="72" t="str">
        <f>TEXT(F711,"000000")</f>
        <v>300111</v>
      </c>
      <c r="H711" s="74" t="s">
        <v>4464</v>
      </c>
    </row>
    <row r="712" spans="1:8" ht="18.75">
      <c r="A712" s="70">
        <v>30</v>
      </c>
      <c r="B712" s="70">
        <v>1</v>
      </c>
      <c r="C712" s="70">
        <v>13</v>
      </c>
      <c r="D712" s="71" t="s">
        <v>3166</v>
      </c>
      <c r="E712" s="72" t="s">
        <v>4049</v>
      </c>
      <c r="F712" s="73" t="str">
        <f>TEXT(A712,"00")&amp;TEXT(B712,"00")&amp;TEXT(C712,"00")</f>
        <v>300113</v>
      </c>
      <c r="G712" s="72" t="str">
        <f>TEXT(F712,"000000")</f>
        <v>300113</v>
      </c>
      <c r="H712" s="74" t="s">
        <v>4465</v>
      </c>
    </row>
    <row r="713" spans="1:8" ht="18.75">
      <c r="A713" s="70">
        <v>30</v>
      </c>
      <c r="B713" s="70">
        <v>1</v>
      </c>
      <c r="C713" s="70">
        <v>15</v>
      </c>
      <c r="D713" s="71" t="s">
        <v>3165</v>
      </c>
      <c r="E713" s="72" t="s">
        <v>4049</v>
      </c>
      <c r="F713" s="73" t="str">
        <f>TEXT(A713,"00")&amp;TEXT(B713,"00")&amp;TEXT(C713,"00")</f>
        <v>300115</v>
      </c>
      <c r="G713" s="72" t="str">
        <f>TEXT(F713,"000000")</f>
        <v>300115</v>
      </c>
      <c r="H713" s="74" t="s">
        <v>4466</v>
      </c>
    </row>
    <row r="714" spans="1:8" ht="18.75">
      <c r="A714" s="70">
        <v>30</v>
      </c>
      <c r="B714" s="70">
        <v>1</v>
      </c>
      <c r="C714" s="70">
        <v>17</v>
      </c>
      <c r="D714" s="71" t="s">
        <v>730</v>
      </c>
      <c r="E714" s="72" t="s">
        <v>829</v>
      </c>
      <c r="F714" s="73" t="str">
        <f>TEXT(A714,"00")&amp;TEXT(B714,"00")&amp;TEXT(C714,"00")</f>
        <v>300117</v>
      </c>
      <c r="G714" s="72" t="str">
        <f>TEXT(F714,"000000")</f>
        <v>300117</v>
      </c>
      <c r="H714" s="74" t="s">
        <v>4467</v>
      </c>
    </row>
    <row r="715" spans="1:8" ht="18.75">
      <c r="A715" s="70">
        <v>30</v>
      </c>
      <c r="B715" s="70">
        <v>1</v>
      </c>
      <c r="C715" s="70">
        <v>19</v>
      </c>
      <c r="D715" s="71" t="s">
        <v>316</v>
      </c>
      <c r="E715" s="72" t="s">
        <v>829</v>
      </c>
      <c r="F715" s="73" t="str">
        <f>TEXT(A715,"00")&amp;TEXT(B715,"00")&amp;TEXT(C715,"00")</f>
        <v>300119</v>
      </c>
      <c r="G715" s="72" t="str">
        <f>TEXT(F715,"000000")</f>
        <v>300119</v>
      </c>
      <c r="H715" s="74" t="s">
        <v>4468</v>
      </c>
    </row>
    <row r="716" spans="1:8" ht="18.75">
      <c r="A716" s="66">
        <v>30</v>
      </c>
      <c r="B716" s="66">
        <v>2</v>
      </c>
      <c r="C716" s="66">
        <v>0</v>
      </c>
      <c r="D716" s="67" t="s">
        <v>2991</v>
      </c>
      <c r="E716" s="68"/>
      <c r="F716" s="78"/>
      <c r="G716" s="79"/>
      <c r="H716" s="80"/>
    </row>
    <row r="717" spans="1:8" ht="18.75">
      <c r="A717" s="70">
        <v>30</v>
      </c>
      <c r="B717" s="70">
        <v>2</v>
      </c>
      <c r="C717" s="70">
        <v>11</v>
      </c>
      <c r="D717" s="71" t="s">
        <v>3516</v>
      </c>
      <c r="E717" s="72" t="s">
        <v>829</v>
      </c>
      <c r="F717" s="73" t="str">
        <f t="shared" ref="F717:F730" si="58">TEXT(A717,"00")&amp;TEXT(B717,"00")&amp;TEXT(C717,"00")</f>
        <v>300211</v>
      </c>
      <c r="G717" s="72" t="str">
        <f t="shared" ref="G717:G730" si="59">TEXT(F717,"000000")</f>
        <v>300211</v>
      </c>
      <c r="H717" s="74" t="s">
        <v>4469</v>
      </c>
    </row>
    <row r="718" spans="1:8" ht="18.75">
      <c r="A718" s="70">
        <v>30</v>
      </c>
      <c r="B718" s="70">
        <v>2</v>
      </c>
      <c r="C718" s="70">
        <v>12</v>
      </c>
      <c r="D718" s="71" t="s">
        <v>3517</v>
      </c>
      <c r="E718" s="72" t="s">
        <v>829</v>
      </c>
      <c r="F718" s="73" t="str">
        <f t="shared" si="58"/>
        <v>300212</v>
      </c>
      <c r="G718" s="72" t="str">
        <f t="shared" si="59"/>
        <v>300212</v>
      </c>
      <c r="H718" s="74" t="s">
        <v>4470</v>
      </c>
    </row>
    <row r="719" spans="1:8" ht="18.75">
      <c r="A719" s="70">
        <v>30</v>
      </c>
      <c r="B719" s="70">
        <v>2</v>
      </c>
      <c r="C719" s="70">
        <v>13</v>
      </c>
      <c r="D719" s="71" t="s">
        <v>3518</v>
      </c>
      <c r="E719" s="72" t="s">
        <v>829</v>
      </c>
      <c r="F719" s="73" t="str">
        <f t="shared" si="58"/>
        <v>300213</v>
      </c>
      <c r="G719" s="72" t="str">
        <f t="shared" si="59"/>
        <v>300213</v>
      </c>
      <c r="H719" s="74" t="s">
        <v>4471</v>
      </c>
    </row>
    <row r="720" spans="1:8" ht="18.75">
      <c r="A720" s="70">
        <v>30</v>
      </c>
      <c r="B720" s="70">
        <v>2</v>
      </c>
      <c r="C720" s="70">
        <v>14</v>
      </c>
      <c r="D720" s="71" t="s">
        <v>3519</v>
      </c>
      <c r="E720" s="72" t="s">
        <v>829</v>
      </c>
      <c r="F720" s="73" t="str">
        <f t="shared" si="58"/>
        <v>300214</v>
      </c>
      <c r="G720" s="72" t="str">
        <f t="shared" si="59"/>
        <v>300214</v>
      </c>
      <c r="H720" s="74" t="s">
        <v>4472</v>
      </c>
    </row>
    <row r="721" spans="1:8" ht="18.75">
      <c r="A721" s="70">
        <v>30</v>
      </c>
      <c r="B721" s="70">
        <v>2</v>
      </c>
      <c r="C721" s="70">
        <v>15</v>
      </c>
      <c r="D721" s="71" t="s">
        <v>3520</v>
      </c>
      <c r="E721" s="72" t="s">
        <v>829</v>
      </c>
      <c r="F721" s="73" t="str">
        <f t="shared" si="58"/>
        <v>300215</v>
      </c>
      <c r="G721" s="72" t="str">
        <f t="shared" si="59"/>
        <v>300215</v>
      </c>
      <c r="H721" s="74" t="s">
        <v>4473</v>
      </c>
    </row>
    <row r="722" spans="1:8" ht="18.75">
      <c r="A722" s="70">
        <v>30</v>
      </c>
      <c r="B722" s="70">
        <v>2</v>
      </c>
      <c r="C722" s="70">
        <v>16</v>
      </c>
      <c r="D722" s="71" t="s">
        <v>3521</v>
      </c>
      <c r="E722" s="72" t="s">
        <v>829</v>
      </c>
      <c r="F722" s="73" t="str">
        <f t="shared" si="58"/>
        <v>300216</v>
      </c>
      <c r="G722" s="72" t="str">
        <f t="shared" si="59"/>
        <v>300216</v>
      </c>
      <c r="H722" s="74" t="s">
        <v>4474</v>
      </c>
    </row>
    <row r="723" spans="1:8" ht="18.75">
      <c r="A723" s="70">
        <v>30</v>
      </c>
      <c r="B723" s="70">
        <v>2</v>
      </c>
      <c r="C723" s="70">
        <v>17</v>
      </c>
      <c r="D723" s="71" t="s">
        <v>3522</v>
      </c>
      <c r="E723" s="72" t="s">
        <v>829</v>
      </c>
      <c r="F723" s="73" t="str">
        <f t="shared" si="58"/>
        <v>300217</v>
      </c>
      <c r="G723" s="72" t="str">
        <f t="shared" si="59"/>
        <v>300217</v>
      </c>
      <c r="H723" s="74" t="s">
        <v>4475</v>
      </c>
    </row>
    <row r="724" spans="1:8" ht="18.75">
      <c r="A724" s="70">
        <v>30</v>
      </c>
      <c r="B724" s="70">
        <v>2</v>
      </c>
      <c r="C724" s="70">
        <v>18</v>
      </c>
      <c r="D724" s="71" t="s">
        <v>5513</v>
      </c>
      <c r="E724" s="72" t="s">
        <v>829</v>
      </c>
      <c r="F724" s="73" t="str">
        <f t="shared" si="58"/>
        <v>300218</v>
      </c>
      <c r="G724" s="72" t="str">
        <f t="shared" si="59"/>
        <v>300218</v>
      </c>
      <c r="H724" s="74" t="s">
        <v>4476</v>
      </c>
    </row>
    <row r="725" spans="1:8" ht="18.75">
      <c r="A725" s="70">
        <v>30</v>
      </c>
      <c r="B725" s="70">
        <v>2</v>
      </c>
      <c r="C725" s="70">
        <v>19</v>
      </c>
      <c r="D725" s="71" t="s">
        <v>5514</v>
      </c>
      <c r="E725" s="72" t="s">
        <v>829</v>
      </c>
      <c r="F725" s="73" t="str">
        <f t="shared" si="58"/>
        <v>300219</v>
      </c>
      <c r="G725" s="72" t="str">
        <f t="shared" si="59"/>
        <v>300219</v>
      </c>
      <c r="H725" s="74" t="s">
        <v>4477</v>
      </c>
    </row>
    <row r="726" spans="1:8" ht="18.75">
      <c r="A726" s="70">
        <v>30</v>
      </c>
      <c r="B726" s="70">
        <v>2</v>
      </c>
      <c r="C726" s="70">
        <v>20</v>
      </c>
      <c r="D726" s="71" t="s">
        <v>5515</v>
      </c>
      <c r="E726" s="72" t="s">
        <v>829</v>
      </c>
      <c r="F726" s="73" t="str">
        <f t="shared" si="58"/>
        <v>300220</v>
      </c>
      <c r="G726" s="72" t="str">
        <f t="shared" si="59"/>
        <v>300220</v>
      </c>
      <c r="H726" s="74" t="s">
        <v>4478</v>
      </c>
    </row>
    <row r="727" spans="1:8" ht="18.75">
      <c r="A727" s="70">
        <v>30</v>
      </c>
      <c r="B727" s="70">
        <v>2</v>
      </c>
      <c r="C727" s="70">
        <v>21</v>
      </c>
      <c r="D727" s="71" t="s">
        <v>737</v>
      </c>
      <c r="E727" s="72" t="s">
        <v>3901</v>
      </c>
      <c r="F727" s="73" t="str">
        <f t="shared" si="58"/>
        <v>300221</v>
      </c>
      <c r="G727" s="72" t="str">
        <f t="shared" si="59"/>
        <v>300221</v>
      </c>
      <c r="H727" s="74" t="s">
        <v>4479</v>
      </c>
    </row>
    <row r="728" spans="1:8" ht="18.75">
      <c r="A728" s="70">
        <v>30</v>
      </c>
      <c r="B728" s="70">
        <v>2</v>
      </c>
      <c r="C728" s="70">
        <v>22</v>
      </c>
      <c r="D728" s="71" t="s">
        <v>5961</v>
      </c>
      <c r="E728" s="72" t="s">
        <v>829</v>
      </c>
      <c r="F728" s="73" t="str">
        <f t="shared" si="58"/>
        <v>300222</v>
      </c>
      <c r="G728" s="72" t="str">
        <f t="shared" si="59"/>
        <v>300222</v>
      </c>
      <c r="H728" s="74" t="s">
        <v>5962</v>
      </c>
    </row>
    <row r="729" spans="1:8" ht="18.75">
      <c r="A729" s="70">
        <v>30</v>
      </c>
      <c r="B729" s="70">
        <v>2</v>
      </c>
      <c r="C729" s="70">
        <v>23</v>
      </c>
      <c r="D729" s="71" t="s">
        <v>5963</v>
      </c>
      <c r="E729" s="72" t="s">
        <v>829</v>
      </c>
      <c r="F729" s="73" t="str">
        <f t="shared" si="58"/>
        <v>300223</v>
      </c>
      <c r="G729" s="72" t="str">
        <f t="shared" si="59"/>
        <v>300223</v>
      </c>
      <c r="H729" s="74" t="s">
        <v>5964</v>
      </c>
    </row>
    <row r="730" spans="1:8" ht="18.75">
      <c r="A730" s="70">
        <v>30</v>
      </c>
      <c r="B730" s="70">
        <v>2</v>
      </c>
      <c r="C730" s="70">
        <v>24</v>
      </c>
      <c r="D730" s="71" t="s">
        <v>5965</v>
      </c>
      <c r="E730" s="72" t="s">
        <v>829</v>
      </c>
      <c r="F730" s="73" t="str">
        <f t="shared" si="58"/>
        <v>300224</v>
      </c>
      <c r="G730" s="72" t="str">
        <f t="shared" si="59"/>
        <v>300224</v>
      </c>
      <c r="H730" s="74" t="s">
        <v>5966</v>
      </c>
    </row>
    <row r="731" spans="1:8" ht="18.75">
      <c r="A731" s="66">
        <v>30</v>
      </c>
      <c r="B731" s="66">
        <v>3</v>
      </c>
      <c r="C731" s="66">
        <v>0</v>
      </c>
      <c r="D731" s="67" t="s">
        <v>2992</v>
      </c>
      <c r="E731" s="68"/>
      <c r="F731" s="78"/>
      <c r="G731" s="79"/>
      <c r="H731" s="80"/>
    </row>
    <row r="732" spans="1:8" ht="18.75">
      <c r="A732" s="70">
        <v>30</v>
      </c>
      <c r="B732" s="70">
        <v>3</v>
      </c>
      <c r="C732" s="70">
        <v>11</v>
      </c>
      <c r="D732" s="71" t="s">
        <v>116</v>
      </c>
      <c r="E732" s="72" t="s">
        <v>829</v>
      </c>
      <c r="F732" s="73" t="str">
        <f>TEXT(A732,"00")&amp;TEXT(B732,"00")&amp;TEXT(C732,"00")</f>
        <v>300311</v>
      </c>
      <c r="G732" s="72" t="str">
        <f>TEXT(F732,"000000")</f>
        <v>300311</v>
      </c>
      <c r="H732" s="74" t="s">
        <v>4480</v>
      </c>
    </row>
    <row r="733" spans="1:8" ht="18.75">
      <c r="A733" s="70">
        <v>30</v>
      </c>
      <c r="B733" s="70">
        <v>3</v>
      </c>
      <c r="C733" s="70">
        <v>12</v>
      </c>
      <c r="D733" s="71" t="s">
        <v>3770</v>
      </c>
      <c r="E733" s="72" t="s">
        <v>829</v>
      </c>
      <c r="F733" s="73" t="str">
        <f>TEXT(A733,"00")&amp;TEXT(B733,"00")&amp;TEXT(C733,"00")</f>
        <v>300312</v>
      </c>
      <c r="G733" s="72" t="str">
        <f>TEXT(F733,"000000")</f>
        <v>300312</v>
      </c>
      <c r="H733" s="74" t="s">
        <v>4481</v>
      </c>
    </row>
    <row r="734" spans="1:8" ht="18.75">
      <c r="A734" s="62">
        <v>31</v>
      </c>
      <c r="B734" s="62">
        <v>0</v>
      </c>
      <c r="C734" s="62">
        <v>0</v>
      </c>
      <c r="D734" s="63" t="s">
        <v>2867</v>
      </c>
      <c r="E734" s="64"/>
      <c r="F734" s="75"/>
      <c r="G734" s="76"/>
      <c r="H734" s="77"/>
    </row>
    <row r="735" spans="1:8" ht="18.75">
      <c r="A735" s="66">
        <v>31</v>
      </c>
      <c r="B735" s="66">
        <v>1</v>
      </c>
      <c r="C735" s="66">
        <v>0</v>
      </c>
      <c r="D735" s="67" t="s">
        <v>2868</v>
      </c>
      <c r="E735" s="68"/>
      <c r="F735" s="78"/>
      <c r="G735" s="79"/>
      <c r="H735" s="80"/>
    </row>
    <row r="736" spans="1:8" ht="18.75">
      <c r="A736" s="70">
        <v>31</v>
      </c>
      <c r="B736" s="70">
        <v>1</v>
      </c>
      <c r="C736" s="70">
        <v>11</v>
      </c>
      <c r="D736" s="71" t="s">
        <v>23</v>
      </c>
      <c r="E736" s="72" t="s">
        <v>829</v>
      </c>
      <c r="F736" s="73" t="str">
        <f t="shared" ref="F736:F742" si="60">TEXT(A736,"00")&amp;TEXT(B736,"00")&amp;TEXT(C736,"00")</f>
        <v>310111</v>
      </c>
      <c r="G736" s="72" t="str">
        <f t="shared" ref="G736:G742" si="61">TEXT(F736,"000000")</f>
        <v>310111</v>
      </c>
      <c r="H736" s="74" t="s">
        <v>4482</v>
      </c>
    </row>
    <row r="737" spans="1:8" ht="18.75">
      <c r="A737" s="70">
        <v>31</v>
      </c>
      <c r="B737" s="70">
        <v>1</v>
      </c>
      <c r="C737" s="70">
        <v>12</v>
      </c>
      <c r="D737" s="71" t="s">
        <v>24</v>
      </c>
      <c r="E737" s="72" t="s">
        <v>829</v>
      </c>
      <c r="F737" s="73" t="str">
        <f t="shared" si="60"/>
        <v>310112</v>
      </c>
      <c r="G737" s="72" t="str">
        <f t="shared" si="61"/>
        <v>310112</v>
      </c>
      <c r="H737" s="74" t="s">
        <v>4483</v>
      </c>
    </row>
    <row r="738" spans="1:8" ht="18.75">
      <c r="A738" s="70">
        <v>31</v>
      </c>
      <c r="B738" s="70">
        <v>1</v>
      </c>
      <c r="C738" s="70">
        <v>13</v>
      </c>
      <c r="D738" s="71" t="s">
        <v>25</v>
      </c>
      <c r="E738" s="72" t="s">
        <v>829</v>
      </c>
      <c r="F738" s="73" t="str">
        <f t="shared" si="60"/>
        <v>310113</v>
      </c>
      <c r="G738" s="72" t="str">
        <f t="shared" si="61"/>
        <v>310113</v>
      </c>
      <c r="H738" s="74" t="s">
        <v>4484</v>
      </c>
    </row>
    <row r="739" spans="1:8" ht="18.75">
      <c r="A739" s="70">
        <v>31</v>
      </c>
      <c r="B739" s="70">
        <v>1</v>
      </c>
      <c r="C739" s="70">
        <v>21</v>
      </c>
      <c r="D739" s="71" t="s">
        <v>22</v>
      </c>
      <c r="E739" s="72" t="s">
        <v>829</v>
      </c>
      <c r="F739" s="73" t="str">
        <f t="shared" si="60"/>
        <v>310121</v>
      </c>
      <c r="G739" s="72" t="str">
        <f t="shared" si="61"/>
        <v>310121</v>
      </c>
      <c r="H739" s="74" t="s">
        <v>4485</v>
      </c>
    </row>
    <row r="740" spans="1:8" ht="18.75">
      <c r="A740" s="70">
        <v>31</v>
      </c>
      <c r="B740" s="70">
        <v>1</v>
      </c>
      <c r="C740" s="70">
        <v>31</v>
      </c>
      <c r="D740" s="71" t="s">
        <v>4486</v>
      </c>
      <c r="E740" s="72" t="s">
        <v>829</v>
      </c>
      <c r="F740" s="73" t="str">
        <f t="shared" si="60"/>
        <v>310131</v>
      </c>
      <c r="G740" s="72" t="str">
        <f t="shared" si="61"/>
        <v>310131</v>
      </c>
      <c r="H740" s="74" t="s">
        <v>4487</v>
      </c>
    </row>
    <row r="741" spans="1:8" ht="18.75">
      <c r="A741" s="70">
        <v>31</v>
      </c>
      <c r="B741" s="70">
        <v>1</v>
      </c>
      <c r="C741" s="70">
        <v>32</v>
      </c>
      <c r="D741" s="71" t="s">
        <v>5516</v>
      </c>
      <c r="E741" s="72" t="s">
        <v>829</v>
      </c>
      <c r="F741" s="73" t="str">
        <f t="shared" si="60"/>
        <v>310132</v>
      </c>
      <c r="G741" s="72" t="str">
        <f t="shared" si="61"/>
        <v>310132</v>
      </c>
      <c r="H741" s="74" t="s">
        <v>4488</v>
      </c>
    </row>
    <row r="742" spans="1:8" ht="18.75">
      <c r="A742" s="70">
        <v>31</v>
      </c>
      <c r="B742" s="70">
        <v>1</v>
      </c>
      <c r="C742" s="70">
        <v>33</v>
      </c>
      <c r="D742" s="71" t="s">
        <v>5517</v>
      </c>
      <c r="E742" s="72" t="s">
        <v>829</v>
      </c>
      <c r="F742" s="73" t="str">
        <f t="shared" si="60"/>
        <v>310133</v>
      </c>
      <c r="G742" s="72" t="str">
        <f t="shared" si="61"/>
        <v>310133</v>
      </c>
      <c r="H742" s="74" t="s">
        <v>5518</v>
      </c>
    </row>
    <row r="743" spans="1:8" ht="18.75">
      <c r="A743" s="62">
        <v>34</v>
      </c>
      <c r="B743" s="62">
        <v>0</v>
      </c>
      <c r="C743" s="62">
        <v>0</v>
      </c>
      <c r="D743" s="63" t="s">
        <v>2869</v>
      </c>
      <c r="E743" s="64"/>
      <c r="F743" s="75"/>
      <c r="G743" s="76"/>
      <c r="H743" s="77"/>
    </row>
    <row r="744" spans="1:8" ht="18.75">
      <c r="A744" s="66">
        <v>34</v>
      </c>
      <c r="B744" s="66">
        <v>1</v>
      </c>
      <c r="C744" s="66">
        <v>0</v>
      </c>
      <c r="D744" s="67" t="s">
        <v>694</v>
      </c>
      <c r="E744" s="68"/>
      <c r="F744" s="78"/>
      <c r="G744" s="79"/>
      <c r="H744" s="80"/>
    </row>
    <row r="745" spans="1:8" ht="18.75">
      <c r="A745" s="70">
        <v>34</v>
      </c>
      <c r="B745" s="70">
        <v>1</v>
      </c>
      <c r="C745" s="70">
        <v>11</v>
      </c>
      <c r="D745" s="71" t="s">
        <v>694</v>
      </c>
      <c r="E745" s="72" t="s">
        <v>4489</v>
      </c>
      <c r="F745" s="73" t="str">
        <f>TEXT(A745,"00")&amp;TEXT(B745,"00")&amp;TEXT(C745,"00")</f>
        <v>340111</v>
      </c>
      <c r="G745" s="72" t="str">
        <f>TEXT(F745,"000000")</f>
        <v>340111</v>
      </c>
      <c r="H745" s="74" t="s">
        <v>4490</v>
      </c>
    </row>
    <row r="746" spans="1:8" ht="18.75">
      <c r="A746" s="62">
        <v>37</v>
      </c>
      <c r="B746" s="62">
        <v>0</v>
      </c>
      <c r="C746" s="62">
        <v>0</v>
      </c>
      <c r="D746" s="63" t="s">
        <v>2870</v>
      </c>
      <c r="E746" s="64"/>
      <c r="F746" s="75"/>
      <c r="G746" s="76"/>
      <c r="H746" s="77"/>
    </row>
    <row r="747" spans="1:8" ht="18.75">
      <c r="A747" s="66">
        <v>37</v>
      </c>
      <c r="B747" s="66">
        <v>1</v>
      </c>
      <c r="C747" s="66">
        <v>0</v>
      </c>
      <c r="D747" s="67" t="s">
        <v>2871</v>
      </c>
      <c r="E747" s="68"/>
      <c r="F747" s="78"/>
      <c r="G747" s="79"/>
      <c r="H747" s="80"/>
    </row>
    <row r="748" spans="1:8" ht="18.75">
      <c r="A748" s="70">
        <v>37</v>
      </c>
      <c r="B748" s="70">
        <v>1</v>
      </c>
      <c r="C748" s="70">
        <v>10</v>
      </c>
      <c r="D748" s="71" t="s">
        <v>130</v>
      </c>
      <c r="E748" s="72" t="s">
        <v>829</v>
      </c>
      <c r="F748" s="73" t="str">
        <f t="shared" ref="F748:F781" si="62">TEXT(A748,"00")&amp;TEXT(B748,"00")&amp;TEXT(C748,"00")</f>
        <v>370110</v>
      </c>
      <c r="G748" s="72" t="str">
        <f t="shared" ref="G748:G781" si="63">TEXT(F748,"000000")</f>
        <v>370110</v>
      </c>
      <c r="H748" s="74" t="s">
        <v>4491</v>
      </c>
    </row>
    <row r="749" spans="1:8" ht="18.75">
      <c r="A749" s="70">
        <v>37</v>
      </c>
      <c r="B749" s="70">
        <v>1</v>
      </c>
      <c r="C749" s="70">
        <v>11</v>
      </c>
      <c r="D749" s="71" t="s">
        <v>131</v>
      </c>
      <c r="E749" s="72" t="s">
        <v>829</v>
      </c>
      <c r="F749" s="73" t="str">
        <f t="shared" si="62"/>
        <v>370111</v>
      </c>
      <c r="G749" s="72" t="str">
        <f t="shared" si="63"/>
        <v>370111</v>
      </c>
      <c r="H749" s="74" t="s">
        <v>4492</v>
      </c>
    </row>
    <row r="750" spans="1:8" ht="18.75">
      <c r="A750" s="70">
        <v>37</v>
      </c>
      <c r="B750" s="70">
        <v>1</v>
      </c>
      <c r="C750" s="70">
        <v>12</v>
      </c>
      <c r="D750" s="71" t="s">
        <v>3172</v>
      </c>
      <c r="E750" s="72" t="s">
        <v>829</v>
      </c>
      <c r="F750" s="73" t="str">
        <f t="shared" si="62"/>
        <v>370112</v>
      </c>
      <c r="G750" s="72" t="str">
        <f t="shared" si="63"/>
        <v>370112</v>
      </c>
      <c r="H750" s="74" t="s">
        <v>4493</v>
      </c>
    </row>
    <row r="751" spans="1:8" ht="18.75">
      <c r="A751" s="70">
        <v>37</v>
      </c>
      <c r="B751" s="70">
        <v>1</v>
      </c>
      <c r="C751" s="70">
        <v>13</v>
      </c>
      <c r="D751" s="71" t="s">
        <v>132</v>
      </c>
      <c r="E751" s="72" t="s">
        <v>829</v>
      </c>
      <c r="F751" s="73" t="str">
        <f t="shared" si="62"/>
        <v>370113</v>
      </c>
      <c r="G751" s="72" t="str">
        <f t="shared" si="63"/>
        <v>370113</v>
      </c>
      <c r="H751" s="74" t="s">
        <v>4494</v>
      </c>
    </row>
    <row r="752" spans="1:8" ht="18.75">
      <c r="A752" s="70">
        <v>37</v>
      </c>
      <c r="B752" s="70">
        <v>1</v>
      </c>
      <c r="C752" s="70">
        <v>14</v>
      </c>
      <c r="D752" s="71" t="s">
        <v>3190</v>
      </c>
      <c r="E752" s="72" t="s">
        <v>829</v>
      </c>
      <c r="F752" s="73" t="str">
        <f t="shared" si="62"/>
        <v>370114</v>
      </c>
      <c r="G752" s="72" t="str">
        <f t="shared" si="63"/>
        <v>370114</v>
      </c>
      <c r="H752" s="74" t="s">
        <v>4495</v>
      </c>
    </row>
    <row r="753" spans="1:8" ht="18.75">
      <c r="A753" s="70">
        <v>37</v>
      </c>
      <c r="B753" s="70">
        <v>1</v>
      </c>
      <c r="C753" s="70">
        <v>41</v>
      </c>
      <c r="D753" s="71" t="s">
        <v>3751</v>
      </c>
      <c r="E753" s="72" t="s">
        <v>829</v>
      </c>
      <c r="F753" s="73" t="str">
        <f t="shared" si="62"/>
        <v>370141</v>
      </c>
      <c r="G753" s="72" t="str">
        <f t="shared" si="63"/>
        <v>370141</v>
      </c>
      <c r="H753" s="74" t="s">
        <v>4496</v>
      </c>
    </row>
    <row r="754" spans="1:8" ht="18.75">
      <c r="A754" s="70">
        <v>37</v>
      </c>
      <c r="B754" s="70">
        <v>1</v>
      </c>
      <c r="C754" s="70">
        <v>15</v>
      </c>
      <c r="D754" s="71" t="s">
        <v>3173</v>
      </c>
      <c r="E754" s="72" t="s">
        <v>829</v>
      </c>
      <c r="F754" s="73" t="str">
        <f t="shared" si="62"/>
        <v>370115</v>
      </c>
      <c r="G754" s="72" t="str">
        <f t="shared" si="63"/>
        <v>370115</v>
      </c>
      <c r="H754" s="74" t="s">
        <v>4497</v>
      </c>
    </row>
    <row r="755" spans="1:8" ht="18.75">
      <c r="A755" s="70">
        <v>37</v>
      </c>
      <c r="B755" s="70">
        <v>1</v>
      </c>
      <c r="C755" s="70">
        <v>16</v>
      </c>
      <c r="D755" s="71" t="s">
        <v>3174</v>
      </c>
      <c r="E755" s="72" t="s">
        <v>829</v>
      </c>
      <c r="F755" s="73" t="str">
        <f t="shared" si="62"/>
        <v>370116</v>
      </c>
      <c r="G755" s="72" t="str">
        <f t="shared" si="63"/>
        <v>370116</v>
      </c>
      <c r="H755" s="74" t="s">
        <v>4498</v>
      </c>
    </row>
    <row r="756" spans="1:8" ht="18.75">
      <c r="A756" s="70">
        <v>37</v>
      </c>
      <c r="B756" s="70">
        <v>1</v>
      </c>
      <c r="C756" s="70">
        <v>17</v>
      </c>
      <c r="D756" s="71" t="s">
        <v>3191</v>
      </c>
      <c r="E756" s="72" t="s">
        <v>829</v>
      </c>
      <c r="F756" s="73" t="str">
        <f t="shared" si="62"/>
        <v>370117</v>
      </c>
      <c r="G756" s="72" t="str">
        <f t="shared" si="63"/>
        <v>370117</v>
      </c>
      <c r="H756" s="74" t="s">
        <v>4499</v>
      </c>
    </row>
    <row r="757" spans="1:8" ht="18.75">
      <c r="A757" s="70">
        <v>37</v>
      </c>
      <c r="B757" s="70">
        <v>1</v>
      </c>
      <c r="C757" s="70">
        <v>18</v>
      </c>
      <c r="D757" s="71" t="s">
        <v>3182</v>
      </c>
      <c r="E757" s="72" t="s">
        <v>829</v>
      </c>
      <c r="F757" s="73" t="str">
        <f t="shared" si="62"/>
        <v>370118</v>
      </c>
      <c r="G757" s="72" t="str">
        <f t="shared" si="63"/>
        <v>370118</v>
      </c>
      <c r="H757" s="74" t="s">
        <v>4500</v>
      </c>
    </row>
    <row r="758" spans="1:8" ht="18.75">
      <c r="A758" s="70">
        <v>37</v>
      </c>
      <c r="B758" s="70">
        <v>1</v>
      </c>
      <c r="C758" s="70">
        <v>19</v>
      </c>
      <c r="D758" s="71" t="s">
        <v>3185</v>
      </c>
      <c r="E758" s="72" t="s">
        <v>829</v>
      </c>
      <c r="F758" s="73" t="str">
        <f t="shared" si="62"/>
        <v>370119</v>
      </c>
      <c r="G758" s="72" t="str">
        <f t="shared" si="63"/>
        <v>370119</v>
      </c>
      <c r="H758" s="74" t="s">
        <v>4501</v>
      </c>
    </row>
    <row r="759" spans="1:8" ht="18.75">
      <c r="A759" s="70">
        <v>37</v>
      </c>
      <c r="B759" s="70">
        <v>1</v>
      </c>
      <c r="C759" s="70">
        <v>20</v>
      </c>
      <c r="D759" s="71" t="s">
        <v>3183</v>
      </c>
      <c r="E759" s="72" t="s">
        <v>829</v>
      </c>
      <c r="F759" s="73" t="str">
        <f t="shared" si="62"/>
        <v>370120</v>
      </c>
      <c r="G759" s="72" t="str">
        <f t="shared" si="63"/>
        <v>370120</v>
      </c>
      <c r="H759" s="74" t="s">
        <v>4502</v>
      </c>
    </row>
    <row r="760" spans="1:8" ht="18.75">
      <c r="A760" s="70">
        <v>37</v>
      </c>
      <c r="B760" s="70">
        <v>1</v>
      </c>
      <c r="C760" s="70">
        <v>21</v>
      </c>
      <c r="D760" s="71" t="s">
        <v>3629</v>
      </c>
      <c r="E760" s="72" t="s">
        <v>829</v>
      </c>
      <c r="F760" s="73" t="str">
        <f t="shared" si="62"/>
        <v>370121</v>
      </c>
      <c r="G760" s="72" t="str">
        <f t="shared" si="63"/>
        <v>370121</v>
      </c>
      <c r="H760" s="74" t="s">
        <v>4503</v>
      </c>
    </row>
    <row r="761" spans="1:8" ht="18.75">
      <c r="A761" s="70">
        <v>37</v>
      </c>
      <c r="B761" s="70">
        <v>1</v>
      </c>
      <c r="C761" s="70">
        <v>22</v>
      </c>
      <c r="D761" s="71" t="s">
        <v>3175</v>
      </c>
      <c r="E761" s="72" t="s">
        <v>829</v>
      </c>
      <c r="F761" s="73" t="str">
        <f t="shared" si="62"/>
        <v>370122</v>
      </c>
      <c r="G761" s="72" t="str">
        <f t="shared" si="63"/>
        <v>370122</v>
      </c>
      <c r="H761" s="74" t="s">
        <v>4504</v>
      </c>
    </row>
    <row r="762" spans="1:8" ht="18.75">
      <c r="A762" s="70">
        <v>37</v>
      </c>
      <c r="B762" s="70">
        <v>1</v>
      </c>
      <c r="C762" s="70">
        <v>23</v>
      </c>
      <c r="D762" s="71" t="s">
        <v>3176</v>
      </c>
      <c r="E762" s="72" t="s">
        <v>829</v>
      </c>
      <c r="F762" s="73" t="str">
        <f t="shared" si="62"/>
        <v>370123</v>
      </c>
      <c r="G762" s="72" t="str">
        <f t="shared" si="63"/>
        <v>370123</v>
      </c>
      <c r="H762" s="74" t="s">
        <v>4505</v>
      </c>
    </row>
    <row r="763" spans="1:8" ht="18.75">
      <c r="A763" s="70">
        <v>37</v>
      </c>
      <c r="B763" s="70">
        <v>1</v>
      </c>
      <c r="C763" s="70">
        <v>24</v>
      </c>
      <c r="D763" s="71" t="s">
        <v>3177</v>
      </c>
      <c r="E763" s="72" t="s">
        <v>829</v>
      </c>
      <c r="F763" s="73" t="str">
        <f t="shared" si="62"/>
        <v>370124</v>
      </c>
      <c r="G763" s="72" t="str">
        <f t="shared" si="63"/>
        <v>370124</v>
      </c>
      <c r="H763" s="74" t="s">
        <v>4506</v>
      </c>
    </row>
    <row r="764" spans="1:8" ht="18.75">
      <c r="A764" s="70">
        <v>37</v>
      </c>
      <c r="B764" s="70">
        <v>1</v>
      </c>
      <c r="C764" s="70">
        <v>25</v>
      </c>
      <c r="D764" s="71" t="s">
        <v>3178</v>
      </c>
      <c r="E764" s="72" t="s">
        <v>829</v>
      </c>
      <c r="F764" s="73" t="str">
        <f t="shared" si="62"/>
        <v>370125</v>
      </c>
      <c r="G764" s="72" t="str">
        <f t="shared" si="63"/>
        <v>370125</v>
      </c>
      <c r="H764" s="74" t="s">
        <v>4507</v>
      </c>
    </row>
    <row r="765" spans="1:8" ht="18.75">
      <c r="A765" s="70">
        <v>37</v>
      </c>
      <c r="B765" s="70">
        <v>1</v>
      </c>
      <c r="C765" s="70">
        <v>26</v>
      </c>
      <c r="D765" s="71" t="s">
        <v>3179</v>
      </c>
      <c r="E765" s="72" t="s">
        <v>829</v>
      </c>
      <c r="F765" s="73" t="str">
        <f t="shared" si="62"/>
        <v>370126</v>
      </c>
      <c r="G765" s="72" t="str">
        <f t="shared" si="63"/>
        <v>370126</v>
      </c>
      <c r="H765" s="74" t="s">
        <v>4508</v>
      </c>
    </row>
    <row r="766" spans="1:8" ht="18.75">
      <c r="A766" s="70">
        <v>37</v>
      </c>
      <c r="B766" s="70">
        <v>1</v>
      </c>
      <c r="C766" s="70">
        <v>27</v>
      </c>
      <c r="D766" s="71" t="s">
        <v>3180</v>
      </c>
      <c r="E766" s="72" t="s">
        <v>829</v>
      </c>
      <c r="F766" s="73" t="str">
        <f t="shared" si="62"/>
        <v>370127</v>
      </c>
      <c r="G766" s="72" t="str">
        <f t="shared" si="63"/>
        <v>370127</v>
      </c>
      <c r="H766" s="74" t="s">
        <v>4509</v>
      </c>
    </row>
    <row r="767" spans="1:8" ht="18.75">
      <c r="A767" s="70">
        <v>37</v>
      </c>
      <c r="B767" s="70">
        <v>1</v>
      </c>
      <c r="C767" s="70">
        <v>28</v>
      </c>
      <c r="D767" s="71" t="s">
        <v>3181</v>
      </c>
      <c r="E767" s="72" t="s">
        <v>829</v>
      </c>
      <c r="F767" s="73" t="str">
        <f t="shared" si="62"/>
        <v>370128</v>
      </c>
      <c r="G767" s="72" t="str">
        <f t="shared" si="63"/>
        <v>370128</v>
      </c>
      <c r="H767" s="74" t="s">
        <v>4510</v>
      </c>
    </row>
    <row r="768" spans="1:8" ht="18.75">
      <c r="A768" s="70">
        <v>37</v>
      </c>
      <c r="B768" s="70">
        <v>1</v>
      </c>
      <c r="C768" s="70">
        <v>29</v>
      </c>
      <c r="D768" s="71" t="s">
        <v>3184</v>
      </c>
      <c r="E768" s="72" t="s">
        <v>829</v>
      </c>
      <c r="F768" s="73" t="str">
        <f t="shared" si="62"/>
        <v>370129</v>
      </c>
      <c r="G768" s="72" t="str">
        <f t="shared" si="63"/>
        <v>370129</v>
      </c>
      <c r="H768" s="74" t="s">
        <v>4511</v>
      </c>
    </row>
    <row r="769" spans="1:8" ht="18.75">
      <c r="A769" s="70">
        <v>37</v>
      </c>
      <c r="B769" s="70">
        <v>1</v>
      </c>
      <c r="C769" s="70">
        <v>30</v>
      </c>
      <c r="D769" s="71" t="s">
        <v>3186</v>
      </c>
      <c r="E769" s="72" t="s">
        <v>829</v>
      </c>
      <c r="F769" s="73" t="str">
        <f t="shared" si="62"/>
        <v>370130</v>
      </c>
      <c r="G769" s="72" t="str">
        <f t="shared" si="63"/>
        <v>370130</v>
      </c>
      <c r="H769" s="74" t="s">
        <v>4512</v>
      </c>
    </row>
    <row r="770" spans="1:8" ht="18.75">
      <c r="A770" s="70">
        <v>37</v>
      </c>
      <c r="B770" s="70">
        <v>1</v>
      </c>
      <c r="C770" s="70">
        <v>31</v>
      </c>
      <c r="D770" s="71" t="s">
        <v>3187</v>
      </c>
      <c r="E770" s="72" t="s">
        <v>829</v>
      </c>
      <c r="F770" s="73" t="str">
        <f t="shared" si="62"/>
        <v>370131</v>
      </c>
      <c r="G770" s="72" t="str">
        <f t="shared" si="63"/>
        <v>370131</v>
      </c>
      <c r="H770" s="74" t="s">
        <v>4513</v>
      </c>
    </row>
    <row r="771" spans="1:8" ht="18.75">
      <c r="A771" s="70">
        <v>37</v>
      </c>
      <c r="B771" s="70">
        <v>1</v>
      </c>
      <c r="C771" s="70">
        <v>32</v>
      </c>
      <c r="D771" s="71" t="s">
        <v>3627</v>
      </c>
      <c r="E771" s="72" t="s">
        <v>829</v>
      </c>
      <c r="F771" s="73" t="str">
        <f t="shared" si="62"/>
        <v>370132</v>
      </c>
      <c r="G771" s="72" t="str">
        <f t="shared" si="63"/>
        <v>370132</v>
      </c>
      <c r="H771" s="74" t="s">
        <v>4514</v>
      </c>
    </row>
    <row r="772" spans="1:8" ht="18.75">
      <c r="A772" s="70">
        <v>37</v>
      </c>
      <c r="B772" s="70">
        <v>1</v>
      </c>
      <c r="C772" s="70">
        <v>33</v>
      </c>
      <c r="D772" s="71" t="s">
        <v>3628</v>
      </c>
      <c r="E772" s="72" t="s">
        <v>829</v>
      </c>
      <c r="F772" s="73" t="str">
        <f t="shared" si="62"/>
        <v>370133</v>
      </c>
      <c r="G772" s="72" t="str">
        <f t="shared" si="63"/>
        <v>370133</v>
      </c>
      <c r="H772" s="74" t="s">
        <v>4515</v>
      </c>
    </row>
    <row r="773" spans="1:8" ht="18.75">
      <c r="A773" s="70">
        <v>37</v>
      </c>
      <c r="B773" s="70">
        <v>1</v>
      </c>
      <c r="C773" s="70">
        <v>34</v>
      </c>
      <c r="D773" s="71" t="s">
        <v>3820</v>
      </c>
      <c r="E773" s="72" t="s">
        <v>829</v>
      </c>
      <c r="F773" s="73" t="str">
        <f t="shared" si="62"/>
        <v>370134</v>
      </c>
      <c r="G773" s="72" t="str">
        <f t="shared" si="63"/>
        <v>370134</v>
      </c>
      <c r="H773" s="74" t="s">
        <v>4516</v>
      </c>
    </row>
    <row r="774" spans="1:8" ht="18.75">
      <c r="A774" s="70">
        <v>37</v>
      </c>
      <c r="B774" s="70">
        <v>1</v>
      </c>
      <c r="C774" s="70">
        <v>35</v>
      </c>
      <c r="D774" s="71" t="s">
        <v>3819</v>
      </c>
      <c r="E774" s="72" t="s">
        <v>829</v>
      </c>
      <c r="F774" s="73" t="str">
        <f t="shared" si="62"/>
        <v>370135</v>
      </c>
      <c r="G774" s="72" t="str">
        <f t="shared" si="63"/>
        <v>370135</v>
      </c>
      <c r="H774" s="74" t="s">
        <v>4517</v>
      </c>
    </row>
    <row r="775" spans="1:8" ht="18.75">
      <c r="A775" s="70">
        <v>37</v>
      </c>
      <c r="B775" s="70">
        <v>1</v>
      </c>
      <c r="C775" s="70">
        <v>36</v>
      </c>
      <c r="D775" s="71" t="s">
        <v>3188</v>
      </c>
      <c r="E775" s="72" t="s">
        <v>829</v>
      </c>
      <c r="F775" s="73" t="str">
        <f t="shared" si="62"/>
        <v>370136</v>
      </c>
      <c r="G775" s="72" t="str">
        <f t="shared" si="63"/>
        <v>370136</v>
      </c>
      <c r="H775" s="74" t="s">
        <v>4518</v>
      </c>
    </row>
    <row r="776" spans="1:8" ht="18.75">
      <c r="A776" s="70">
        <v>37</v>
      </c>
      <c r="B776" s="70">
        <v>1</v>
      </c>
      <c r="C776" s="70">
        <v>37</v>
      </c>
      <c r="D776" s="71" t="s">
        <v>3189</v>
      </c>
      <c r="E776" s="72" t="s">
        <v>829</v>
      </c>
      <c r="F776" s="73" t="str">
        <f t="shared" si="62"/>
        <v>370137</v>
      </c>
      <c r="G776" s="72" t="str">
        <f t="shared" si="63"/>
        <v>370137</v>
      </c>
      <c r="H776" s="74" t="s">
        <v>4519</v>
      </c>
    </row>
    <row r="777" spans="1:8" ht="18.75">
      <c r="A777" s="70">
        <v>37</v>
      </c>
      <c r="B777" s="70">
        <v>1</v>
      </c>
      <c r="C777" s="70">
        <v>38</v>
      </c>
      <c r="D777" s="71" t="s">
        <v>3200</v>
      </c>
      <c r="E777" s="72" t="s">
        <v>829</v>
      </c>
      <c r="F777" s="73" t="str">
        <f t="shared" si="62"/>
        <v>370138</v>
      </c>
      <c r="G777" s="72" t="str">
        <f t="shared" si="63"/>
        <v>370138</v>
      </c>
      <c r="H777" s="74" t="s">
        <v>4520</v>
      </c>
    </row>
    <row r="778" spans="1:8" ht="18.75">
      <c r="A778" s="70">
        <v>37</v>
      </c>
      <c r="B778" s="70">
        <v>1</v>
      </c>
      <c r="C778" s="70">
        <v>39</v>
      </c>
      <c r="D778" s="71" t="s">
        <v>145</v>
      </c>
      <c r="E778" s="72" t="s">
        <v>829</v>
      </c>
      <c r="F778" s="73" t="str">
        <f t="shared" si="62"/>
        <v>370139</v>
      </c>
      <c r="G778" s="72" t="str">
        <f t="shared" si="63"/>
        <v>370139</v>
      </c>
      <c r="H778" s="74" t="s">
        <v>4521</v>
      </c>
    </row>
    <row r="779" spans="1:8" ht="18.75">
      <c r="A779" s="70">
        <v>37</v>
      </c>
      <c r="B779" s="70">
        <v>1</v>
      </c>
      <c r="C779" s="70">
        <v>40</v>
      </c>
      <c r="D779" s="71" t="s">
        <v>3199</v>
      </c>
      <c r="E779" s="72" t="s">
        <v>829</v>
      </c>
      <c r="F779" s="73" t="str">
        <f t="shared" si="62"/>
        <v>370140</v>
      </c>
      <c r="G779" s="72" t="str">
        <f t="shared" si="63"/>
        <v>370140</v>
      </c>
      <c r="H779" s="74" t="s">
        <v>4522</v>
      </c>
    </row>
    <row r="780" spans="1:8" ht="18.75">
      <c r="A780" s="70">
        <v>37</v>
      </c>
      <c r="B780" s="70">
        <v>1</v>
      </c>
      <c r="C780" s="70">
        <v>42</v>
      </c>
      <c r="D780" s="71" t="s">
        <v>3767</v>
      </c>
      <c r="E780" s="72" t="s">
        <v>829</v>
      </c>
      <c r="F780" s="73" t="str">
        <f t="shared" si="62"/>
        <v>370142</v>
      </c>
      <c r="G780" s="72" t="str">
        <f t="shared" si="63"/>
        <v>370142</v>
      </c>
      <c r="H780" s="74" t="s">
        <v>4523</v>
      </c>
    </row>
    <row r="781" spans="1:8" ht="18.75">
      <c r="A781" s="70">
        <v>37</v>
      </c>
      <c r="B781" s="70">
        <v>1</v>
      </c>
      <c r="C781" s="70">
        <v>43</v>
      </c>
      <c r="D781" s="71" t="s">
        <v>3768</v>
      </c>
      <c r="E781" s="72" t="s">
        <v>829</v>
      </c>
      <c r="F781" s="73" t="str">
        <f t="shared" si="62"/>
        <v>370143</v>
      </c>
      <c r="G781" s="72" t="str">
        <f t="shared" si="63"/>
        <v>370143</v>
      </c>
      <c r="H781" s="74" t="s">
        <v>4524</v>
      </c>
    </row>
    <row r="782" spans="1:8" ht="18.75">
      <c r="A782" s="66">
        <v>37</v>
      </c>
      <c r="B782" s="66">
        <v>2</v>
      </c>
      <c r="C782" s="66">
        <v>0</v>
      </c>
      <c r="D782" s="67" t="s">
        <v>2872</v>
      </c>
      <c r="E782" s="68"/>
      <c r="F782" s="78"/>
      <c r="G782" s="79"/>
      <c r="H782" s="80"/>
    </row>
    <row r="783" spans="1:8" ht="18.75">
      <c r="A783" s="70">
        <v>37</v>
      </c>
      <c r="B783" s="70">
        <v>2</v>
      </c>
      <c r="C783" s="70">
        <v>11</v>
      </c>
      <c r="D783" s="71" t="s">
        <v>154</v>
      </c>
      <c r="E783" s="72" t="s">
        <v>829</v>
      </c>
      <c r="F783" s="73" t="str">
        <f t="shared" ref="F783:F830" si="64">TEXT(A783,"00")&amp;TEXT(B783,"00")&amp;TEXT(C783,"00")</f>
        <v>370211</v>
      </c>
      <c r="G783" s="72" t="str">
        <f t="shared" ref="G783:G830" si="65">TEXT(F783,"000000")</f>
        <v>370211</v>
      </c>
      <c r="H783" s="74" t="s">
        <v>4525</v>
      </c>
    </row>
    <row r="784" spans="1:8" ht="18.75">
      <c r="A784" s="70">
        <v>37</v>
      </c>
      <c r="B784" s="70">
        <v>2</v>
      </c>
      <c r="C784" s="70">
        <v>12</v>
      </c>
      <c r="D784" s="71" t="s">
        <v>155</v>
      </c>
      <c r="E784" s="72" t="s">
        <v>829</v>
      </c>
      <c r="F784" s="73" t="str">
        <f t="shared" si="64"/>
        <v>370212</v>
      </c>
      <c r="G784" s="72" t="str">
        <f t="shared" si="65"/>
        <v>370212</v>
      </c>
      <c r="H784" s="74" t="s">
        <v>4526</v>
      </c>
    </row>
    <row r="785" spans="1:8" ht="18.75">
      <c r="A785" s="70">
        <v>37</v>
      </c>
      <c r="B785" s="70">
        <v>2</v>
      </c>
      <c r="C785" s="70">
        <v>13</v>
      </c>
      <c r="D785" s="71" t="s">
        <v>3668</v>
      </c>
      <c r="E785" s="72" t="s">
        <v>829</v>
      </c>
      <c r="F785" s="73" t="str">
        <f t="shared" si="64"/>
        <v>370213</v>
      </c>
      <c r="G785" s="72" t="str">
        <f t="shared" si="65"/>
        <v>370213</v>
      </c>
      <c r="H785" s="74" t="s">
        <v>4527</v>
      </c>
    </row>
    <row r="786" spans="1:8" ht="18.75">
      <c r="A786" s="70">
        <v>37</v>
      </c>
      <c r="B786" s="70">
        <v>2</v>
      </c>
      <c r="C786" s="70">
        <v>14</v>
      </c>
      <c r="D786" s="71" t="s">
        <v>157</v>
      </c>
      <c r="E786" s="72" t="s">
        <v>829</v>
      </c>
      <c r="F786" s="73" t="str">
        <f t="shared" si="64"/>
        <v>370214</v>
      </c>
      <c r="G786" s="72" t="str">
        <f t="shared" si="65"/>
        <v>370214</v>
      </c>
      <c r="H786" s="74" t="s">
        <v>4528</v>
      </c>
    </row>
    <row r="787" spans="1:8" ht="18.75">
      <c r="A787" s="70">
        <v>37</v>
      </c>
      <c r="B787" s="70">
        <v>2</v>
      </c>
      <c r="C787" s="70">
        <v>15</v>
      </c>
      <c r="D787" s="71" t="s">
        <v>3632</v>
      </c>
      <c r="E787" s="72" t="s">
        <v>829</v>
      </c>
      <c r="F787" s="73" t="str">
        <f t="shared" si="64"/>
        <v>370215</v>
      </c>
      <c r="G787" s="72" t="str">
        <f t="shared" si="65"/>
        <v>370215</v>
      </c>
      <c r="H787" s="74" t="s">
        <v>4529</v>
      </c>
    </row>
    <row r="788" spans="1:8" ht="18.75">
      <c r="A788" s="70">
        <v>37</v>
      </c>
      <c r="B788" s="70">
        <v>2</v>
      </c>
      <c r="C788" s="70">
        <v>16</v>
      </c>
      <c r="D788" s="71" t="s">
        <v>3302</v>
      </c>
      <c r="E788" s="72" t="s">
        <v>829</v>
      </c>
      <c r="F788" s="73" t="str">
        <f t="shared" si="64"/>
        <v>370216</v>
      </c>
      <c r="G788" s="72" t="str">
        <f t="shared" si="65"/>
        <v>370216</v>
      </c>
      <c r="H788" s="74" t="s">
        <v>4530</v>
      </c>
    </row>
    <row r="789" spans="1:8" ht="18.75">
      <c r="A789" s="70">
        <v>37</v>
      </c>
      <c r="B789" s="70">
        <v>2</v>
      </c>
      <c r="C789" s="70">
        <v>17</v>
      </c>
      <c r="D789" s="71" t="s">
        <v>3303</v>
      </c>
      <c r="E789" s="72" t="s">
        <v>829</v>
      </c>
      <c r="F789" s="73" t="str">
        <f t="shared" si="64"/>
        <v>370217</v>
      </c>
      <c r="G789" s="72" t="str">
        <f t="shared" si="65"/>
        <v>370217</v>
      </c>
      <c r="H789" s="74" t="s">
        <v>4531</v>
      </c>
    </row>
    <row r="790" spans="1:8" ht="18.75">
      <c r="A790" s="70">
        <v>37</v>
      </c>
      <c r="B790" s="70">
        <v>2</v>
      </c>
      <c r="C790" s="70">
        <v>18</v>
      </c>
      <c r="D790" s="71" t="s">
        <v>3788</v>
      </c>
      <c r="E790" s="72" t="s">
        <v>829</v>
      </c>
      <c r="F790" s="73" t="str">
        <f t="shared" si="64"/>
        <v>370218</v>
      </c>
      <c r="G790" s="72" t="str">
        <f t="shared" si="65"/>
        <v>370218</v>
      </c>
      <c r="H790" s="74" t="s">
        <v>4532</v>
      </c>
    </row>
    <row r="791" spans="1:8" ht="18.75">
      <c r="A791" s="70">
        <v>37</v>
      </c>
      <c r="B791" s="70">
        <v>2</v>
      </c>
      <c r="C791" s="70">
        <v>19</v>
      </c>
      <c r="D791" s="71" t="s">
        <v>3789</v>
      </c>
      <c r="E791" s="72" t="s">
        <v>829</v>
      </c>
      <c r="F791" s="73" t="str">
        <f t="shared" si="64"/>
        <v>370219</v>
      </c>
      <c r="G791" s="72" t="str">
        <f t="shared" si="65"/>
        <v>370219</v>
      </c>
      <c r="H791" s="74" t="s">
        <v>4533</v>
      </c>
    </row>
    <row r="792" spans="1:8" ht="18.75">
      <c r="A792" s="70">
        <v>37</v>
      </c>
      <c r="B792" s="70">
        <v>2</v>
      </c>
      <c r="C792" s="70">
        <v>20</v>
      </c>
      <c r="D792" s="71" t="s">
        <v>160</v>
      </c>
      <c r="E792" s="72" t="s">
        <v>829</v>
      </c>
      <c r="F792" s="73" t="str">
        <f t="shared" si="64"/>
        <v>370220</v>
      </c>
      <c r="G792" s="72" t="str">
        <f t="shared" si="65"/>
        <v>370220</v>
      </c>
      <c r="H792" s="74" t="s">
        <v>4534</v>
      </c>
    </row>
    <row r="793" spans="1:8" ht="18.75">
      <c r="A793" s="70">
        <v>37</v>
      </c>
      <c r="B793" s="70">
        <v>2</v>
      </c>
      <c r="C793" s="70">
        <v>21</v>
      </c>
      <c r="D793" s="71" t="s">
        <v>161</v>
      </c>
      <c r="E793" s="72" t="s">
        <v>829</v>
      </c>
      <c r="F793" s="73" t="str">
        <f t="shared" si="64"/>
        <v>370221</v>
      </c>
      <c r="G793" s="72" t="str">
        <f t="shared" si="65"/>
        <v>370221</v>
      </c>
      <c r="H793" s="74" t="s">
        <v>4535</v>
      </c>
    </row>
    <row r="794" spans="1:8" ht="18.75">
      <c r="A794" s="70">
        <v>37</v>
      </c>
      <c r="B794" s="70">
        <v>2</v>
      </c>
      <c r="C794" s="70">
        <v>22</v>
      </c>
      <c r="D794" s="71" t="s">
        <v>3310</v>
      </c>
      <c r="E794" s="72" t="s">
        <v>829</v>
      </c>
      <c r="F794" s="73" t="str">
        <f t="shared" si="64"/>
        <v>370222</v>
      </c>
      <c r="G794" s="72" t="str">
        <f t="shared" si="65"/>
        <v>370222</v>
      </c>
      <c r="H794" s="74" t="s">
        <v>4536</v>
      </c>
    </row>
    <row r="795" spans="1:8" ht="18.75">
      <c r="A795" s="70">
        <v>37</v>
      </c>
      <c r="B795" s="70">
        <v>2</v>
      </c>
      <c r="C795" s="70">
        <v>23</v>
      </c>
      <c r="D795" s="71" t="s">
        <v>74</v>
      </c>
      <c r="E795" s="72" t="s">
        <v>829</v>
      </c>
      <c r="F795" s="73" t="str">
        <f t="shared" si="64"/>
        <v>370223</v>
      </c>
      <c r="G795" s="72" t="str">
        <f t="shared" si="65"/>
        <v>370223</v>
      </c>
      <c r="H795" s="74" t="s">
        <v>4537</v>
      </c>
    </row>
    <row r="796" spans="1:8" ht="18.75">
      <c r="A796" s="70">
        <v>37</v>
      </c>
      <c r="B796" s="70">
        <v>2</v>
      </c>
      <c r="C796" s="70">
        <v>24</v>
      </c>
      <c r="D796" s="71" t="s">
        <v>3555</v>
      </c>
      <c r="E796" s="72" t="s">
        <v>829</v>
      </c>
      <c r="F796" s="73" t="str">
        <f t="shared" si="64"/>
        <v>370224</v>
      </c>
      <c r="G796" s="72" t="str">
        <f t="shared" si="65"/>
        <v>370224</v>
      </c>
      <c r="H796" s="74" t="s">
        <v>4538</v>
      </c>
    </row>
    <row r="797" spans="1:8" ht="18.75">
      <c r="A797" s="70">
        <v>37</v>
      </c>
      <c r="B797" s="70">
        <v>2</v>
      </c>
      <c r="C797" s="70">
        <v>25</v>
      </c>
      <c r="D797" s="71" t="s">
        <v>3633</v>
      </c>
      <c r="E797" s="72" t="s">
        <v>829</v>
      </c>
      <c r="F797" s="73" t="str">
        <f t="shared" si="64"/>
        <v>370225</v>
      </c>
      <c r="G797" s="72" t="str">
        <f t="shared" si="65"/>
        <v>370225</v>
      </c>
      <c r="H797" s="74" t="s">
        <v>4539</v>
      </c>
    </row>
    <row r="798" spans="1:8" ht="18.75">
      <c r="A798" s="70">
        <v>37</v>
      </c>
      <c r="B798" s="70">
        <v>2</v>
      </c>
      <c r="C798" s="70">
        <v>26</v>
      </c>
      <c r="D798" s="71" t="s">
        <v>5724</v>
      </c>
      <c r="E798" s="72" t="s">
        <v>829</v>
      </c>
      <c r="F798" s="73" t="str">
        <f t="shared" si="64"/>
        <v>370226</v>
      </c>
      <c r="G798" s="72" t="str">
        <f t="shared" si="65"/>
        <v>370226</v>
      </c>
      <c r="H798" s="74" t="s">
        <v>4540</v>
      </c>
    </row>
    <row r="799" spans="1:8" ht="18.75">
      <c r="A799" s="70">
        <v>37</v>
      </c>
      <c r="B799" s="70">
        <v>2</v>
      </c>
      <c r="C799" s="70">
        <v>27</v>
      </c>
      <c r="D799" s="71" t="s">
        <v>288</v>
      </c>
      <c r="E799" s="72" t="s">
        <v>829</v>
      </c>
      <c r="F799" s="73" t="str">
        <f t="shared" si="64"/>
        <v>370227</v>
      </c>
      <c r="G799" s="72" t="str">
        <f t="shared" si="65"/>
        <v>370227</v>
      </c>
      <c r="H799" s="74" t="s">
        <v>4541</v>
      </c>
    </row>
    <row r="800" spans="1:8" ht="18.75">
      <c r="A800" s="70">
        <v>37</v>
      </c>
      <c r="B800" s="70">
        <v>2</v>
      </c>
      <c r="C800" s="70">
        <v>28</v>
      </c>
      <c r="D800" s="71" t="s">
        <v>3313</v>
      </c>
      <c r="E800" s="72" t="s">
        <v>829</v>
      </c>
      <c r="F800" s="73" t="str">
        <f t="shared" si="64"/>
        <v>370228</v>
      </c>
      <c r="G800" s="72" t="str">
        <f t="shared" si="65"/>
        <v>370228</v>
      </c>
      <c r="H800" s="74" t="s">
        <v>5519</v>
      </c>
    </row>
    <row r="801" spans="1:8" ht="18.75">
      <c r="A801" s="70">
        <v>37</v>
      </c>
      <c r="B801" s="70">
        <v>2</v>
      </c>
      <c r="C801" s="70">
        <v>29</v>
      </c>
      <c r="D801" s="71" t="s">
        <v>3201</v>
      </c>
      <c r="E801" s="72" t="s">
        <v>829</v>
      </c>
      <c r="F801" s="73" t="str">
        <f t="shared" si="64"/>
        <v>370229</v>
      </c>
      <c r="G801" s="72" t="str">
        <f t="shared" si="65"/>
        <v>370229</v>
      </c>
      <c r="H801" s="74" t="s">
        <v>4542</v>
      </c>
    </row>
    <row r="802" spans="1:8" ht="18.75">
      <c r="A802" s="70">
        <v>37</v>
      </c>
      <c r="B802" s="70">
        <v>2</v>
      </c>
      <c r="C802" s="70">
        <v>30</v>
      </c>
      <c r="D802" s="71" t="s">
        <v>3202</v>
      </c>
      <c r="E802" s="72" t="s">
        <v>829</v>
      </c>
      <c r="F802" s="73" t="str">
        <f t="shared" si="64"/>
        <v>370230</v>
      </c>
      <c r="G802" s="72" t="str">
        <f t="shared" si="65"/>
        <v>370230</v>
      </c>
      <c r="H802" s="74" t="s">
        <v>4543</v>
      </c>
    </row>
    <row r="803" spans="1:8" ht="18.75">
      <c r="A803" s="70">
        <v>37</v>
      </c>
      <c r="B803" s="70">
        <v>2</v>
      </c>
      <c r="C803" s="70">
        <v>31</v>
      </c>
      <c r="D803" s="71" t="s">
        <v>3203</v>
      </c>
      <c r="E803" s="72" t="s">
        <v>829</v>
      </c>
      <c r="F803" s="73" t="str">
        <f t="shared" si="64"/>
        <v>370231</v>
      </c>
      <c r="G803" s="72" t="str">
        <f t="shared" si="65"/>
        <v>370231</v>
      </c>
      <c r="H803" s="74" t="s">
        <v>4544</v>
      </c>
    </row>
    <row r="804" spans="1:8" ht="18.75">
      <c r="A804" s="70">
        <v>37</v>
      </c>
      <c r="B804" s="70">
        <v>2</v>
      </c>
      <c r="C804" s="70">
        <v>32</v>
      </c>
      <c r="D804" s="71" t="s">
        <v>3204</v>
      </c>
      <c r="E804" s="72" t="s">
        <v>829</v>
      </c>
      <c r="F804" s="73" t="str">
        <f t="shared" si="64"/>
        <v>370232</v>
      </c>
      <c r="G804" s="72" t="str">
        <f t="shared" si="65"/>
        <v>370232</v>
      </c>
      <c r="H804" s="74" t="s">
        <v>4545</v>
      </c>
    </row>
    <row r="805" spans="1:8" ht="18.75">
      <c r="A805" s="70">
        <v>37</v>
      </c>
      <c r="B805" s="70">
        <v>2</v>
      </c>
      <c r="C805" s="70">
        <v>33</v>
      </c>
      <c r="D805" s="71" t="s">
        <v>3192</v>
      </c>
      <c r="E805" s="72" t="s">
        <v>829</v>
      </c>
      <c r="F805" s="73" t="str">
        <f t="shared" si="64"/>
        <v>370233</v>
      </c>
      <c r="G805" s="72" t="str">
        <f t="shared" si="65"/>
        <v>370233</v>
      </c>
      <c r="H805" s="74" t="s">
        <v>4546</v>
      </c>
    </row>
    <row r="806" spans="1:8" ht="18.75">
      <c r="A806" s="70">
        <v>37</v>
      </c>
      <c r="B806" s="70">
        <v>2</v>
      </c>
      <c r="C806" s="70">
        <v>34</v>
      </c>
      <c r="D806" s="71" t="s">
        <v>3193</v>
      </c>
      <c r="E806" s="72" t="s">
        <v>829</v>
      </c>
      <c r="F806" s="73" t="str">
        <f t="shared" si="64"/>
        <v>370234</v>
      </c>
      <c r="G806" s="72" t="str">
        <f t="shared" si="65"/>
        <v>370234</v>
      </c>
      <c r="H806" s="74" t="s">
        <v>4547</v>
      </c>
    </row>
    <row r="807" spans="1:8" ht="18.75">
      <c r="A807" s="70">
        <v>37</v>
      </c>
      <c r="B807" s="70">
        <v>2</v>
      </c>
      <c r="C807" s="70">
        <v>35</v>
      </c>
      <c r="D807" s="71" t="s">
        <v>3194</v>
      </c>
      <c r="E807" s="72" t="s">
        <v>829</v>
      </c>
      <c r="F807" s="73" t="str">
        <f t="shared" si="64"/>
        <v>370235</v>
      </c>
      <c r="G807" s="72" t="str">
        <f t="shared" si="65"/>
        <v>370235</v>
      </c>
      <c r="H807" s="74" t="s">
        <v>4548</v>
      </c>
    </row>
    <row r="808" spans="1:8" ht="18.75">
      <c r="A808" s="70">
        <v>37</v>
      </c>
      <c r="B808" s="70">
        <v>2</v>
      </c>
      <c r="C808" s="70">
        <v>36</v>
      </c>
      <c r="D808" s="71" t="s">
        <v>3195</v>
      </c>
      <c r="E808" s="72" t="s">
        <v>829</v>
      </c>
      <c r="F808" s="73" t="str">
        <f t="shared" si="64"/>
        <v>370236</v>
      </c>
      <c r="G808" s="72" t="str">
        <f t="shared" si="65"/>
        <v>370236</v>
      </c>
      <c r="H808" s="74" t="s">
        <v>4549</v>
      </c>
    </row>
    <row r="809" spans="1:8" ht="18.75">
      <c r="A809" s="70">
        <v>37</v>
      </c>
      <c r="B809" s="70">
        <v>2</v>
      </c>
      <c r="C809" s="70">
        <v>37</v>
      </c>
      <c r="D809" s="71" t="s">
        <v>3196</v>
      </c>
      <c r="E809" s="72" t="s">
        <v>829</v>
      </c>
      <c r="F809" s="73" t="str">
        <f t="shared" si="64"/>
        <v>370237</v>
      </c>
      <c r="G809" s="72" t="str">
        <f t="shared" si="65"/>
        <v>370237</v>
      </c>
      <c r="H809" s="74" t="s">
        <v>4550</v>
      </c>
    </row>
    <row r="810" spans="1:8" ht="18.75">
      <c r="A810" s="70">
        <v>37</v>
      </c>
      <c r="B810" s="70">
        <v>2</v>
      </c>
      <c r="C810" s="70">
        <v>38</v>
      </c>
      <c r="D810" s="71" t="s">
        <v>5967</v>
      </c>
      <c r="E810" s="72" t="s">
        <v>829</v>
      </c>
      <c r="F810" s="73" t="str">
        <f t="shared" si="64"/>
        <v>370238</v>
      </c>
      <c r="G810" s="72" t="str">
        <f t="shared" si="65"/>
        <v>370238</v>
      </c>
      <c r="H810" s="74" t="s">
        <v>4551</v>
      </c>
    </row>
    <row r="811" spans="1:8" ht="18.75">
      <c r="A811" s="70">
        <v>37</v>
      </c>
      <c r="B811" s="70">
        <v>2</v>
      </c>
      <c r="C811" s="70">
        <v>39</v>
      </c>
      <c r="D811" s="71" t="s">
        <v>3197</v>
      </c>
      <c r="E811" s="72" t="s">
        <v>829</v>
      </c>
      <c r="F811" s="73" t="str">
        <f t="shared" si="64"/>
        <v>370239</v>
      </c>
      <c r="G811" s="72" t="str">
        <f t="shared" si="65"/>
        <v>370239</v>
      </c>
      <c r="H811" s="74" t="s">
        <v>4552</v>
      </c>
    </row>
    <row r="812" spans="1:8" ht="18.75">
      <c r="A812" s="70">
        <v>37</v>
      </c>
      <c r="B812" s="70">
        <v>2</v>
      </c>
      <c r="C812" s="70">
        <v>40</v>
      </c>
      <c r="D812" s="71" t="s">
        <v>3198</v>
      </c>
      <c r="E812" s="72" t="s">
        <v>829</v>
      </c>
      <c r="F812" s="73" t="str">
        <f t="shared" si="64"/>
        <v>370240</v>
      </c>
      <c r="G812" s="72" t="str">
        <f t="shared" si="65"/>
        <v>370240</v>
      </c>
      <c r="H812" s="74" t="s">
        <v>4553</v>
      </c>
    </row>
    <row r="813" spans="1:8" ht="18.75">
      <c r="A813" s="70">
        <v>37</v>
      </c>
      <c r="B813" s="70">
        <v>2</v>
      </c>
      <c r="C813" s="70">
        <v>41</v>
      </c>
      <c r="D813" s="71" t="s">
        <v>3784</v>
      </c>
      <c r="E813" s="72" t="s">
        <v>829</v>
      </c>
      <c r="F813" s="73" t="str">
        <f t="shared" si="64"/>
        <v>370241</v>
      </c>
      <c r="G813" s="72" t="str">
        <f t="shared" si="65"/>
        <v>370241</v>
      </c>
      <c r="H813" s="74" t="s">
        <v>4554</v>
      </c>
    </row>
    <row r="814" spans="1:8" ht="18.75">
      <c r="A814" s="70">
        <v>37</v>
      </c>
      <c r="B814" s="70">
        <v>2</v>
      </c>
      <c r="C814" s="70">
        <v>42</v>
      </c>
      <c r="D814" s="71" t="s">
        <v>3785</v>
      </c>
      <c r="E814" s="72" t="s">
        <v>829</v>
      </c>
      <c r="F814" s="73" t="str">
        <f t="shared" si="64"/>
        <v>370242</v>
      </c>
      <c r="G814" s="72" t="str">
        <f t="shared" si="65"/>
        <v>370242</v>
      </c>
      <c r="H814" s="74" t="s">
        <v>4555</v>
      </c>
    </row>
    <row r="815" spans="1:8" ht="18.75">
      <c r="A815" s="70">
        <v>37</v>
      </c>
      <c r="B815" s="70">
        <v>2</v>
      </c>
      <c r="C815" s="70">
        <v>43</v>
      </c>
      <c r="D815" s="71" t="s">
        <v>3786</v>
      </c>
      <c r="E815" s="72" t="s">
        <v>829</v>
      </c>
      <c r="F815" s="73" t="str">
        <f t="shared" si="64"/>
        <v>370243</v>
      </c>
      <c r="G815" s="72" t="str">
        <f t="shared" si="65"/>
        <v>370243</v>
      </c>
      <c r="H815" s="74" t="s">
        <v>4556</v>
      </c>
    </row>
    <row r="816" spans="1:8" ht="18.75">
      <c r="A816" s="70">
        <v>37</v>
      </c>
      <c r="B816" s="70">
        <v>2</v>
      </c>
      <c r="C816" s="70">
        <v>44</v>
      </c>
      <c r="D816" s="71" t="s">
        <v>3787</v>
      </c>
      <c r="E816" s="72" t="s">
        <v>829</v>
      </c>
      <c r="F816" s="73" t="str">
        <f t="shared" si="64"/>
        <v>370244</v>
      </c>
      <c r="G816" s="72" t="str">
        <f t="shared" si="65"/>
        <v>370244</v>
      </c>
      <c r="H816" s="74" t="s">
        <v>4557</v>
      </c>
    </row>
    <row r="817" spans="1:8" ht="18.75">
      <c r="A817" s="70">
        <v>37</v>
      </c>
      <c r="B817" s="70">
        <v>2</v>
      </c>
      <c r="C817" s="70">
        <v>45</v>
      </c>
      <c r="D817" s="71" t="s">
        <v>3823</v>
      </c>
      <c r="E817" s="72" t="s">
        <v>829</v>
      </c>
      <c r="F817" s="73" t="str">
        <f t="shared" si="64"/>
        <v>370245</v>
      </c>
      <c r="G817" s="72" t="str">
        <f t="shared" si="65"/>
        <v>370245</v>
      </c>
      <c r="H817" s="74" t="s">
        <v>4558</v>
      </c>
    </row>
    <row r="818" spans="1:8" ht="18.75">
      <c r="A818" s="70">
        <v>37</v>
      </c>
      <c r="B818" s="70">
        <v>2</v>
      </c>
      <c r="C818" s="70">
        <v>46</v>
      </c>
      <c r="D818" s="71" t="s">
        <v>3825</v>
      </c>
      <c r="E818" s="72" t="s">
        <v>829</v>
      </c>
      <c r="F818" s="73" t="str">
        <f t="shared" si="64"/>
        <v>370246</v>
      </c>
      <c r="G818" s="72" t="str">
        <f t="shared" si="65"/>
        <v>370246</v>
      </c>
      <c r="H818" s="74" t="s">
        <v>4559</v>
      </c>
    </row>
    <row r="819" spans="1:8" ht="18.75">
      <c r="A819" s="70">
        <v>37</v>
      </c>
      <c r="B819" s="70">
        <v>2</v>
      </c>
      <c r="C819" s="70">
        <v>47</v>
      </c>
      <c r="D819" s="71" t="s">
        <v>4560</v>
      </c>
      <c r="E819" s="72" t="s">
        <v>829</v>
      </c>
      <c r="F819" s="73" t="str">
        <f t="shared" si="64"/>
        <v>370247</v>
      </c>
      <c r="G819" s="72" t="str">
        <f t="shared" si="65"/>
        <v>370247</v>
      </c>
      <c r="H819" s="74" t="s">
        <v>5520</v>
      </c>
    </row>
    <row r="820" spans="1:8" ht="18.75">
      <c r="A820" s="70">
        <v>37</v>
      </c>
      <c r="B820" s="70">
        <v>2</v>
      </c>
      <c r="C820" s="70">
        <v>48</v>
      </c>
      <c r="D820" s="71" t="s">
        <v>4561</v>
      </c>
      <c r="E820" s="72" t="s">
        <v>829</v>
      </c>
      <c r="F820" s="73" t="str">
        <f t="shared" si="64"/>
        <v>370248</v>
      </c>
      <c r="G820" s="72" t="str">
        <f t="shared" si="65"/>
        <v>370248</v>
      </c>
      <c r="H820" s="74" t="s">
        <v>5521</v>
      </c>
    </row>
    <row r="821" spans="1:8" ht="18.75">
      <c r="A821" s="70">
        <v>37</v>
      </c>
      <c r="B821" s="70">
        <v>2</v>
      </c>
      <c r="C821" s="70">
        <v>49</v>
      </c>
      <c r="D821" s="71" t="s">
        <v>5968</v>
      </c>
      <c r="E821" s="72" t="s">
        <v>829</v>
      </c>
      <c r="F821" s="73" t="str">
        <f t="shared" si="64"/>
        <v>370249</v>
      </c>
      <c r="G821" s="72" t="str">
        <f t="shared" si="65"/>
        <v>370249</v>
      </c>
      <c r="H821" s="74" t="s">
        <v>5522</v>
      </c>
    </row>
    <row r="822" spans="1:8" ht="18.75">
      <c r="A822" s="70">
        <v>37</v>
      </c>
      <c r="B822" s="70">
        <v>2</v>
      </c>
      <c r="C822" s="70">
        <v>50</v>
      </c>
      <c r="D822" s="71" t="s">
        <v>5436</v>
      </c>
      <c r="E822" s="72" t="s">
        <v>829</v>
      </c>
      <c r="F822" s="73" t="str">
        <f t="shared" si="64"/>
        <v>370250</v>
      </c>
      <c r="G822" s="72" t="str">
        <f t="shared" si="65"/>
        <v>370250</v>
      </c>
      <c r="H822" s="74" t="s">
        <v>5523</v>
      </c>
    </row>
    <row r="823" spans="1:8" ht="18.75">
      <c r="A823" s="70">
        <v>37</v>
      </c>
      <c r="B823" s="70">
        <v>2</v>
      </c>
      <c r="C823" s="70">
        <v>51</v>
      </c>
      <c r="D823" s="71" t="s">
        <v>5460</v>
      </c>
      <c r="E823" s="72" t="s">
        <v>4049</v>
      </c>
      <c r="F823" s="73" t="str">
        <f t="shared" si="64"/>
        <v>370251</v>
      </c>
      <c r="G823" s="72" t="str">
        <f t="shared" si="65"/>
        <v>370251</v>
      </c>
      <c r="H823" s="74" t="s">
        <v>5524</v>
      </c>
    </row>
    <row r="824" spans="1:8" ht="18.75">
      <c r="A824" s="70">
        <v>37</v>
      </c>
      <c r="B824" s="70">
        <v>2</v>
      </c>
      <c r="C824" s="70">
        <v>52</v>
      </c>
      <c r="D824" s="71" t="s">
        <v>5725</v>
      </c>
      <c r="E824" s="72" t="s">
        <v>829</v>
      </c>
      <c r="F824" s="73" t="str">
        <f t="shared" si="64"/>
        <v>370252</v>
      </c>
      <c r="G824" s="72" t="str">
        <f t="shared" si="65"/>
        <v>370252</v>
      </c>
      <c r="H824" s="74" t="s">
        <v>5726</v>
      </c>
    </row>
    <row r="825" spans="1:8" ht="18.75">
      <c r="A825" s="70">
        <v>37</v>
      </c>
      <c r="B825" s="70">
        <v>2</v>
      </c>
      <c r="C825" s="70">
        <v>53</v>
      </c>
      <c r="D825" s="71" t="s">
        <v>5853</v>
      </c>
      <c r="E825" s="72" t="s">
        <v>829</v>
      </c>
      <c r="F825" s="73" t="str">
        <f t="shared" si="64"/>
        <v>370253</v>
      </c>
      <c r="G825" s="72" t="str">
        <f t="shared" si="65"/>
        <v>370253</v>
      </c>
      <c r="H825" s="74" t="s">
        <v>5854</v>
      </c>
    </row>
    <row r="826" spans="1:8" ht="18.75">
      <c r="A826" s="70">
        <v>37</v>
      </c>
      <c r="B826" s="70">
        <v>2</v>
      </c>
      <c r="C826" s="70">
        <v>54</v>
      </c>
      <c r="D826" s="71" t="s">
        <v>5969</v>
      </c>
      <c r="E826" s="72" t="s">
        <v>829</v>
      </c>
      <c r="F826" s="73" t="str">
        <f t="shared" si="64"/>
        <v>370254</v>
      </c>
      <c r="G826" s="72" t="str">
        <f t="shared" si="65"/>
        <v>370254</v>
      </c>
      <c r="H826" s="74" t="s">
        <v>5970</v>
      </c>
    </row>
    <row r="827" spans="1:8" ht="18.75">
      <c r="A827" s="70">
        <v>37</v>
      </c>
      <c r="B827" s="70">
        <v>2</v>
      </c>
      <c r="C827" s="70">
        <v>55</v>
      </c>
      <c r="D827" s="71" t="s">
        <v>5971</v>
      </c>
      <c r="E827" s="72" t="s">
        <v>829</v>
      </c>
      <c r="F827" s="73" t="str">
        <f t="shared" si="64"/>
        <v>370255</v>
      </c>
      <c r="G827" s="72" t="str">
        <f t="shared" si="65"/>
        <v>370255</v>
      </c>
      <c r="H827" s="74" t="s">
        <v>5972</v>
      </c>
    </row>
    <row r="828" spans="1:8" ht="18.75">
      <c r="A828" s="70">
        <v>37</v>
      </c>
      <c r="B828" s="70">
        <v>2</v>
      </c>
      <c r="C828" s="70">
        <v>56</v>
      </c>
      <c r="D828" s="71" t="s">
        <v>5973</v>
      </c>
      <c r="E828" s="72" t="s">
        <v>829</v>
      </c>
      <c r="F828" s="73" t="str">
        <f t="shared" si="64"/>
        <v>370256</v>
      </c>
      <c r="G828" s="72" t="str">
        <f t="shared" si="65"/>
        <v>370256</v>
      </c>
      <c r="H828" s="74" t="s">
        <v>5974</v>
      </c>
    </row>
    <row r="829" spans="1:8" ht="18.75">
      <c r="A829" s="70">
        <v>37</v>
      </c>
      <c r="B829" s="70">
        <v>2</v>
      </c>
      <c r="C829" s="70">
        <v>57</v>
      </c>
      <c r="D829" s="71" t="s">
        <v>5975</v>
      </c>
      <c r="E829" s="72" t="s">
        <v>829</v>
      </c>
      <c r="F829" s="73" t="str">
        <f t="shared" si="64"/>
        <v>370257</v>
      </c>
      <c r="G829" s="72" t="str">
        <f t="shared" si="65"/>
        <v>370257</v>
      </c>
      <c r="H829" s="74" t="s">
        <v>5976</v>
      </c>
    </row>
    <row r="830" spans="1:8" ht="18.75">
      <c r="A830" s="70">
        <v>37</v>
      </c>
      <c r="B830" s="70">
        <v>2</v>
      </c>
      <c r="C830" s="70">
        <v>58</v>
      </c>
      <c r="D830" s="71" t="s">
        <v>5977</v>
      </c>
      <c r="E830" s="72" t="s">
        <v>829</v>
      </c>
      <c r="F830" s="73" t="str">
        <f t="shared" si="64"/>
        <v>370258</v>
      </c>
      <c r="G830" s="72" t="str">
        <f t="shared" si="65"/>
        <v>370258</v>
      </c>
      <c r="H830" s="74" t="s">
        <v>5978</v>
      </c>
    </row>
    <row r="831" spans="1:8" ht="18.75">
      <c r="A831" s="66">
        <v>37</v>
      </c>
      <c r="B831" s="66">
        <v>3</v>
      </c>
      <c r="C831" s="66">
        <v>0</v>
      </c>
      <c r="D831" s="67" t="s">
        <v>2870</v>
      </c>
      <c r="E831" s="68"/>
      <c r="F831" s="78"/>
      <c r="G831" s="79"/>
      <c r="H831" s="80"/>
    </row>
    <row r="832" spans="1:8" ht="18.75">
      <c r="A832" s="70">
        <v>37</v>
      </c>
      <c r="B832" s="70">
        <v>3</v>
      </c>
      <c r="C832" s="70">
        <v>11</v>
      </c>
      <c r="D832" s="71" t="s">
        <v>2985</v>
      </c>
      <c r="E832" s="72" t="s">
        <v>829</v>
      </c>
      <c r="F832" s="73" t="str">
        <f t="shared" ref="F832:F862" si="66">TEXT(A832,"00")&amp;TEXT(B832,"00")&amp;TEXT(C832,"00")</f>
        <v>370311</v>
      </c>
      <c r="G832" s="72" t="str">
        <f t="shared" ref="G832:G862" si="67">TEXT(F832,"000000")</f>
        <v>370311</v>
      </c>
      <c r="H832" s="74" t="s">
        <v>4562</v>
      </c>
    </row>
    <row r="833" spans="1:8" ht="18.75">
      <c r="A833" s="70">
        <v>37</v>
      </c>
      <c r="B833" s="70">
        <v>3</v>
      </c>
      <c r="C833" s="70">
        <v>12</v>
      </c>
      <c r="D833" s="71" t="s">
        <v>3573</v>
      </c>
      <c r="E833" s="72" t="s">
        <v>829</v>
      </c>
      <c r="F833" s="73" t="str">
        <f t="shared" si="66"/>
        <v>370312</v>
      </c>
      <c r="G833" s="72" t="str">
        <f t="shared" si="67"/>
        <v>370312</v>
      </c>
      <c r="H833" s="74" t="s">
        <v>4563</v>
      </c>
    </row>
    <row r="834" spans="1:8" ht="18.75">
      <c r="A834" s="70">
        <v>37</v>
      </c>
      <c r="B834" s="70">
        <v>3</v>
      </c>
      <c r="C834" s="70">
        <v>13</v>
      </c>
      <c r="D834" s="71" t="s">
        <v>3572</v>
      </c>
      <c r="E834" s="72" t="s">
        <v>829</v>
      </c>
      <c r="F834" s="73" t="str">
        <f t="shared" si="66"/>
        <v>370313</v>
      </c>
      <c r="G834" s="72" t="str">
        <f t="shared" si="67"/>
        <v>370313</v>
      </c>
      <c r="H834" s="74" t="s">
        <v>4564</v>
      </c>
    </row>
    <row r="835" spans="1:8" ht="18.75">
      <c r="A835" s="70">
        <v>37</v>
      </c>
      <c r="B835" s="70">
        <v>3</v>
      </c>
      <c r="C835" s="70">
        <v>22</v>
      </c>
      <c r="D835" s="71" t="s">
        <v>153</v>
      </c>
      <c r="E835" s="72" t="s">
        <v>829</v>
      </c>
      <c r="F835" s="73" t="str">
        <f t="shared" si="66"/>
        <v>370322</v>
      </c>
      <c r="G835" s="72" t="str">
        <f t="shared" si="67"/>
        <v>370322</v>
      </c>
      <c r="H835" s="74" t="s">
        <v>4565</v>
      </c>
    </row>
    <row r="836" spans="1:8" ht="18.75">
      <c r="A836" s="70">
        <v>37</v>
      </c>
      <c r="B836" s="70">
        <v>3</v>
      </c>
      <c r="C836" s="70">
        <v>32</v>
      </c>
      <c r="D836" s="71" t="s">
        <v>3304</v>
      </c>
      <c r="E836" s="72" t="s">
        <v>829</v>
      </c>
      <c r="F836" s="73" t="str">
        <f t="shared" si="66"/>
        <v>370332</v>
      </c>
      <c r="G836" s="72" t="str">
        <f t="shared" si="67"/>
        <v>370332</v>
      </c>
      <c r="H836" s="74" t="s">
        <v>4567</v>
      </c>
    </row>
    <row r="837" spans="1:8" ht="18.75">
      <c r="A837" s="70">
        <v>37</v>
      </c>
      <c r="B837" s="70">
        <v>3</v>
      </c>
      <c r="C837" s="70">
        <v>33</v>
      </c>
      <c r="D837" s="71" t="s">
        <v>3305</v>
      </c>
      <c r="E837" s="72" t="s">
        <v>829</v>
      </c>
      <c r="F837" s="73" t="str">
        <f t="shared" si="66"/>
        <v>370333</v>
      </c>
      <c r="G837" s="72" t="str">
        <f t="shared" si="67"/>
        <v>370333</v>
      </c>
      <c r="H837" s="74" t="s">
        <v>4568</v>
      </c>
    </row>
    <row r="838" spans="1:8" ht="18.75">
      <c r="A838" s="70">
        <v>37</v>
      </c>
      <c r="B838" s="70">
        <v>3</v>
      </c>
      <c r="C838" s="70">
        <v>34</v>
      </c>
      <c r="D838" s="71" t="s">
        <v>3306</v>
      </c>
      <c r="E838" s="72" t="s">
        <v>829</v>
      </c>
      <c r="F838" s="73" t="str">
        <f t="shared" si="66"/>
        <v>370334</v>
      </c>
      <c r="G838" s="72" t="str">
        <f t="shared" si="67"/>
        <v>370334</v>
      </c>
      <c r="H838" s="74" t="s">
        <v>4569</v>
      </c>
    </row>
    <row r="839" spans="1:8" ht="18.75">
      <c r="A839" s="70">
        <v>37</v>
      </c>
      <c r="B839" s="70">
        <v>3</v>
      </c>
      <c r="C839" s="70">
        <v>35</v>
      </c>
      <c r="D839" s="71" t="s">
        <v>3308</v>
      </c>
      <c r="E839" s="72" t="s">
        <v>829</v>
      </c>
      <c r="F839" s="73" t="str">
        <f t="shared" si="66"/>
        <v>370335</v>
      </c>
      <c r="G839" s="72" t="str">
        <f t="shared" si="67"/>
        <v>370335</v>
      </c>
      <c r="H839" s="74" t="s">
        <v>4570</v>
      </c>
    </row>
    <row r="840" spans="1:8" ht="18.75">
      <c r="A840" s="70">
        <v>37</v>
      </c>
      <c r="B840" s="70">
        <v>3</v>
      </c>
      <c r="C840" s="70">
        <v>36</v>
      </c>
      <c r="D840" s="71" t="s">
        <v>3307</v>
      </c>
      <c r="E840" s="72" t="s">
        <v>829</v>
      </c>
      <c r="F840" s="73" t="str">
        <f t="shared" si="66"/>
        <v>370336</v>
      </c>
      <c r="G840" s="72" t="str">
        <f t="shared" si="67"/>
        <v>370336</v>
      </c>
      <c r="H840" s="74" t="s">
        <v>4571</v>
      </c>
    </row>
    <row r="841" spans="1:8" ht="18.75">
      <c r="A841" s="70">
        <v>37</v>
      </c>
      <c r="B841" s="70">
        <v>3</v>
      </c>
      <c r="C841" s="70">
        <v>41</v>
      </c>
      <c r="D841" s="71" t="s">
        <v>226</v>
      </c>
      <c r="E841" s="72" t="s">
        <v>829</v>
      </c>
      <c r="F841" s="73" t="str">
        <f t="shared" si="66"/>
        <v>370341</v>
      </c>
      <c r="G841" s="72" t="str">
        <f t="shared" si="67"/>
        <v>370341</v>
      </c>
      <c r="H841" s="74" t="s">
        <v>4572</v>
      </c>
    </row>
    <row r="842" spans="1:8" ht="18.75">
      <c r="A842" s="70">
        <v>37</v>
      </c>
      <c r="B842" s="70">
        <v>3</v>
      </c>
      <c r="C842" s="70">
        <v>42</v>
      </c>
      <c r="D842" s="71" t="s">
        <v>227</v>
      </c>
      <c r="E842" s="72" t="s">
        <v>829</v>
      </c>
      <c r="F842" s="73" t="str">
        <f t="shared" si="66"/>
        <v>370342</v>
      </c>
      <c r="G842" s="72" t="str">
        <f t="shared" si="67"/>
        <v>370342</v>
      </c>
      <c r="H842" s="74" t="s">
        <v>4573</v>
      </c>
    </row>
    <row r="843" spans="1:8" ht="18.75">
      <c r="A843" s="70">
        <v>37</v>
      </c>
      <c r="B843" s="70">
        <v>3</v>
      </c>
      <c r="C843" s="70">
        <v>43</v>
      </c>
      <c r="D843" s="71" t="s">
        <v>3311</v>
      </c>
      <c r="E843" s="72" t="s">
        <v>829</v>
      </c>
      <c r="F843" s="73" t="str">
        <f t="shared" si="66"/>
        <v>370343</v>
      </c>
      <c r="G843" s="72" t="str">
        <f t="shared" si="67"/>
        <v>370343</v>
      </c>
      <c r="H843" s="74" t="s">
        <v>4574</v>
      </c>
    </row>
    <row r="844" spans="1:8" ht="18.75">
      <c r="A844" s="70">
        <v>37</v>
      </c>
      <c r="B844" s="70">
        <v>3</v>
      </c>
      <c r="C844" s="70">
        <v>44</v>
      </c>
      <c r="D844" s="71" t="s">
        <v>73</v>
      </c>
      <c r="E844" s="72" t="s">
        <v>829</v>
      </c>
      <c r="F844" s="73" t="str">
        <f t="shared" si="66"/>
        <v>370344</v>
      </c>
      <c r="G844" s="72" t="str">
        <f t="shared" si="67"/>
        <v>370344</v>
      </c>
      <c r="H844" s="74" t="s">
        <v>4575</v>
      </c>
    </row>
    <row r="845" spans="1:8" ht="18.75">
      <c r="A845" s="70">
        <v>37</v>
      </c>
      <c r="B845" s="70">
        <v>3</v>
      </c>
      <c r="C845" s="70">
        <v>45</v>
      </c>
      <c r="D845" s="71" t="s">
        <v>3569</v>
      </c>
      <c r="E845" s="72" t="s">
        <v>829</v>
      </c>
      <c r="F845" s="73" t="str">
        <f t="shared" si="66"/>
        <v>370345</v>
      </c>
      <c r="G845" s="72" t="str">
        <f t="shared" si="67"/>
        <v>370345</v>
      </c>
      <c r="H845" s="74" t="s">
        <v>4576</v>
      </c>
    </row>
    <row r="846" spans="1:8" ht="18.75">
      <c r="A846" s="70">
        <v>37</v>
      </c>
      <c r="B846" s="70">
        <v>3</v>
      </c>
      <c r="C846" s="70">
        <v>46</v>
      </c>
      <c r="D846" s="71" t="s">
        <v>49</v>
      </c>
      <c r="E846" s="72" t="s">
        <v>829</v>
      </c>
      <c r="F846" s="73" t="str">
        <f t="shared" si="66"/>
        <v>370346</v>
      </c>
      <c r="G846" s="72" t="str">
        <f t="shared" si="67"/>
        <v>370346</v>
      </c>
      <c r="H846" s="74" t="s">
        <v>4577</v>
      </c>
    </row>
    <row r="847" spans="1:8" ht="18.75">
      <c r="A847" s="70">
        <v>37</v>
      </c>
      <c r="B847" s="70">
        <v>3</v>
      </c>
      <c r="C847" s="70">
        <v>47</v>
      </c>
      <c r="D847" s="71" t="s">
        <v>3312</v>
      </c>
      <c r="E847" s="72" t="s">
        <v>829</v>
      </c>
      <c r="F847" s="73" t="str">
        <f t="shared" si="66"/>
        <v>370347</v>
      </c>
      <c r="G847" s="72" t="str">
        <f t="shared" si="67"/>
        <v>370347</v>
      </c>
      <c r="H847" s="74" t="s">
        <v>4578</v>
      </c>
    </row>
    <row r="848" spans="1:8" ht="18.75">
      <c r="A848" s="70">
        <v>37</v>
      </c>
      <c r="B848" s="70">
        <v>3</v>
      </c>
      <c r="C848" s="70">
        <v>48</v>
      </c>
      <c r="D848" s="71" t="s">
        <v>3529</v>
      </c>
      <c r="E848" s="72" t="s">
        <v>829</v>
      </c>
      <c r="F848" s="73" t="str">
        <f t="shared" si="66"/>
        <v>370348</v>
      </c>
      <c r="G848" s="72" t="str">
        <f t="shared" si="67"/>
        <v>370348</v>
      </c>
      <c r="H848" s="74" t="s">
        <v>4579</v>
      </c>
    </row>
    <row r="849" spans="1:8" ht="18.75">
      <c r="A849" s="70">
        <v>37</v>
      </c>
      <c r="B849" s="70">
        <v>3</v>
      </c>
      <c r="C849" s="70">
        <v>49</v>
      </c>
      <c r="D849" s="71" t="s">
        <v>3530</v>
      </c>
      <c r="E849" s="72" t="s">
        <v>829</v>
      </c>
      <c r="F849" s="73" t="str">
        <f t="shared" si="66"/>
        <v>370349</v>
      </c>
      <c r="G849" s="72" t="str">
        <f t="shared" si="67"/>
        <v>370349</v>
      </c>
      <c r="H849" s="74" t="s">
        <v>4580</v>
      </c>
    </row>
    <row r="850" spans="1:8" ht="18.75">
      <c r="A850" s="70">
        <v>37</v>
      </c>
      <c r="B850" s="70">
        <v>3</v>
      </c>
      <c r="C850" s="70">
        <v>50</v>
      </c>
      <c r="D850" s="71" t="s">
        <v>5855</v>
      </c>
      <c r="E850" s="72" t="s">
        <v>829</v>
      </c>
      <c r="F850" s="73" t="str">
        <f t="shared" si="66"/>
        <v>370350</v>
      </c>
      <c r="G850" s="72" t="str">
        <f t="shared" si="67"/>
        <v>370350</v>
      </c>
      <c r="H850" s="74" t="s">
        <v>4581</v>
      </c>
    </row>
    <row r="851" spans="1:8" ht="18.75">
      <c r="A851" s="70">
        <v>37</v>
      </c>
      <c r="B851" s="70">
        <v>3</v>
      </c>
      <c r="C851" s="70">
        <v>51</v>
      </c>
      <c r="D851" s="71" t="s">
        <v>3531</v>
      </c>
      <c r="E851" s="72" t="s">
        <v>829</v>
      </c>
      <c r="F851" s="73" t="str">
        <f t="shared" si="66"/>
        <v>370351</v>
      </c>
      <c r="G851" s="72" t="str">
        <f t="shared" si="67"/>
        <v>370351</v>
      </c>
      <c r="H851" s="74" t="s">
        <v>4582</v>
      </c>
    </row>
    <row r="852" spans="1:8" ht="18.75">
      <c r="A852" s="70">
        <v>37</v>
      </c>
      <c r="B852" s="70">
        <v>3</v>
      </c>
      <c r="C852" s="70">
        <v>52</v>
      </c>
      <c r="D852" s="71" t="s">
        <v>3532</v>
      </c>
      <c r="E852" s="72" t="s">
        <v>829</v>
      </c>
      <c r="F852" s="73" t="str">
        <f t="shared" si="66"/>
        <v>370352</v>
      </c>
      <c r="G852" s="72" t="str">
        <f t="shared" si="67"/>
        <v>370352</v>
      </c>
      <c r="H852" s="74" t="s">
        <v>4583</v>
      </c>
    </row>
    <row r="853" spans="1:8" ht="18.75">
      <c r="A853" s="70">
        <v>37</v>
      </c>
      <c r="B853" s="70">
        <v>3</v>
      </c>
      <c r="C853" s="70">
        <v>53</v>
      </c>
      <c r="D853" s="71" t="s">
        <v>301</v>
      </c>
      <c r="E853" s="72" t="s">
        <v>829</v>
      </c>
      <c r="F853" s="73" t="str">
        <f t="shared" si="66"/>
        <v>370353</v>
      </c>
      <c r="G853" s="72" t="str">
        <f t="shared" si="67"/>
        <v>370353</v>
      </c>
      <c r="H853" s="74" t="s">
        <v>4584</v>
      </c>
    </row>
    <row r="854" spans="1:8" ht="18.75">
      <c r="A854" s="70">
        <v>37</v>
      </c>
      <c r="B854" s="70">
        <v>3</v>
      </c>
      <c r="C854" s="70">
        <v>54</v>
      </c>
      <c r="D854" s="71" t="s">
        <v>716</v>
      </c>
      <c r="E854" s="72" t="s">
        <v>829</v>
      </c>
      <c r="F854" s="73" t="str">
        <f t="shared" si="66"/>
        <v>370354</v>
      </c>
      <c r="G854" s="72" t="str">
        <f t="shared" si="67"/>
        <v>370354</v>
      </c>
      <c r="H854" s="74" t="s">
        <v>4585</v>
      </c>
    </row>
    <row r="855" spans="1:8" ht="18.75">
      <c r="A855" s="70">
        <v>37</v>
      </c>
      <c r="B855" s="70">
        <v>3</v>
      </c>
      <c r="C855" s="70">
        <v>55</v>
      </c>
      <c r="D855" s="71" t="s">
        <v>3637</v>
      </c>
      <c r="E855" s="72" t="s">
        <v>829</v>
      </c>
      <c r="F855" s="73" t="str">
        <f t="shared" si="66"/>
        <v>370355</v>
      </c>
      <c r="G855" s="72" t="str">
        <f t="shared" si="67"/>
        <v>370355</v>
      </c>
      <c r="H855" s="74" t="s">
        <v>4586</v>
      </c>
    </row>
    <row r="856" spans="1:8" ht="18.75">
      <c r="A856" s="70">
        <v>37</v>
      </c>
      <c r="B856" s="70">
        <v>3</v>
      </c>
      <c r="C856" s="70">
        <v>56</v>
      </c>
      <c r="D856" s="71" t="s">
        <v>3638</v>
      </c>
      <c r="E856" s="72" t="s">
        <v>829</v>
      </c>
      <c r="F856" s="73" t="str">
        <f t="shared" si="66"/>
        <v>370356</v>
      </c>
      <c r="G856" s="72" t="str">
        <f t="shared" si="67"/>
        <v>370356</v>
      </c>
      <c r="H856" s="74" t="s">
        <v>4587</v>
      </c>
    </row>
    <row r="857" spans="1:8" ht="18.75">
      <c r="A857" s="70">
        <v>37</v>
      </c>
      <c r="B857" s="70">
        <v>3</v>
      </c>
      <c r="C857" s="70">
        <v>57</v>
      </c>
      <c r="D857" s="71" t="s">
        <v>5525</v>
      </c>
      <c r="E857" s="72" t="s">
        <v>829</v>
      </c>
      <c r="F857" s="73" t="str">
        <f t="shared" si="66"/>
        <v>370357</v>
      </c>
      <c r="G857" s="72" t="str">
        <f t="shared" si="67"/>
        <v>370357</v>
      </c>
      <c r="H857" s="74" t="s">
        <v>4588</v>
      </c>
    </row>
    <row r="858" spans="1:8" ht="18.75">
      <c r="A858" s="70">
        <v>37</v>
      </c>
      <c r="B858" s="70">
        <v>3</v>
      </c>
      <c r="C858" s="70">
        <v>58</v>
      </c>
      <c r="D858" s="71" t="s">
        <v>3796</v>
      </c>
      <c r="E858" s="72" t="s">
        <v>829</v>
      </c>
      <c r="F858" s="73" t="str">
        <f t="shared" si="66"/>
        <v>370358</v>
      </c>
      <c r="G858" s="72" t="str">
        <f t="shared" si="67"/>
        <v>370358</v>
      </c>
      <c r="H858" s="74" t="s">
        <v>4589</v>
      </c>
    </row>
    <row r="859" spans="1:8" ht="18.75">
      <c r="A859" s="70">
        <v>37</v>
      </c>
      <c r="B859" s="70">
        <v>3</v>
      </c>
      <c r="C859" s="70">
        <v>59</v>
      </c>
      <c r="D859" s="71" t="s">
        <v>4590</v>
      </c>
      <c r="E859" s="72" t="s">
        <v>829</v>
      </c>
      <c r="F859" s="73" t="str">
        <f t="shared" si="66"/>
        <v>370359</v>
      </c>
      <c r="G859" s="72" t="str">
        <f t="shared" si="67"/>
        <v>370359</v>
      </c>
      <c r="H859" s="74" t="s">
        <v>4591</v>
      </c>
    </row>
    <row r="860" spans="1:8" ht="18.75">
      <c r="A860" s="70">
        <v>37</v>
      </c>
      <c r="B860" s="70">
        <v>3</v>
      </c>
      <c r="C860" s="70">
        <v>31</v>
      </c>
      <c r="D860" s="71" t="s">
        <v>3309</v>
      </c>
      <c r="E860" s="72" t="s">
        <v>829</v>
      </c>
      <c r="F860" s="73" t="str">
        <f t="shared" si="66"/>
        <v>370331</v>
      </c>
      <c r="G860" s="72" t="str">
        <f t="shared" si="67"/>
        <v>370331</v>
      </c>
      <c r="H860" s="74" t="s">
        <v>4046</v>
      </c>
    </row>
    <row r="861" spans="1:8" ht="18.75">
      <c r="A861" s="70">
        <v>37</v>
      </c>
      <c r="B861" s="70">
        <v>3</v>
      </c>
      <c r="C861" s="70">
        <v>60</v>
      </c>
      <c r="D861" s="71" t="s">
        <v>5727</v>
      </c>
      <c r="E861" s="72" t="s">
        <v>829</v>
      </c>
      <c r="F861" s="73" t="str">
        <f t="shared" si="66"/>
        <v>370360</v>
      </c>
      <c r="G861" s="72" t="str">
        <f t="shared" si="67"/>
        <v>370360</v>
      </c>
      <c r="H861" s="74" t="s">
        <v>5979</v>
      </c>
    </row>
    <row r="862" spans="1:8" ht="18.75">
      <c r="A862" s="70">
        <v>37</v>
      </c>
      <c r="B862" s="70">
        <v>3</v>
      </c>
      <c r="C862" s="70">
        <v>61</v>
      </c>
      <c r="D862" s="71" t="s">
        <v>5980</v>
      </c>
      <c r="E862" s="72" t="s">
        <v>829</v>
      </c>
      <c r="F862" s="73" t="str">
        <f t="shared" si="66"/>
        <v>370361</v>
      </c>
      <c r="G862" s="72" t="str">
        <f t="shared" si="67"/>
        <v>370361</v>
      </c>
      <c r="H862" s="74" t="s">
        <v>5981</v>
      </c>
    </row>
    <row r="863" spans="1:8" ht="18.75">
      <c r="A863" s="66">
        <v>37</v>
      </c>
      <c r="B863" s="66">
        <v>4</v>
      </c>
      <c r="C863" s="66">
        <v>0</v>
      </c>
      <c r="D863" s="67" t="s">
        <v>2873</v>
      </c>
      <c r="E863" s="68"/>
      <c r="F863" s="78"/>
      <c r="G863" s="79"/>
      <c r="H863" s="80"/>
    </row>
    <row r="864" spans="1:8" ht="18.75">
      <c r="A864" s="70">
        <v>37</v>
      </c>
      <c r="B864" s="70">
        <v>4</v>
      </c>
      <c r="C864" s="70">
        <v>11</v>
      </c>
      <c r="D864" s="71" t="s">
        <v>3328</v>
      </c>
      <c r="E864" s="72" t="s">
        <v>829</v>
      </c>
      <c r="F864" s="73" t="str">
        <f t="shared" ref="F864:F903" si="68">TEXT(A864,"00")&amp;TEXT(B864,"00")&amp;TEXT(C864,"00")</f>
        <v>370411</v>
      </c>
      <c r="G864" s="72" t="str">
        <f t="shared" ref="G864:G903" si="69">TEXT(F864,"000000")</f>
        <v>370411</v>
      </c>
      <c r="H864" s="74" t="s">
        <v>4592</v>
      </c>
    </row>
    <row r="865" spans="1:8" ht="18.75">
      <c r="A865" s="70">
        <v>37</v>
      </c>
      <c r="B865" s="70">
        <v>4</v>
      </c>
      <c r="C865" s="70">
        <v>12</v>
      </c>
      <c r="D865" s="71" t="s">
        <v>3329</v>
      </c>
      <c r="E865" s="72" t="s">
        <v>829</v>
      </c>
      <c r="F865" s="73" t="str">
        <f t="shared" si="68"/>
        <v>370412</v>
      </c>
      <c r="G865" s="72" t="str">
        <f t="shared" si="69"/>
        <v>370412</v>
      </c>
      <c r="H865" s="74" t="s">
        <v>4593</v>
      </c>
    </row>
    <row r="866" spans="1:8" ht="18.75">
      <c r="A866" s="70">
        <v>37</v>
      </c>
      <c r="B866" s="70">
        <v>4</v>
      </c>
      <c r="C866" s="70">
        <v>13</v>
      </c>
      <c r="D866" s="71" t="s">
        <v>392</v>
      </c>
      <c r="E866" s="72" t="s">
        <v>829</v>
      </c>
      <c r="F866" s="73" t="str">
        <f t="shared" si="68"/>
        <v>370413</v>
      </c>
      <c r="G866" s="72" t="str">
        <f t="shared" si="69"/>
        <v>370413</v>
      </c>
      <c r="H866" s="74" t="s">
        <v>4594</v>
      </c>
    </row>
    <row r="867" spans="1:8" ht="18.75">
      <c r="A867" s="70">
        <v>37</v>
      </c>
      <c r="B867" s="70">
        <v>4</v>
      </c>
      <c r="C867" s="70">
        <v>14</v>
      </c>
      <c r="D867" s="71" t="s">
        <v>3330</v>
      </c>
      <c r="E867" s="72" t="s">
        <v>829</v>
      </c>
      <c r="F867" s="73" t="str">
        <f t="shared" si="68"/>
        <v>370414</v>
      </c>
      <c r="G867" s="72" t="str">
        <f t="shared" si="69"/>
        <v>370414</v>
      </c>
      <c r="H867" s="74" t="s">
        <v>4595</v>
      </c>
    </row>
    <row r="868" spans="1:8" ht="18.75">
      <c r="A868" s="70">
        <v>37</v>
      </c>
      <c r="B868" s="70">
        <v>4</v>
      </c>
      <c r="C868" s="70">
        <v>15</v>
      </c>
      <c r="D868" s="71" t="s">
        <v>3605</v>
      </c>
      <c r="E868" s="72" t="s">
        <v>829</v>
      </c>
      <c r="F868" s="73" t="str">
        <f t="shared" si="68"/>
        <v>370415</v>
      </c>
      <c r="G868" s="72" t="str">
        <f t="shared" si="69"/>
        <v>370415</v>
      </c>
      <c r="H868" s="74" t="s">
        <v>4596</v>
      </c>
    </row>
    <row r="869" spans="1:8" ht="18.75">
      <c r="A869" s="70">
        <v>37</v>
      </c>
      <c r="B869" s="70">
        <v>4</v>
      </c>
      <c r="C869" s="70">
        <v>16</v>
      </c>
      <c r="D869" s="71" t="s">
        <v>3331</v>
      </c>
      <c r="E869" s="72" t="s">
        <v>829</v>
      </c>
      <c r="F869" s="73" t="str">
        <f t="shared" si="68"/>
        <v>370416</v>
      </c>
      <c r="G869" s="72" t="str">
        <f t="shared" si="69"/>
        <v>370416</v>
      </c>
      <c r="H869" s="74" t="s">
        <v>4597</v>
      </c>
    </row>
    <row r="870" spans="1:8" ht="18.75">
      <c r="A870" s="70">
        <v>37</v>
      </c>
      <c r="B870" s="70">
        <v>4</v>
      </c>
      <c r="C870" s="70">
        <v>17</v>
      </c>
      <c r="D870" s="71" t="s">
        <v>3332</v>
      </c>
      <c r="E870" s="72" t="s">
        <v>829</v>
      </c>
      <c r="F870" s="73" t="str">
        <f t="shared" si="68"/>
        <v>370417</v>
      </c>
      <c r="G870" s="72" t="str">
        <f t="shared" si="69"/>
        <v>370417</v>
      </c>
      <c r="H870" s="74" t="s">
        <v>4598</v>
      </c>
    </row>
    <row r="871" spans="1:8" ht="18.75">
      <c r="A871" s="70">
        <v>37</v>
      </c>
      <c r="B871" s="70">
        <v>4</v>
      </c>
      <c r="C871" s="70">
        <v>18</v>
      </c>
      <c r="D871" s="71" t="s">
        <v>3333</v>
      </c>
      <c r="E871" s="72" t="s">
        <v>829</v>
      </c>
      <c r="F871" s="73" t="str">
        <f t="shared" si="68"/>
        <v>370418</v>
      </c>
      <c r="G871" s="72" t="str">
        <f t="shared" si="69"/>
        <v>370418</v>
      </c>
      <c r="H871" s="74" t="s">
        <v>4599</v>
      </c>
    </row>
    <row r="872" spans="1:8" ht="18.75">
      <c r="A872" s="70">
        <v>37</v>
      </c>
      <c r="B872" s="70">
        <v>4</v>
      </c>
      <c r="C872" s="70">
        <v>19</v>
      </c>
      <c r="D872" s="71" t="s">
        <v>88</v>
      </c>
      <c r="E872" s="72" t="s">
        <v>4049</v>
      </c>
      <c r="F872" s="73" t="str">
        <f t="shared" si="68"/>
        <v>370419</v>
      </c>
      <c r="G872" s="72" t="str">
        <f t="shared" si="69"/>
        <v>370419</v>
      </c>
      <c r="H872" s="74" t="s">
        <v>4600</v>
      </c>
    </row>
    <row r="873" spans="1:8" ht="18.75">
      <c r="A873" s="70">
        <v>37</v>
      </c>
      <c r="B873" s="70">
        <v>4</v>
      </c>
      <c r="C873" s="70">
        <v>20</v>
      </c>
      <c r="D873" s="71" t="s">
        <v>3334</v>
      </c>
      <c r="E873" s="72" t="s">
        <v>4049</v>
      </c>
      <c r="F873" s="73" t="str">
        <f t="shared" si="68"/>
        <v>370420</v>
      </c>
      <c r="G873" s="72" t="str">
        <f t="shared" si="69"/>
        <v>370420</v>
      </c>
      <c r="H873" s="74" t="s">
        <v>4601</v>
      </c>
    </row>
    <row r="874" spans="1:8" ht="18.75">
      <c r="A874" s="70">
        <v>37</v>
      </c>
      <c r="B874" s="70">
        <v>4</v>
      </c>
      <c r="C874" s="70">
        <v>21</v>
      </c>
      <c r="D874" s="71" t="s">
        <v>3324</v>
      </c>
      <c r="E874" s="72" t="s">
        <v>829</v>
      </c>
      <c r="F874" s="73" t="str">
        <f t="shared" si="68"/>
        <v>370421</v>
      </c>
      <c r="G874" s="72" t="str">
        <f t="shared" si="69"/>
        <v>370421</v>
      </c>
      <c r="H874" s="74" t="s">
        <v>4602</v>
      </c>
    </row>
    <row r="875" spans="1:8" ht="18.75">
      <c r="A875" s="70">
        <v>37</v>
      </c>
      <c r="B875" s="70">
        <v>4</v>
      </c>
      <c r="C875" s="70">
        <v>22</v>
      </c>
      <c r="D875" s="71" t="s">
        <v>3325</v>
      </c>
      <c r="E875" s="72" t="s">
        <v>829</v>
      </c>
      <c r="F875" s="73" t="str">
        <f t="shared" si="68"/>
        <v>370422</v>
      </c>
      <c r="G875" s="72" t="str">
        <f t="shared" si="69"/>
        <v>370422</v>
      </c>
      <c r="H875" s="74" t="s">
        <v>4603</v>
      </c>
    </row>
    <row r="876" spans="1:8" ht="18.75">
      <c r="A876" s="70">
        <v>37</v>
      </c>
      <c r="B876" s="70">
        <v>4</v>
      </c>
      <c r="C876" s="70">
        <v>23</v>
      </c>
      <c r="D876" s="71" t="s">
        <v>3326</v>
      </c>
      <c r="E876" s="72" t="s">
        <v>829</v>
      </c>
      <c r="F876" s="73" t="str">
        <f t="shared" si="68"/>
        <v>370423</v>
      </c>
      <c r="G876" s="72" t="str">
        <f t="shared" si="69"/>
        <v>370423</v>
      </c>
      <c r="H876" s="74" t="s">
        <v>4604</v>
      </c>
    </row>
    <row r="877" spans="1:8" ht="18.75">
      <c r="A877" s="70">
        <v>37</v>
      </c>
      <c r="B877" s="70">
        <v>4</v>
      </c>
      <c r="C877" s="70">
        <v>44</v>
      </c>
      <c r="D877" s="71" t="s">
        <v>4605</v>
      </c>
      <c r="E877" s="72" t="s">
        <v>829</v>
      </c>
      <c r="F877" s="73" t="str">
        <f t="shared" si="68"/>
        <v>370444</v>
      </c>
      <c r="G877" s="72" t="str">
        <f t="shared" si="69"/>
        <v>370444</v>
      </c>
      <c r="H877" s="74" t="s">
        <v>5526</v>
      </c>
    </row>
    <row r="878" spans="1:8" ht="18.75">
      <c r="A878" s="70">
        <v>37</v>
      </c>
      <c r="B878" s="70">
        <v>4</v>
      </c>
      <c r="C878" s="70">
        <v>24</v>
      </c>
      <c r="D878" s="71" t="s">
        <v>3327</v>
      </c>
      <c r="E878" s="72" t="s">
        <v>829</v>
      </c>
      <c r="F878" s="73" t="str">
        <f t="shared" si="68"/>
        <v>370424</v>
      </c>
      <c r="G878" s="72" t="str">
        <f t="shared" si="69"/>
        <v>370424</v>
      </c>
      <c r="H878" s="74" t="s">
        <v>4606</v>
      </c>
    </row>
    <row r="879" spans="1:8" ht="18.75">
      <c r="A879" s="70">
        <v>37</v>
      </c>
      <c r="B879" s="70">
        <v>4</v>
      </c>
      <c r="C879" s="70">
        <v>25</v>
      </c>
      <c r="D879" s="71" t="s">
        <v>251</v>
      </c>
      <c r="E879" s="72" t="s">
        <v>829</v>
      </c>
      <c r="F879" s="73" t="str">
        <f t="shared" si="68"/>
        <v>370425</v>
      </c>
      <c r="G879" s="72" t="str">
        <f t="shared" si="69"/>
        <v>370425</v>
      </c>
      <c r="H879" s="74" t="s">
        <v>4607</v>
      </c>
    </row>
    <row r="880" spans="1:8" ht="18.75">
      <c r="A880" s="70">
        <v>37</v>
      </c>
      <c r="B880" s="70">
        <v>4</v>
      </c>
      <c r="C880" s="70">
        <v>26</v>
      </c>
      <c r="D880" s="71" t="s">
        <v>252</v>
      </c>
      <c r="E880" s="72" t="s">
        <v>829</v>
      </c>
      <c r="F880" s="73" t="str">
        <f t="shared" si="68"/>
        <v>370426</v>
      </c>
      <c r="G880" s="72" t="str">
        <f t="shared" si="69"/>
        <v>370426</v>
      </c>
      <c r="H880" s="74" t="s">
        <v>4608</v>
      </c>
    </row>
    <row r="881" spans="1:8" ht="18.75">
      <c r="A881" s="70">
        <v>37</v>
      </c>
      <c r="B881" s="70">
        <v>4</v>
      </c>
      <c r="C881" s="70">
        <v>27</v>
      </c>
      <c r="D881" s="71" t="s">
        <v>253</v>
      </c>
      <c r="E881" s="72" t="s">
        <v>829</v>
      </c>
      <c r="F881" s="73" t="str">
        <f t="shared" si="68"/>
        <v>370427</v>
      </c>
      <c r="G881" s="72" t="str">
        <f t="shared" si="69"/>
        <v>370427</v>
      </c>
      <c r="H881" s="74" t="s">
        <v>4609</v>
      </c>
    </row>
    <row r="882" spans="1:8" ht="18.75">
      <c r="A882" s="70">
        <v>37</v>
      </c>
      <c r="B882" s="70">
        <v>4</v>
      </c>
      <c r="C882" s="70">
        <v>28</v>
      </c>
      <c r="D882" s="71" t="s">
        <v>254</v>
      </c>
      <c r="E882" s="72" t="s">
        <v>829</v>
      </c>
      <c r="F882" s="73" t="str">
        <f t="shared" si="68"/>
        <v>370428</v>
      </c>
      <c r="G882" s="72" t="str">
        <f t="shared" si="69"/>
        <v>370428</v>
      </c>
      <c r="H882" s="74" t="s">
        <v>4610</v>
      </c>
    </row>
    <row r="883" spans="1:8" ht="18.75">
      <c r="A883" s="70">
        <v>37</v>
      </c>
      <c r="B883" s="70">
        <v>4</v>
      </c>
      <c r="C883" s="70">
        <v>29</v>
      </c>
      <c r="D883" s="71" t="s">
        <v>3323</v>
      </c>
      <c r="E883" s="72" t="s">
        <v>829</v>
      </c>
      <c r="F883" s="73" t="str">
        <f t="shared" si="68"/>
        <v>370429</v>
      </c>
      <c r="G883" s="72" t="str">
        <f t="shared" si="69"/>
        <v>370429</v>
      </c>
      <c r="H883" s="74" t="s">
        <v>4611</v>
      </c>
    </row>
    <row r="884" spans="1:8" ht="18.75">
      <c r="A884" s="70">
        <v>37</v>
      </c>
      <c r="B884" s="70">
        <v>4</v>
      </c>
      <c r="C884" s="70">
        <v>30</v>
      </c>
      <c r="D884" s="71" t="s">
        <v>255</v>
      </c>
      <c r="E884" s="72" t="s">
        <v>829</v>
      </c>
      <c r="F884" s="73" t="str">
        <f t="shared" si="68"/>
        <v>370430</v>
      </c>
      <c r="G884" s="72" t="str">
        <f t="shared" si="69"/>
        <v>370430</v>
      </c>
      <c r="H884" s="74" t="s">
        <v>4612</v>
      </c>
    </row>
    <row r="885" spans="1:8" ht="18.75">
      <c r="A885" s="70">
        <v>37</v>
      </c>
      <c r="B885" s="70">
        <v>4</v>
      </c>
      <c r="C885" s="70">
        <v>31</v>
      </c>
      <c r="D885" s="71" t="s">
        <v>3321</v>
      </c>
      <c r="E885" s="72" t="s">
        <v>829</v>
      </c>
      <c r="F885" s="73" t="str">
        <f t="shared" si="68"/>
        <v>370431</v>
      </c>
      <c r="G885" s="72" t="str">
        <f t="shared" si="69"/>
        <v>370431</v>
      </c>
      <c r="H885" s="74" t="s">
        <v>4613</v>
      </c>
    </row>
    <row r="886" spans="1:8" ht="18.75">
      <c r="A886" s="70">
        <v>37</v>
      </c>
      <c r="B886" s="70">
        <v>4</v>
      </c>
      <c r="C886" s="70">
        <v>32</v>
      </c>
      <c r="D886" s="71" t="s">
        <v>3322</v>
      </c>
      <c r="E886" s="72" t="s">
        <v>829</v>
      </c>
      <c r="F886" s="73" t="str">
        <f t="shared" si="68"/>
        <v>370432</v>
      </c>
      <c r="G886" s="72" t="str">
        <f t="shared" si="69"/>
        <v>370432</v>
      </c>
      <c r="H886" s="74" t="s">
        <v>4614</v>
      </c>
    </row>
    <row r="887" spans="1:8" ht="18.75">
      <c r="A887" s="70">
        <v>37</v>
      </c>
      <c r="B887" s="70">
        <v>4</v>
      </c>
      <c r="C887" s="70">
        <v>33</v>
      </c>
      <c r="D887" s="71" t="s">
        <v>89</v>
      </c>
      <c r="E887" s="72" t="s">
        <v>829</v>
      </c>
      <c r="F887" s="73" t="str">
        <f t="shared" si="68"/>
        <v>370433</v>
      </c>
      <c r="G887" s="72" t="str">
        <f t="shared" si="69"/>
        <v>370433</v>
      </c>
      <c r="H887" s="74" t="s">
        <v>4615</v>
      </c>
    </row>
    <row r="888" spans="1:8" ht="18.75">
      <c r="A888" s="70">
        <v>37</v>
      </c>
      <c r="B888" s="70">
        <v>4</v>
      </c>
      <c r="C888" s="70">
        <v>34</v>
      </c>
      <c r="D888" s="71" t="s">
        <v>3566</v>
      </c>
      <c r="E888" s="72" t="s">
        <v>829</v>
      </c>
      <c r="F888" s="73" t="str">
        <f t="shared" si="68"/>
        <v>370434</v>
      </c>
      <c r="G888" s="72" t="str">
        <f t="shared" si="69"/>
        <v>370434</v>
      </c>
      <c r="H888" s="74" t="s">
        <v>4616</v>
      </c>
    </row>
    <row r="889" spans="1:8" ht="18.75">
      <c r="A889" s="70">
        <v>37</v>
      </c>
      <c r="B889" s="70">
        <v>4</v>
      </c>
      <c r="C889" s="70">
        <v>35</v>
      </c>
      <c r="D889" s="71" t="s">
        <v>3314</v>
      </c>
      <c r="E889" s="72" t="s">
        <v>829</v>
      </c>
      <c r="F889" s="73" t="str">
        <f t="shared" si="68"/>
        <v>370435</v>
      </c>
      <c r="G889" s="72" t="str">
        <f t="shared" si="69"/>
        <v>370435</v>
      </c>
      <c r="H889" s="74" t="s">
        <v>4617</v>
      </c>
    </row>
    <row r="890" spans="1:8" ht="18.75">
      <c r="A890" s="70">
        <v>37</v>
      </c>
      <c r="B890" s="70">
        <v>4</v>
      </c>
      <c r="C890" s="70">
        <v>36</v>
      </c>
      <c r="D890" s="71" t="s">
        <v>3315</v>
      </c>
      <c r="E890" s="72" t="s">
        <v>829</v>
      </c>
      <c r="F890" s="73" t="str">
        <f t="shared" si="68"/>
        <v>370436</v>
      </c>
      <c r="G890" s="72" t="str">
        <f t="shared" si="69"/>
        <v>370436</v>
      </c>
      <c r="H890" s="74" t="s">
        <v>4618</v>
      </c>
    </row>
    <row r="891" spans="1:8" ht="18.75">
      <c r="A891" s="70">
        <v>37</v>
      </c>
      <c r="B891" s="70">
        <v>4</v>
      </c>
      <c r="C891" s="70">
        <v>37</v>
      </c>
      <c r="D891" s="71" t="s">
        <v>3316</v>
      </c>
      <c r="E891" s="72" t="s">
        <v>829</v>
      </c>
      <c r="F891" s="73" t="str">
        <f t="shared" si="68"/>
        <v>370437</v>
      </c>
      <c r="G891" s="72" t="str">
        <f t="shared" si="69"/>
        <v>370437</v>
      </c>
      <c r="H891" s="74" t="s">
        <v>4619</v>
      </c>
    </row>
    <row r="892" spans="1:8" ht="18.75">
      <c r="A892" s="70">
        <v>37</v>
      </c>
      <c r="B892" s="70">
        <v>4</v>
      </c>
      <c r="C892" s="70">
        <v>38</v>
      </c>
      <c r="D892" s="71" t="s">
        <v>3317</v>
      </c>
      <c r="E892" s="72" t="s">
        <v>829</v>
      </c>
      <c r="F892" s="73" t="str">
        <f t="shared" si="68"/>
        <v>370438</v>
      </c>
      <c r="G892" s="72" t="str">
        <f t="shared" si="69"/>
        <v>370438</v>
      </c>
      <c r="H892" s="74" t="s">
        <v>4620</v>
      </c>
    </row>
    <row r="893" spans="1:8" ht="18.75">
      <c r="A893" s="70">
        <v>37</v>
      </c>
      <c r="B893" s="70">
        <v>4</v>
      </c>
      <c r="C893" s="70">
        <v>39</v>
      </c>
      <c r="D893" s="71" t="s">
        <v>3318</v>
      </c>
      <c r="E893" s="72" t="s">
        <v>829</v>
      </c>
      <c r="F893" s="73" t="str">
        <f t="shared" si="68"/>
        <v>370439</v>
      </c>
      <c r="G893" s="72" t="str">
        <f t="shared" si="69"/>
        <v>370439</v>
      </c>
      <c r="H893" s="74" t="s">
        <v>4621</v>
      </c>
    </row>
    <row r="894" spans="1:8" ht="18.75">
      <c r="A894" s="70">
        <v>37</v>
      </c>
      <c r="B894" s="70">
        <v>4</v>
      </c>
      <c r="C894" s="70">
        <v>40</v>
      </c>
      <c r="D894" s="71" t="s">
        <v>3319</v>
      </c>
      <c r="E894" s="72" t="s">
        <v>829</v>
      </c>
      <c r="F894" s="73" t="str">
        <f t="shared" si="68"/>
        <v>370440</v>
      </c>
      <c r="G894" s="72" t="str">
        <f t="shared" si="69"/>
        <v>370440</v>
      </c>
      <c r="H894" s="74" t="s">
        <v>4622</v>
      </c>
    </row>
    <row r="895" spans="1:8" ht="18.75">
      <c r="A895" s="70">
        <v>37</v>
      </c>
      <c r="B895" s="70">
        <v>4</v>
      </c>
      <c r="C895" s="70">
        <v>41</v>
      </c>
      <c r="D895" s="71" t="s">
        <v>3320</v>
      </c>
      <c r="E895" s="72" t="s">
        <v>829</v>
      </c>
      <c r="F895" s="73" t="str">
        <f t="shared" si="68"/>
        <v>370441</v>
      </c>
      <c r="G895" s="72" t="str">
        <f t="shared" si="69"/>
        <v>370441</v>
      </c>
      <c r="H895" s="74" t="s">
        <v>5527</v>
      </c>
    </row>
    <row r="896" spans="1:8" ht="18.75">
      <c r="A896" s="70">
        <v>37</v>
      </c>
      <c r="B896" s="70">
        <v>4</v>
      </c>
      <c r="C896" s="70">
        <v>42</v>
      </c>
      <c r="D896" s="71" t="s">
        <v>3640</v>
      </c>
      <c r="E896" s="72" t="s">
        <v>829</v>
      </c>
      <c r="F896" s="73" t="str">
        <f t="shared" si="68"/>
        <v>370442</v>
      </c>
      <c r="G896" s="72" t="str">
        <f t="shared" si="69"/>
        <v>370442</v>
      </c>
      <c r="H896" s="74" t="s">
        <v>4623</v>
      </c>
    </row>
    <row r="897" spans="1:8" ht="18.75">
      <c r="A897" s="70">
        <v>37</v>
      </c>
      <c r="B897" s="70">
        <v>4</v>
      </c>
      <c r="C897" s="70">
        <v>43</v>
      </c>
      <c r="D897" s="71" t="s">
        <v>3793</v>
      </c>
      <c r="E897" s="72" t="s">
        <v>829</v>
      </c>
      <c r="F897" s="73" t="str">
        <f t="shared" si="68"/>
        <v>370443</v>
      </c>
      <c r="G897" s="72" t="str">
        <f t="shared" si="69"/>
        <v>370443</v>
      </c>
      <c r="H897" s="74" t="s">
        <v>4624</v>
      </c>
    </row>
    <row r="898" spans="1:8" ht="18.75">
      <c r="A898" s="70">
        <v>37</v>
      </c>
      <c r="B898" s="70">
        <v>4</v>
      </c>
      <c r="C898" s="70">
        <v>45</v>
      </c>
      <c r="D898" s="71" t="s">
        <v>5528</v>
      </c>
      <c r="E898" s="72" t="s">
        <v>829</v>
      </c>
      <c r="F898" s="73" t="str">
        <f t="shared" si="68"/>
        <v>370445</v>
      </c>
      <c r="G898" s="72" t="str">
        <f t="shared" si="69"/>
        <v>370445</v>
      </c>
      <c r="H898" s="74" t="s">
        <v>5529</v>
      </c>
    </row>
    <row r="899" spans="1:8" ht="18.75">
      <c r="A899" s="70">
        <v>37</v>
      </c>
      <c r="B899" s="70">
        <v>4</v>
      </c>
      <c r="C899" s="70">
        <v>46</v>
      </c>
      <c r="D899" s="71" t="s">
        <v>5728</v>
      </c>
      <c r="E899" s="72" t="s">
        <v>829</v>
      </c>
      <c r="F899" s="73" t="str">
        <f t="shared" si="68"/>
        <v>370446</v>
      </c>
      <c r="G899" s="72" t="str">
        <f t="shared" si="69"/>
        <v>370446</v>
      </c>
      <c r="H899" s="74" t="s">
        <v>5729</v>
      </c>
    </row>
    <row r="900" spans="1:8" ht="18.75">
      <c r="A900" s="70">
        <v>37</v>
      </c>
      <c r="B900" s="70">
        <v>4</v>
      </c>
      <c r="C900" s="70">
        <v>47</v>
      </c>
      <c r="D900" s="71" t="s">
        <v>5775</v>
      </c>
      <c r="E900" s="72" t="s">
        <v>829</v>
      </c>
      <c r="F900" s="73" t="str">
        <f t="shared" si="68"/>
        <v>370447</v>
      </c>
      <c r="G900" s="72" t="str">
        <f t="shared" si="69"/>
        <v>370447</v>
      </c>
      <c r="H900" s="74" t="s">
        <v>5776</v>
      </c>
    </row>
    <row r="901" spans="1:8" ht="18.75">
      <c r="A901" s="70">
        <v>37</v>
      </c>
      <c r="B901" s="70">
        <v>4</v>
      </c>
      <c r="C901" s="70">
        <v>48</v>
      </c>
      <c r="D901" s="71" t="s">
        <v>5777</v>
      </c>
      <c r="E901" s="72" t="s">
        <v>829</v>
      </c>
      <c r="F901" s="73" t="str">
        <f t="shared" si="68"/>
        <v>370448</v>
      </c>
      <c r="G901" s="72" t="str">
        <f t="shared" si="69"/>
        <v>370448</v>
      </c>
      <c r="H901" s="74" t="s">
        <v>5778</v>
      </c>
    </row>
    <row r="902" spans="1:8" ht="18.75">
      <c r="A902" s="70">
        <v>37</v>
      </c>
      <c r="B902" s="70">
        <v>4</v>
      </c>
      <c r="C902" s="70">
        <v>49</v>
      </c>
      <c r="D902" s="71" t="s">
        <v>5982</v>
      </c>
      <c r="E902" s="72" t="s">
        <v>829</v>
      </c>
      <c r="F902" s="73" t="str">
        <f t="shared" si="68"/>
        <v>370449</v>
      </c>
      <c r="G902" s="72" t="str">
        <f t="shared" si="69"/>
        <v>370449</v>
      </c>
      <c r="H902" s="74" t="s">
        <v>5983</v>
      </c>
    </row>
    <row r="903" spans="1:8" ht="18.75">
      <c r="A903" s="70">
        <v>37</v>
      </c>
      <c r="B903" s="70">
        <v>4</v>
      </c>
      <c r="C903" s="70">
        <v>50</v>
      </c>
      <c r="D903" s="71" t="s">
        <v>5984</v>
      </c>
      <c r="E903" s="72" t="s">
        <v>829</v>
      </c>
      <c r="F903" s="73" t="str">
        <f t="shared" si="68"/>
        <v>370450</v>
      </c>
      <c r="G903" s="72" t="str">
        <f t="shared" si="69"/>
        <v>370450</v>
      </c>
      <c r="H903" s="74" t="s">
        <v>5985</v>
      </c>
    </row>
    <row r="904" spans="1:8" ht="18.75">
      <c r="A904" s="66">
        <v>37</v>
      </c>
      <c r="B904" s="66">
        <v>5</v>
      </c>
      <c r="C904" s="66">
        <v>0</v>
      </c>
      <c r="D904" s="67" t="s">
        <v>2874</v>
      </c>
      <c r="E904" s="68"/>
      <c r="F904" s="78"/>
      <c r="G904" s="79"/>
      <c r="H904" s="80"/>
    </row>
    <row r="905" spans="1:8" ht="18.75">
      <c r="A905" s="70">
        <v>37</v>
      </c>
      <c r="B905" s="70">
        <v>5</v>
      </c>
      <c r="C905" s="70">
        <v>11</v>
      </c>
      <c r="D905" s="71" t="s">
        <v>3455</v>
      </c>
      <c r="E905" s="72" t="s">
        <v>829</v>
      </c>
      <c r="F905" s="73" t="str">
        <f t="shared" ref="F905:F917" si="70">TEXT(A905,"00")&amp;TEXT(B905,"00")&amp;TEXT(C905,"00")</f>
        <v>370511</v>
      </c>
      <c r="G905" s="72" t="str">
        <f t="shared" ref="G905:G917" si="71">TEXT(F905,"000000")</f>
        <v>370511</v>
      </c>
      <c r="H905" s="74" t="s">
        <v>4625</v>
      </c>
    </row>
    <row r="906" spans="1:8" ht="18.75">
      <c r="A906" s="70">
        <v>37</v>
      </c>
      <c r="B906" s="70">
        <v>5</v>
      </c>
      <c r="C906" s="70">
        <v>12</v>
      </c>
      <c r="D906" s="71" t="s">
        <v>3456</v>
      </c>
      <c r="E906" s="72" t="s">
        <v>829</v>
      </c>
      <c r="F906" s="73" t="str">
        <f t="shared" si="70"/>
        <v>370512</v>
      </c>
      <c r="G906" s="72" t="str">
        <f t="shared" si="71"/>
        <v>370512</v>
      </c>
      <c r="H906" s="74" t="s">
        <v>4626</v>
      </c>
    </row>
    <row r="907" spans="1:8" ht="18.75">
      <c r="A907" s="70">
        <v>37</v>
      </c>
      <c r="B907" s="70">
        <v>5</v>
      </c>
      <c r="C907" s="70">
        <v>13</v>
      </c>
      <c r="D907" s="71" t="s">
        <v>3457</v>
      </c>
      <c r="E907" s="72" t="s">
        <v>829</v>
      </c>
      <c r="F907" s="73" t="str">
        <f t="shared" si="70"/>
        <v>370513</v>
      </c>
      <c r="G907" s="72" t="str">
        <f t="shared" si="71"/>
        <v>370513</v>
      </c>
      <c r="H907" s="74" t="s">
        <v>4627</v>
      </c>
    </row>
    <row r="908" spans="1:8" ht="18.75">
      <c r="A908" s="70">
        <v>37</v>
      </c>
      <c r="B908" s="70">
        <v>5</v>
      </c>
      <c r="C908" s="70">
        <v>14</v>
      </c>
      <c r="D908" s="71" t="s">
        <v>3458</v>
      </c>
      <c r="E908" s="72" t="s">
        <v>829</v>
      </c>
      <c r="F908" s="73" t="str">
        <f t="shared" si="70"/>
        <v>370514</v>
      </c>
      <c r="G908" s="72" t="str">
        <f t="shared" si="71"/>
        <v>370514</v>
      </c>
      <c r="H908" s="74" t="s">
        <v>4628</v>
      </c>
    </row>
    <row r="909" spans="1:8" ht="18.75">
      <c r="A909" s="70">
        <v>37</v>
      </c>
      <c r="B909" s="70">
        <v>5</v>
      </c>
      <c r="C909" s="70">
        <v>15</v>
      </c>
      <c r="D909" s="71" t="s">
        <v>3459</v>
      </c>
      <c r="E909" s="72" t="s">
        <v>829</v>
      </c>
      <c r="F909" s="73" t="str">
        <f t="shared" si="70"/>
        <v>370515</v>
      </c>
      <c r="G909" s="72" t="str">
        <f t="shared" si="71"/>
        <v>370515</v>
      </c>
      <c r="H909" s="74" t="s">
        <v>4629</v>
      </c>
    </row>
    <row r="910" spans="1:8" ht="18.75">
      <c r="A910" s="70">
        <v>37</v>
      </c>
      <c r="B910" s="70">
        <v>5</v>
      </c>
      <c r="C910" s="70">
        <v>16</v>
      </c>
      <c r="D910" s="71" t="s">
        <v>3826</v>
      </c>
      <c r="E910" s="72" t="s">
        <v>829</v>
      </c>
      <c r="F910" s="73" t="str">
        <f t="shared" si="70"/>
        <v>370516</v>
      </c>
      <c r="G910" s="72" t="str">
        <f t="shared" si="71"/>
        <v>370516</v>
      </c>
      <c r="H910" s="74" t="s">
        <v>4630</v>
      </c>
    </row>
    <row r="911" spans="1:8" ht="18.75">
      <c r="A911" s="70">
        <v>37</v>
      </c>
      <c r="B911" s="70">
        <v>5</v>
      </c>
      <c r="C911" s="70">
        <v>31</v>
      </c>
      <c r="D911" s="71" t="s">
        <v>214</v>
      </c>
      <c r="E911" s="72" t="s">
        <v>829</v>
      </c>
      <c r="F911" s="73" t="str">
        <f t="shared" si="70"/>
        <v>370531</v>
      </c>
      <c r="G911" s="72" t="str">
        <f t="shared" si="71"/>
        <v>370531</v>
      </c>
      <c r="H911" s="74" t="s">
        <v>4631</v>
      </c>
    </row>
    <row r="912" spans="1:8" ht="18.75">
      <c r="A912" s="70">
        <v>37</v>
      </c>
      <c r="B912" s="70">
        <v>5</v>
      </c>
      <c r="C912" s="70">
        <v>51</v>
      </c>
      <c r="D912" s="71" t="s">
        <v>751</v>
      </c>
      <c r="E912" s="72" t="s">
        <v>829</v>
      </c>
      <c r="F912" s="73" t="str">
        <f t="shared" si="70"/>
        <v>370551</v>
      </c>
      <c r="G912" s="72" t="str">
        <f t="shared" si="71"/>
        <v>370551</v>
      </c>
      <c r="H912" s="74" t="s">
        <v>4632</v>
      </c>
    </row>
    <row r="913" spans="1:8" ht="18.75">
      <c r="A913" s="70">
        <v>37</v>
      </c>
      <c r="B913" s="70">
        <v>5</v>
      </c>
      <c r="C913" s="70">
        <v>71</v>
      </c>
      <c r="D913" s="71" t="s">
        <v>240</v>
      </c>
      <c r="E913" s="72" t="s">
        <v>829</v>
      </c>
      <c r="F913" s="73" t="str">
        <f t="shared" si="70"/>
        <v>370571</v>
      </c>
      <c r="G913" s="72" t="str">
        <f t="shared" si="71"/>
        <v>370571</v>
      </c>
      <c r="H913" s="74" t="s">
        <v>4633</v>
      </c>
    </row>
    <row r="914" spans="1:8" ht="18.75">
      <c r="A914" s="70">
        <v>37</v>
      </c>
      <c r="B914" s="70">
        <v>5</v>
      </c>
      <c r="C914" s="70">
        <v>81</v>
      </c>
      <c r="D914" s="71" t="s">
        <v>241</v>
      </c>
      <c r="E914" s="72" t="s">
        <v>829</v>
      </c>
      <c r="F914" s="73" t="str">
        <f t="shared" si="70"/>
        <v>370581</v>
      </c>
      <c r="G914" s="72" t="str">
        <f t="shared" si="71"/>
        <v>370581</v>
      </c>
      <c r="H914" s="74" t="s">
        <v>4634</v>
      </c>
    </row>
    <row r="915" spans="1:8" ht="18.75">
      <c r="A915" s="70">
        <v>37</v>
      </c>
      <c r="B915" s="70">
        <v>5</v>
      </c>
      <c r="C915" s="70">
        <v>82</v>
      </c>
      <c r="D915" s="71" t="s">
        <v>3817</v>
      </c>
      <c r="E915" s="72" t="s">
        <v>829</v>
      </c>
      <c r="F915" s="73" t="str">
        <f t="shared" si="70"/>
        <v>370582</v>
      </c>
      <c r="G915" s="72" t="str">
        <f t="shared" si="71"/>
        <v>370582</v>
      </c>
      <c r="H915" s="74" t="s">
        <v>4635</v>
      </c>
    </row>
    <row r="916" spans="1:8" ht="18.75">
      <c r="A916" s="70">
        <v>37</v>
      </c>
      <c r="B916" s="70">
        <v>5</v>
      </c>
      <c r="C916" s="70">
        <v>83</v>
      </c>
      <c r="D916" s="71" t="s">
        <v>3822</v>
      </c>
      <c r="E916" s="72" t="s">
        <v>829</v>
      </c>
      <c r="F916" s="73" t="str">
        <f t="shared" si="70"/>
        <v>370583</v>
      </c>
      <c r="G916" s="72" t="str">
        <f t="shared" si="71"/>
        <v>370583</v>
      </c>
      <c r="H916" s="74" t="s">
        <v>4636</v>
      </c>
    </row>
    <row r="917" spans="1:8" ht="18.75">
      <c r="A917" s="70">
        <v>37</v>
      </c>
      <c r="B917" s="70">
        <v>5</v>
      </c>
      <c r="C917" s="70">
        <v>84</v>
      </c>
      <c r="D917" s="71" t="s">
        <v>5530</v>
      </c>
      <c r="E917" s="72" t="s">
        <v>829</v>
      </c>
      <c r="F917" s="73" t="str">
        <f t="shared" si="70"/>
        <v>370584</v>
      </c>
      <c r="G917" s="72" t="str">
        <f t="shared" si="71"/>
        <v>370584</v>
      </c>
      <c r="H917" s="74" t="s">
        <v>5531</v>
      </c>
    </row>
    <row r="918" spans="1:8" ht="18.75">
      <c r="A918" s="66">
        <v>37</v>
      </c>
      <c r="B918" s="66">
        <v>6</v>
      </c>
      <c r="C918" s="66">
        <v>0</v>
      </c>
      <c r="D918" s="67" t="s">
        <v>2875</v>
      </c>
      <c r="E918" s="68"/>
      <c r="F918" s="78"/>
      <c r="G918" s="79"/>
      <c r="H918" s="80"/>
    </row>
    <row r="919" spans="1:8" ht="18.75">
      <c r="A919" s="70">
        <v>37</v>
      </c>
      <c r="B919" s="70">
        <v>6</v>
      </c>
      <c r="C919" s="70">
        <v>12</v>
      </c>
      <c r="D919" s="71" t="s">
        <v>680</v>
      </c>
      <c r="E919" s="72" t="s">
        <v>829</v>
      </c>
      <c r="F919" s="73" t="str">
        <f t="shared" ref="F919:F924" si="72">TEXT(A919,"00")&amp;TEXT(B919,"00")&amp;TEXT(C919,"00")</f>
        <v>370612</v>
      </c>
      <c r="G919" s="72" t="str">
        <f t="shared" ref="G919:G924" si="73">TEXT(F919,"000000")</f>
        <v>370612</v>
      </c>
      <c r="H919" s="74" t="s">
        <v>4637</v>
      </c>
    </row>
    <row r="920" spans="1:8" ht="18.75">
      <c r="A920" s="70">
        <v>37</v>
      </c>
      <c r="B920" s="70">
        <v>6</v>
      </c>
      <c r="C920" s="70">
        <v>13</v>
      </c>
      <c r="D920" s="71" t="s">
        <v>681</v>
      </c>
      <c r="E920" s="72" t="s">
        <v>3901</v>
      </c>
      <c r="F920" s="73" t="str">
        <f t="shared" si="72"/>
        <v>370613</v>
      </c>
      <c r="G920" s="72" t="str">
        <f t="shared" si="73"/>
        <v>370613</v>
      </c>
      <c r="H920" s="74" t="s">
        <v>4638</v>
      </c>
    </row>
    <row r="921" spans="1:8" ht="18.75">
      <c r="A921" s="70">
        <v>37</v>
      </c>
      <c r="B921" s="70">
        <v>6</v>
      </c>
      <c r="C921" s="70">
        <v>14</v>
      </c>
      <c r="D921" s="71" t="s">
        <v>2934</v>
      </c>
      <c r="E921" s="72" t="s">
        <v>829</v>
      </c>
      <c r="F921" s="73" t="str">
        <f t="shared" si="72"/>
        <v>370614</v>
      </c>
      <c r="G921" s="72" t="str">
        <f t="shared" si="73"/>
        <v>370614</v>
      </c>
      <c r="H921" s="74" t="s">
        <v>4639</v>
      </c>
    </row>
    <row r="922" spans="1:8" ht="18.75">
      <c r="A922" s="70">
        <v>37</v>
      </c>
      <c r="B922" s="70">
        <v>6</v>
      </c>
      <c r="C922" s="70">
        <v>15</v>
      </c>
      <c r="D922" s="71" t="s">
        <v>76</v>
      </c>
      <c r="E922" s="72" t="s">
        <v>829</v>
      </c>
      <c r="F922" s="73" t="str">
        <f t="shared" si="72"/>
        <v>370615</v>
      </c>
      <c r="G922" s="72" t="str">
        <f t="shared" si="73"/>
        <v>370615</v>
      </c>
      <c r="H922" s="74" t="s">
        <v>4640</v>
      </c>
    </row>
    <row r="923" spans="1:8" ht="18.75">
      <c r="A923" s="70">
        <v>37</v>
      </c>
      <c r="B923" s="70">
        <v>6</v>
      </c>
      <c r="C923" s="70">
        <v>16</v>
      </c>
      <c r="D923" s="71" t="s">
        <v>3673</v>
      </c>
      <c r="E923" s="72" t="s">
        <v>829</v>
      </c>
      <c r="F923" s="73" t="str">
        <f t="shared" si="72"/>
        <v>370616</v>
      </c>
      <c r="G923" s="72" t="str">
        <f t="shared" si="73"/>
        <v>370616</v>
      </c>
      <c r="H923" s="74" t="s">
        <v>4641</v>
      </c>
    </row>
    <row r="924" spans="1:8" ht="18.75">
      <c r="A924" s="70">
        <v>37</v>
      </c>
      <c r="B924" s="70">
        <v>6</v>
      </c>
      <c r="C924" s="70">
        <v>17</v>
      </c>
      <c r="D924" s="71" t="s">
        <v>5730</v>
      </c>
      <c r="E924" s="72" t="s">
        <v>829</v>
      </c>
      <c r="F924" s="73" t="str">
        <f t="shared" si="72"/>
        <v>370617</v>
      </c>
      <c r="G924" s="72" t="str">
        <f t="shared" si="73"/>
        <v>370617</v>
      </c>
      <c r="H924" s="74" t="s">
        <v>5731</v>
      </c>
    </row>
    <row r="925" spans="1:8" ht="18.75">
      <c r="A925" s="62">
        <v>39</v>
      </c>
      <c r="B925" s="62">
        <v>0</v>
      </c>
      <c r="C925" s="62">
        <v>0</v>
      </c>
      <c r="D925" s="63" t="s">
        <v>2876</v>
      </c>
      <c r="E925" s="64"/>
      <c r="F925" s="75"/>
      <c r="G925" s="76"/>
      <c r="H925" s="77"/>
    </row>
    <row r="926" spans="1:8" ht="18.75">
      <c r="A926" s="66">
        <v>39</v>
      </c>
      <c r="B926" s="66">
        <v>1</v>
      </c>
      <c r="C926" s="66">
        <v>0</v>
      </c>
      <c r="D926" s="67" t="s">
        <v>2877</v>
      </c>
      <c r="E926" s="68"/>
      <c r="F926" s="78"/>
      <c r="G926" s="79"/>
      <c r="H926" s="80"/>
    </row>
    <row r="927" spans="1:8" ht="18.75">
      <c r="A927" s="70">
        <v>39</v>
      </c>
      <c r="B927" s="70">
        <v>1</v>
      </c>
      <c r="C927" s="70">
        <v>10</v>
      </c>
      <c r="D927" s="71" t="s">
        <v>620</v>
      </c>
      <c r="E927" s="72" t="s">
        <v>829</v>
      </c>
      <c r="F927" s="73" t="str">
        <f t="shared" ref="F927:F990" si="74">TEXT(A927,"00")&amp;TEXT(B927,"00")&amp;TEXT(C927,"00")</f>
        <v>390110</v>
      </c>
      <c r="G927" s="72" t="str">
        <f t="shared" ref="G927:G990" si="75">TEXT(F927,"000000")</f>
        <v>390110</v>
      </c>
      <c r="H927" s="74" t="s">
        <v>4642</v>
      </c>
    </row>
    <row r="928" spans="1:8" ht="18.75">
      <c r="A928" s="70">
        <v>39</v>
      </c>
      <c r="B928" s="70">
        <v>1</v>
      </c>
      <c r="C928" s="70">
        <v>11</v>
      </c>
      <c r="D928" s="71" t="s">
        <v>3560</v>
      </c>
      <c r="E928" s="72" t="s">
        <v>829</v>
      </c>
      <c r="F928" s="73" t="str">
        <f t="shared" si="74"/>
        <v>390111</v>
      </c>
      <c r="G928" s="72" t="str">
        <f t="shared" si="75"/>
        <v>390111</v>
      </c>
      <c r="H928" s="74" t="s">
        <v>4643</v>
      </c>
    </row>
    <row r="929" spans="1:8" ht="18.75">
      <c r="A929" s="70">
        <v>39</v>
      </c>
      <c r="B929" s="70">
        <v>1</v>
      </c>
      <c r="C929" s="70">
        <v>12</v>
      </c>
      <c r="D929" s="71" t="s">
        <v>705</v>
      </c>
      <c r="E929" s="72" t="s">
        <v>829</v>
      </c>
      <c r="F929" s="73" t="str">
        <f t="shared" si="74"/>
        <v>390112</v>
      </c>
      <c r="G929" s="72" t="str">
        <f t="shared" si="75"/>
        <v>390112</v>
      </c>
      <c r="H929" s="74" t="s">
        <v>4644</v>
      </c>
    </row>
    <row r="930" spans="1:8" ht="18.75">
      <c r="A930" s="70">
        <v>39</v>
      </c>
      <c r="B930" s="70">
        <v>1</v>
      </c>
      <c r="C930" s="70">
        <v>13</v>
      </c>
      <c r="D930" s="71" t="s">
        <v>3335</v>
      </c>
      <c r="E930" s="72" t="s">
        <v>3901</v>
      </c>
      <c r="F930" s="73" t="str">
        <f t="shared" si="74"/>
        <v>390113</v>
      </c>
      <c r="G930" s="72" t="str">
        <f t="shared" si="75"/>
        <v>390113</v>
      </c>
      <c r="H930" s="74" t="s">
        <v>4645</v>
      </c>
    </row>
    <row r="931" spans="1:8" ht="18.75">
      <c r="A931" s="70">
        <v>39</v>
      </c>
      <c r="B931" s="70">
        <v>1</v>
      </c>
      <c r="C931" s="70">
        <v>14</v>
      </c>
      <c r="D931" s="71" t="s">
        <v>3680</v>
      </c>
      <c r="E931" s="72" t="s">
        <v>829</v>
      </c>
      <c r="F931" s="73" t="str">
        <f t="shared" si="74"/>
        <v>390114</v>
      </c>
      <c r="G931" s="72" t="str">
        <f t="shared" si="75"/>
        <v>390114</v>
      </c>
      <c r="H931" s="74" t="s">
        <v>4646</v>
      </c>
    </row>
    <row r="932" spans="1:8" ht="18.75">
      <c r="A932" s="70">
        <v>39</v>
      </c>
      <c r="B932" s="70">
        <v>1</v>
      </c>
      <c r="C932" s="70">
        <v>15</v>
      </c>
      <c r="D932" s="71" t="s">
        <v>642</v>
      </c>
      <c r="E932" s="72" t="s">
        <v>3901</v>
      </c>
      <c r="F932" s="73" t="str">
        <f t="shared" si="74"/>
        <v>390115</v>
      </c>
      <c r="G932" s="72" t="str">
        <f t="shared" si="75"/>
        <v>390115</v>
      </c>
      <c r="H932" s="74" t="s">
        <v>4647</v>
      </c>
    </row>
    <row r="933" spans="1:8" ht="18.75">
      <c r="A933" s="70">
        <v>39</v>
      </c>
      <c r="B933" s="70">
        <v>1</v>
      </c>
      <c r="C933" s="70">
        <v>16</v>
      </c>
      <c r="D933" s="71" t="s">
        <v>3528</v>
      </c>
      <c r="E933" s="72" t="s">
        <v>829</v>
      </c>
      <c r="F933" s="73" t="str">
        <f t="shared" si="74"/>
        <v>390116</v>
      </c>
      <c r="G933" s="72" t="str">
        <f t="shared" si="75"/>
        <v>390116</v>
      </c>
      <c r="H933" s="74" t="s">
        <v>4648</v>
      </c>
    </row>
    <row r="934" spans="1:8" ht="18.75">
      <c r="A934" s="70">
        <v>39</v>
      </c>
      <c r="B934" s="70">
        <v>1</v>
      </c>
      <c r="C934" s="70">
        <v>17</v>
      </c>
      <c r="D934" s="71" t="s">
        <v>733</v>
      </c>
      <c r="E934" s="72" t="s">
        <v>829</v>
      </c>
      <c r="F934" s="73" t="str">
        <f t="shared" si="74"/>
        <v>390117</v>
      </c>
      <c r="G934" s="72" t="str">
        <f t="shared" si="75"/>
        <v>390117</v>
      </c>
      <c r="H934" s="74" t="s">
        <v>4649</v>
      </c>
    </row>
    <row r="935" spans="1:8" ht="18.75">
      <c r="A935" s="70">
        <v>39</v>
      </c>
      <c r="B935" s="70">
        <v>1</v>
      </c>
      <c r="C935" s="70">
        <v>18</v>
      </c>
      <c r="D935" s="71" t="s">
        <v>739</v>
      </c>
      <c r="E935" s="72" t="s">
        <v>829</v>
      </c>
      <c r="F935" s="73" t="str">
        <f t="shared" si="74"/>
        <v>390118</v>
      </c>
      <c r="G935" s="72" t="str">
        <f t="shared" si="75"/>
        <v>390118</v>
      </c>
      <c r="H935" s="74" t="s">
        <v>4650</v>
      </c>
    </row>
    <row r="936" spans="1:8" ht="18.75">
      <c r="A936" s="70">
        <v>39</v>
      </c>
      <c r="B936" s="70">
        <v>1</v>
      </c>
      <c r="C936" s="70">
        <v>19</v>
      </c>
      <c r="D936" s="71" t="s">
        <v>3336</v>
      </c>
      <c r="E936" s="72" t="s">
        <v>829</v>
      </c>
      <c r="F936" s="73" t="str">
        <f t="shared" si="74"/>
        <v>390119</v>
      </c>
      <c r="G936" s="72" t="str">
        <f t="shared" si="75"/>
        <v>390119</v>
      </c>
      <c r="H936" s="74" t="s">
        <v>4652</v>
      </c>
    </row>
    <row r="937" spans="1:8" ht="18.75">
      <c r="A937" s="70">
        <v>39</v>
      </c>
      <c r="B937" s="70">
        <v>1</v>
      </c>
      <c r="C937" s="70">
        <v>20</v>
      </c>
      <c r="D937" s="71" t="s">
        <v>3337</v>
      </c>
      <c r="E937" s="72" t="s">
        <v>4049</v>
      </c>
      <c r="F937" s="73" t="str">
        <f t="shared" si="74"/>
        <v>390120</v>
      </c>
      <c r="G937" s="72" t="str">
        <f t="shared" si="75"/>
        <v>390120</v>
      </c>
      <c r="H937" s="74" t="s">
        <v>5532</v>
      </c>
    </row>
    <row r="938" spans="1:8" ht="18.75">
      <c r="A938" s="70">
        <v>39</v>
      </c>
      <c r="B938" s="70">
        <v>1</v>
      </c>
      <c r="C938" s="70">
        <v>21</v>
      </c>
      <c r="D938" s="71" t="s">
        <v>3601</v>
      </c>
      <c r="E938" s="72" t="s">
        <v>4653</v>
      </c>
      <c r="F938" s="73" t="str">
        <f t="shared" si="74"/>
        <v>390121</v>
      </c>
      <c r="G938" s="72" t="str">
        <f t="shared" si="75"/>
        <v>390121</v>
      </c>
      <c r="H938" s="74" t="s">
        <v>4654</v>
      </c>
    </row>
    <row r="939" spans="1:8" ht="18.75">
      <c r="A939" s="70">
        <v>39</v>
      </c>
      <c r="B939" s="70">
        <v>1</v>
      </c>
      <c r="C939" s="70">
        <v>22</v>
      </c>
      <c r="D939" s="71" t="s">
        <v>3599</v>
      </c>
      <c r="E939" s="72" t="s">
        <v>4653</v>
      </c>
      <c r="F939" s="73" t="str">
        <f t="shared" si="74"/>
        <v>390122</v>
      </c>
      <c r="G939" s="72" t="str">
        <f t="shared" si="75"/>
        <v>390122</v>
      </c>
      <c r="H939" s="74" t="s">
        <v>4655</v>
      </c>
    </row>
    <row r="940" spans="1:8" ht="18.75">
      <c r="A940" s="70">
        <v>39</v>
      </c>
      <c r="B940" s="70">
        <v>1</v>
      </c>
      <c r="C940" s="70">
        <v>23</v>
      </c>
      <c r="D940" s="71" t="s">
        <v>3626</v>
      </c>
      <c r="E940" s="72" t="s">
        <v>4653</v>
      </c>
      <c r="F940" s="73" t="str">
        <f t="shared" si="74"/>
        <v>390123</v>
      </c>
      <c r="G940" s="72" t="str">
        <f t="shared" si="75"/>
        <v>390123</v>
      </c>
      <c r="H940" s="74" t="s">
        <v>4656</v>
      </c>
    </row>
    <row r="941" spans="1:8" ht="18.75">
      <c r="A941" s="70">
        <v>39</v>
      </c>
      <c r="B941" s="70">
        <v>1</v>
      </c>
      <c r="C941" s="70">
        <v>24</v>
      </c>
      <c r="D941" s="71" t="s">
        <v>3600</v>
      </c>
      <c r="E941" s="72" t="s">
        <v>4653</v>
      </c>
      <c r="F941" s="73" t="str">
        <f t="shared" si="74"/>
        <v>390124</v>
      </c>
      <c r="G941" s="72" t="str">
        <f t="shared" si="75"/>
        <v>390124</v>
      </c>
      <c r="H941" s="74" t="s">
        <v>4657</v>
      </c>
    </row>
    <row r="942" spans="1:8" ht="18.75">
      <c r="A942" s="70">
        <v>39</v>
      </c>
      <c r="B942" s="70">
        <v>1</v>
      </c>
      <c r="C942" s="70">
        <v>25</v>
      </c>
      <c r="D942" s="71" t="s">
        <v>749</v>
      </c>
      <c r="E942" s="72" t="s">
        <v>829</v>
      </c>
      <c r="F942" s="73" t="str">
        <f t="shared" si="74"/>
        <v>390125</v>
      </c>
      <c r="G942" s="72" t="str">
        <f t="shared" si="75"/>
        <v>390125</v>
      </c>
      <c r="H942" s="74" t="s">
        <v>4658</v>
      </c>
    </row>
    <row r="943" spans="1:8" ht="18.75">
      <c r="A943" s="70">
        <v>39</v>
      </c>
      <c r="B943" s="70">
        <v>1</v>
      </c>
      <c r="C943" s="70">
        <v>26</v>
      </c>
      <c r="D943" s="71" t="s">
        <v>3544</v>
      </c>
      <c r="E943" s="72" t="s">
        <v>829</v>
      </c>
      <c r="F943" s="73" t="str">
        <f t="shared" si="74"/>
        <v>390126</v>
      </c>
      <c r="G943" s="72" t="str">
        <f t="shared" si="75"/>
        <v>390126</v>
      </c>
      <c r="H943" s="74" t="s">
        <v>4659</v>
      </c>
    </row>
    <row r="944" spans="1:8" ht="18.75">
      <c r="A944" s="70">
        <v>39</v>
      </c>
      <c r="B944" s="70">
        <v>1</v>
      </c>
      <c r="C944" s="70">
        <v>27</v>
      </c>
      <c r="D944" s="71" t="s">
        <v>750</v>
      </c>
      <c r="E944" s="72" t="s">
        <v>829</v>
      </c>
      <c r="F944" s="73" t="str">
        <f t="shared" si="74"/>
        <v>390127</v>
      </c>
      <c r="G944" s="72" t="str">
        <f t="shared" si="75"/>
        <v>390127</v>
      </c>
      <c r="H944" s="74" t="s">
        <v>4660</v>
      </c>
    </row>
    <row r="945" spans="1:8" ht="18.75">
      <c r="A945" s="70">
        <v>39</v>
      </c>
      <c r="B945" s="70">
        <v>1</v>
      </c>
      <c r="C945" s="70">
        <v>28</v>
      </c>
      <c r="D945" s="71" t="s">
        <v>3535</v>
      </c>
      <c r="E945" s="72" t="s">
        <v>829</v>
      </c>
      <c r="F945" s="73" t="str">
        <f t="shared" si="74"/>
        <v>390128</v>
      </c>
      <c r="G945" s="72" t="str">
        <f t="shared" si="75"/>
        <v>390128</v>
      </c>
      <c r="H945" s="74" t="s">
        <v>4661</v>
      </c>
    </row>
    <row r="946" spans="1:8" ht="18.75">
      <c r="A946" s="70">
        <v>39</v>
      </c>
      <c r="B946" s="70">
        <v>1</v>
      </c>
      <c r="C946" s="70">
        <v>29</v>
      </c>
      <c r="D946" s="71" t="s">
        <v>3536</v>
      </c>
      <c r="E946" s="72" t="s">
        <v>829</v>
      </c>
      <c r="F946" s="73" t="str">
        <f t="shared" si="74"/>
        <v>390129</v>
      </c>
      <c r="G946" s="72" t="str">
        <f t="shared" si="75"/>
        <v>390129</v>
      </c>
      <c r="H946" s="74" t="s">
        <v>4662</v>
      </c>
    </row>
    <row r="947" spans="1:8" ht="18.75">
      <c r="A947" s="70">
        <v>39</v>
      </c>
      <c r="B947" s="70">
        <v>1</v>
      </c>
      <c r="C947" s="70">
        <v>30</v>
      </c>
      <c r="D947" s="71" t="s">
        <v>3537</v>
      </c>
      <c r="E947" s="72" t="s">
        <v>829</v>
      </c>
      <c r="F947" s="73" t="str">
        <f t="shared" si="74"/>
        <v>390130</v>
      </c>
      <c r="G947" s="72" t="str">
        <f t="shared" si="75"/>
        <v>390130</v>
      </c>
      <c r="H947" s="74" t="s">
        <v>4663</v>
      </c>
    </row>
    <row r="948" spans="1:8" ht="18.75">
      <c r="A948" s="70">
        <v>39</v>
      </c>
      <c r="B948" s="70">
        <v>1</v>
      </c>
      <c r="C948" s="70">
        <v>31</v>
      </c>
      <c r="D948" s="71" t="s">
        <v>3538</v>
      </c>
      <c r="E948" s="72" t="s">
        <v>829</v>
      </c>
      <c r="F948" s="73" t="str">
        <f t="shared" si="74"/>
        <v>390131</v>
      </c>
      <c r="G948" s="72" t="str">
        <f t="shared" si="75"/>
        <v>390131</v>
      </c>
      <c r="H948" s="74" t="s">
        <v>4664</v>
      </c>
    </row>
    <row r="949" spans="1:8" ht="18.75">
      <c r="A949" s="70">
        <v>39</v>
      </c>
      <c r="B949" s="70">
        <v>1</v>
      </c>
      <c r="C949" s="70">
        <v>32</v>
      </c>
      <c r="D949" s="71" t="s">
        <v>3539</v>
      </c>
      <c r="E949" s="72" t="s">
        <v>829</v>
      </c>
      <c r="F949" s="73" t="str">
        <f t="shared" si="74"/>
        <v>390132</v>
      </c>
      <c r="G949" s="72" t="str">
        <f t="shared" si="75"/>
        <v>390132</v>
      </c>
      <c r="H949" s="74" t="s">
        <v>4665</v>
      </c>
    </row>
    <row r="950" spans="1:8" ht="18.75">
      <c r="A950" s="70">
        <v>39</v>
      </c>
      <c r="B950" s="70">
        <v>1</v>
      </c>
      <c r="C950" s="70">
        <v>33</v>
      </c>
      <c r="D950" s="71" t="s">
        <v>667</v>
      </c>
      <c r="E950" s="72" t="s">
        <v>829</v>
      </c>
      <c r="F950" s="73" t="str">
        <f t="shared" si="74"/>
        <v>390133</v>
      </c>
      <c r="G950" s="72" t="str">
        <f t="shared" si="75"/>
        <v>390133</v>
      </c>
      <c r="H950" s="74" t="s">
        <v>4666</v>
      </c>
    </row>
    <row r="951" spans="1:8" ht="18.75">
      <c r="A951" s="70">
        <v>39</v>
      </c>
      <c r="B951" s="70">
        <v>1</v>
      </c>
      <c r="C951" s="70">
        <v>34</v>
      </c>
      <c r="D951" s="71" t="s">
        <v>763</v>
      </c>
      <c r="E951" s="72" t="s">
        <v>829</v>
      </c>
      <c r="F951" s="73" t="str">
        <f t="shared" si="74"/>
        <v>390134</v>
      </c>
      <c r="G951" s="72" t="str">
        <f t="shared" si="75"/>
        <v>390134</v>
      </c>
      <c r="H951" s="74" t="s">
        <v>4667</v>
      </c>
    </row>
    <row r="952" spans="1:8" ht="18.75">
      <c r="A952" s="70">
        <v>39</v>
      </c>
      <c r="B952" s="70">
        <v>1</v>
      </c>
      <c r="C952" s="70">
        <v>36</v>
      </c>
      <c r="D952" s="71" t="s">
        <v>3561</v>
      </c>
      <c r="E952" s="72" t="s">
        <v>829</v>
      </c>
      <c r="F952" s="73" t="str">
        <f t="shared" si="74"/>
        <v>390136</v>
      </c>
      <c r="G952" s="72" t="str">
        <f t="shared" si="75"/>
        <v>390136</v>
      </c>
      <c r="H952" s="74" t="s">
        <v>4668</v>
      </c>
    </row>
    <row r="953" spans="1:8" ht="18.75">
      <c r="A953" s="70">
        <v>39</v>
      </c>
      <c r="B953" s="70">
        <v>1</v>
      </c>
      <c r="C953" s="70">
        <v>37</v>
      </c>
      <c r="D953" s="71" t="s">
        <v>712</v>
      </c>
      <c r="E953" s="72" t="s">
        <v>829</v>
      </c>
      <c r="F953" s="73" t="str">
        <f t="shared" si="74"/>
        <v>390137</v>
      </c>
      <c r="G953" s="72" t="str">
        <f t="shared" si="75"/>
        <v>390137</v>
      </c>
      <c r="H953" s="74" t="s">
        <v>4669</v>
      </c>
    </row>
    <row r="954" spans="1:8" ht="18.75">
      <c r="A954" s="70">
        <v>39</v>
      </c>
      <c r="B954" s="70">
        <v>1</v>
      </c>
      <c r="C954" s="70">
        <v>38</v>
      </c>
      <c r="D954" s="71" t="s">
        <v>3523</v>
      </c>
      <c r="E954" s="72" t="s">
        <v>829</v>
      </c>
      <c r="F954" s="73" t="str">
        <f t="shared" si="74"/>
        <v>390138</v>
      </c>
      <c r="G954" s="72" t="str">
        <f t="shared" si="75"/>
        <v>390138</v>
      </c>
      <c r="H954" s="74" t="s">
        <v>4670</v>
      </c>
    </row>
    <row r="955" spans="1:8" ht="18.75">
      <c r="A955" s="70">
        <v>39</v>
      </c>
      <c r="B955" s="70">
        <v>1</v>
      </c>
      <c r="C955" s="70">
        <v>39</v>
      </c>
      <c r="D955" s="71" t="s">
        <v>3524</v>
      </c>
      <c r="E955" s="72" t="s">
        <v>829</v>
      </c>
      <c r="F955" s="73" t="str">
        <f t="shared" si="74"/>
        <v>390139</v>
      </c>
      <c r="G955" s="72" t="str">
        <f t="shared" si="75"/>
        <v>390139</v>
      </c>
      <c r="H955" s="74" t="s">
        <v>4671</v>
      </c>
    </row>
    <row r="956" spans="1:8" ht="18.75">
      <c r="A956" s="70">
        <v>39</v>
      </c>
      <c r="B956" s="70">
        <v>1</v>
      </c>
      <c r="C956" s="70">
        <v>40</v>
      </c>
      <c r="D956" s="71" t="s">
        <v>4672</v>
      </c>
      <c r="E956" s="72" t="s">
        <v>829</v>
      </c>
      <c r="F956" s="73" t="str">
        <f t="shared" si="74"/>
        <v>390140</v>
      </c>
      <c r="G956" s="72" t="str">
        <f t="shared" si="75"/>
        <v>390140</v>
      </c>
      <c r="H956" s="74" t="s">
        <v>4673</v>
      </c>
    </row>
    <row r="957" spans="1:8" ht="18.75">
      <c r="A957" s="70">
        <v>39</v>
      </c>
      <c r="B957" s="70">
        <v>1</v>
      </c>
      <c r="C957" s="70">
        <v>41</v>
      </c>
      <c r="D957" s="71" t="s">
        <v>3690</v>
      </c>
      <c r="E957" s="72" t="s">
        <v>829</v>
      </c>
      <c r="F957" s="73" t="str">
        <f t="shared" si="74"/>
        <v>390141</v>
      </c>
      <c r="G957" s="72" t="str">
        <f t="shared" si="75"/>
        <v>390141</v>
      </c>
      <c r="H957" s="74" t="s">
        <v>4674</v>
      </c>
    </row>
    <row r="958" spans="1:8" ht="18.75">
      <c r="A958" s="70">
        <v>39</v>
      </c>
      <c r="B958" s="70">
        <v>1</v>
      </c>
      <c r="C958" s="70">
        <v>42</v>
      </c>
      <c r="D958" s="71" t="s">
        <v>3525</v>
      </c>
      <c r="E958" s="72" t="s">
        <v>829</v>
      </c>
      <c r="F958" s="73" t="str">
        <f t="shared" si="74"/>
        <v>390142</v>
      </c>
      <c r="G958" s="72" t="str">
        <f t="shared" si="75"/>
        <v>390142</v>
      </c>
      <c r="H958" s="74" t="s">
        <v>4675</v>
      </c>
    </row>
    <row r="959" spans="1:8" ht="18.75">
      <c r="A959" s="70">
        <v>39</v>
      </c>
      <c r="B959" s="70">
        <v>1</v>
      </c>
      <c r="C959" s="70">
        <v>43</v>
      </c>
      <c r="D959" s="71" t="s">
        <v>3526</v>
      </c>
      <c r="E959" s="72" t="s">
        <v>829</v>
      </c>
      <c r="F959" s="73" t="str">
        <f t="shared" si="74"/>
        <v>390143</v>
      </c>
      <c r="G959" s="72" t="str">
        <f t="shared" si="75"/>
        <v>390143</v>
      </c>
      <c r="H959" s="74" t="s">
        <v>4676</v>
      </c>
    </row>
    <row r="960" spans="1:8" ht="18.75">
      <c r="A960" s="70">
        <v>39</v>
      </c>
      <c r="B960" s="70">
        <v>1</v>
      </c>
      <c r="C960" s="70">
        <v>44</v>
      </c>
      <c r="D960" s="71" t="s">
        <v>3527</v>
      </c>
      <c r="E960" s="72" t="s">
        <v>829</v>
      </c>
      <c r="F960" s="73" t="str">
        <f t="shared" si="74"/>
        <v>390144</v>
      </c>
      <c r="G960" s="72" t="str">
        <f t="shared" si="75"/>
        <v>390144</v>
      </c>
      <c r="H960" s="74" t="s">
        <v>4677</v>
      </c>
    </row>
    <row r="961" spans="1:8" ht="18.75">
      <c r="A961" s="70">
        <v>39</v>
      </c>
      <c r="B961" s="70">
        <v>1</v>
      </c>
      <c r="C961" s="70">
        <v>45</v>
      </c>
      <c r="D961" s="71" t="s">
        <v>3541</v>
      </c>
      <c r="E961" s="72" t="s">
        <v>829</v>
      </c>
      <c r="F961" s="73" t="str">
        <f t="shared" si="74"/>
        <v>390145</v>
      </c>
      <c r="G961" s="72" t="str">
        <f t="shared" si="75"/>
        <v>390145</v>
      </c>
      <c r="H961" s="74" t="s">
        <v>4678</v>
      </c>
    </row>
    <row r="962" spans="1:8" ht="18.75">
      <c r="A962" s="70">
        <v>39</v>
      </c>
      <c r="B962" s="70">
        <v>1</v>
      </c>
      <c r="C962" s="70">
        <v>46</v>
      </c>
      <c r="D962" s="71" t="s">
        <v>3542</v>
      </c>
      <c r="E962" s="72" t="s">
        <v>829</v>
      </c>
      <c r="F962" s="73" t="str">
        <f t="shared" si="74"/>
        <v>390146</v>
      </c>
      <c r="G962" s="72" t="str">
        <f t="shared" si="75"/>
        <v>390146</v>
      </c>
      <c r="H962" s="74" t="s">
        <v>4679</v>
      </c>
    </row>
    <row r="963" spans="1:8" ht="18.75">
      <c r="A963" s="70">
        <v>39</v>
      </c>
      <c r="B963" s="70">
        <v>1</v>
      </c>
      <c r="C963" s="70">
        <v>47</v>
      </c>
      <c r="D963" s="71" t="s">
        <v>3543</v>
      </c>
      <c r="E963" s="72" t="s">
        <v>829</v>
      </c>
      <c r="F963" s="73" t="str">
        <f t="shared" si="74"/>
        <v>390147</v>
      </c>
      <c r="G963" s="72" t="str">
        <f t="shared" si="75"/>
        <v>390147</v>
      </c>
      <c r="H963" s="74" t="s">
        <v>4680</v>
      </c>
    </row>
    <row r="964" spans="1:8" ht="18.75">
      <c r="A964" s="70">
        <v>39</v>
      </c>
      <c r="B964" s="70">
        <v>1</v>
      </c>
      <c r="C964" s="70">
        <v>48</v>
      </c>
      <c r="D964" s="71" t="s">
        <v>3533</v>
      </c>
      <c r="E964" s="72" t="s">
        <v>829</v>
      </c>
      <c r="F964" s="73" t="str">
        <f t="shared" si="74"/>
        <v>390148</v>
      </c>
      <c r="G964" s="72" t="str">
        <f t="shared" si="75"/>
        <v>390148</v>
      </c>
      <c r="H964" s="74" t="s">
        <v>4681</v>
      </c>
    </row>
    <row r="965" spans="1:8" ht="18.75">
      <c r="A965" s="70">
        <v>39</v>
      </c>
      <c r="B965" s="70">
        <v>1</v>
      </c>
      <c r="C965" s="70">
        <v>49</v>
      </c>
      <c r="D965" s="71" t="s">
        <v>3559</v>
      </c>
      <c r="E965" s="72" t="s">
        <v>829</v>
      </c>
      <c r="F965" s="73" t="str">
        <f t="shared" si="74"/>
        <v>390149</v>
      </c>
      <c r="G965" s="72" t="str">
        <f t="shared" si="75"/>
        <v>390149</v>
      </c>
      <c r="H965" s="74" t="s">
        <v>4682</v>
      </c>
    </row>
    <row r="966" spans="1:8" ht="18.75">
      <c r="A966" s="70">
        <v>39</v>
      </c>
      <c r="B966" s="70">
        <v>1</v>
      </c>
      <c r="C966" s="70">
        <v>50</v>
      </c>
      <c r="D966" s="71" t="s">
        <v>3534</v>
      </c>
      <c r="E966" s="72" t="s">
        <v>829</v>
      </c>
      <c r="F966" s="73" t="str">
        <f t="shared" si="74"/>
        <v>390150</v>
      </c>
      <c r="G966" s="72" t="str">
        <f t="shared" si="75"/>
        <v>390150</v>
      </c>
      <c r="H966" s="74" t="s">
        <v>4683</v>
      </c>
    </row>
    <row r="967" spans="1:8" ht="18.75">
      <c r="A967" s="70">
        <v>39</v>
      </c>
      <c r="B967" s="70">
        <v>1</v>
      </c>
      <c r="C967" s="70">
        <v>51</v>
      </c>
      <c r="D967" s="71" t="s">
        <v>3546</v>
      </c>
      <c r="E967" s="72" t="s">
        <v>829</v>
      </c>
      <c r="F967" s="73" t="str">
        <f t="shared" si="74"/>
        <v>390151</v>
      </c>
      <c r="G967" s="72" t="str">
        <f t="shared" si="75"/>
        <v>390151</v>
      </c>
      <c r="H967" s="74" t="s">
        <v>4684</v>
      </c>
    </row>
    <row r="968" spans="1:8" ht="18.75">
      <c r="A968" s="70">
        <v>39</v>
      </c>
      <c r="B968" s="70">
        <v>1</v>
      </c>
      <c r="C968" s="70">
        <v>52</v>
      </c>
      <c r="D968" s="71" t="s">
        <v>3547</v>
      </c>
      <c r="E968" s="72" t="s">
        <v>829</v>
      </c>
      <c r="F968" s="73" t="str">
        <f t="shared" si="74"/>
        <v>390152</v>
      </c>
      <c r="G968" s="72" t="str">
        <f t="shared" si="75"/>
        <v>390152</v>
      </c>
      <c r="H968" s="74" t="s">
        <v>4685</v>
      </c>
    </row>
    <row r="969" spans="1:8" ht="18.75">
      <c r="A969" s="70">
        <v>39</v>
      </c>
      <c r="B969" s="70">
        <v>1</v>
      </c>
      <c r="C969" s="70">
        <v>53</v>
      </c>
      <c r="D969" s="71" t="s">
        <v>3548</v>
      </c>
      <c r="E969" s="72" t="s">
        <v>829</v>
      </c>
      <c r="F969" s="73" t="str">
        <f t="shared" si="74"/>
        <v>390153</v>
      </c>
      <c r="G969" s="72" t="str">
        <f t="shared" si="75"/>
        <v>390153</v>
      </c>
      <c r="H969" s="74" t="s">
        <v>4686</v>
      </c>
    </row>
    <row r="970" spans="1:8" ht="18.75">
      <c r="A970" s="70">
        <v>39</v>
      </c>
      <c r="B970" s="70">
        <v>1</v>
      </c>
      <c r="C970" s="70">
        <v>54</v>
      </c>
      <c r="D970" s="71" t="s">
        <v>3549</v>
      </c>
      <c r="E970" s="72" t="s">
        <v>829</v>
      </c>
      <c r="F970" s="73" t="str">
        <f t="shared" si="74"/>
        <v>390154</v>
      </c>
      <c r="G970" s="72" t="str">
        <f t="shared" si="75"/>
        <v>390154</v>
      </c>
      <c r="H970" s="74" t="s">
        <v>4687</v>
      </c>
    </row>
    <row r="971" spans="1:8" ht="18.75">
      <c r="A971" s="70">
        <v>39</v>
      </c>
      <c r="B971" s="70">
        <v>1</v>
      </c>
      <c r="C971" s="70">
        <v>55</v>
      </c>
      <c r="D971" s="71" t="s">
        <v>3550</v>
      </c>
      <c r="E971" s="72" t="s">
        <v>829</v>
      </c>
      <c r="F971" s="73" t="str">
        <f t="shared" si="74"/>
        <v>390155</v>
      </c>
      <c r="G971" s="72" t="str">
        <f t="shared" si="75"/>
        <v>390155</v>
      </c>
      <c r="H971" s="74" t="s">
        <v>4688</v>
      </c>
    </row>
    <row r="972" spans="1:8" ht="18.75">
      <c r="A972" s="70">
        <v>39</v>
      </c>
      <c r="B972" s="70">
        <v>1</v>
      </c>
      <c r="C972" s="70">
        <v>56</v>
      </c>
      <c r="D972" s="71" t="s">
        <v>3551</v>
      </c>
      <c r="E972" s="72" t="s">
        <v>829</v>
      </c>
      <c r="F972" s="73" t="str">
        <f t="shared" si="74"/>
        <v>390156</v>
      </c>
      <c r="G972" s="72" t="str">
        <f t="shared" si="75"/>
        <v>390156</v>
      </c>
      <c r="H972" s="74" t="s">
        <v>4689</v>
      </c>
    </row>
    <row r="973" spans="1:8" ht="18.75">
      <c r="A973" s="70">
        <v>39</v>
      </c>
      <c r="B973" s="70">
        <v>1</v>
      </c>
      <c r="C973" s="70">
        <v>57</v>
      </c>
      <c r="D973" s="71" t="s">
        <v>3570</v>
      </c>
      <c r="E973" s="72" t="s">
        <v>829</v>
      </c>
      <c r="F973" s="73" t="str">
        <f t="shared" si="74"/>
        <v>390157</v>
      </c>
      <c r="G973" s="72" t="str">
        <f t="shared" si="75"/>
        <v>390157</v>
      </c>
      <c r="H973" s="74" t="s">
        <v>4690</v>
      </c>
    </row>
    <row r="974" spans="1:8" ht="18.75">
      <c r="A974" s="70">
        <v>39</v>
      </c>
      <c r="B974" s="70">
        <v>1</v>
      </c>
      <c r="C974" s="70">
        <v>58</v>
      </c>
      <c r="D974" s="71" t="s">
        <v>3571</v>
      </c>
      <c r="E974" s="72" t="s">
        <v>829</v>
      </c>
      <c r="F974" s="73" t="str">
        <f t="shared" si="74"/>
        <v>390158</v>
      </c>
      <c r="G974" s="72" t="str">
        <f t="shared" si="75"/>
        <v>390158</v>
      </c>
      <c r="H974" s="74" t="s">
        <v>4691</v>
      </c>
    </row>
    <row r="975" spans="1:8" ht="18.75">
      <c r="A975" s="70">
        <v>39</v>
      </c>
      <c r="B975" s="70">
        <v>1</v>
      </c>
      <c r="C975" s="70">
        <v>59</v>
      </c>
      <c r="D975" s="71" t="s">
        <v>3558</v>
      </c>
      <c r="E975" s="72" t="s">
        <v>829</v>
      </c>
      <c r="F975" s="73" t="str">
        <f t="shared" si="74"/>
        <v>390159</v>
      </c>
      <c r="G975" s="72" t="str">
        <f t="shared" si="75"/>
        <v>390159</v>
      </c>
      <c r="H975" s="74" t="s">
        <v>4692</v>
      </c>
    </row>
    <row r="976" spans="1:8" ht="18.75">
      <c r="A976" s="70">
        <v>39</v>
      </c>
      <c r="B976" s="70">
        <v>1</v>
      </c>
      <c r="C976" s="70">
        <v>61</v>
      </c>
      <c r="D976" s="71" t="s">
        <v>3630</v>
      </c>
      <c r="E976" s="72" t="s">
        <v>829</v>
      </c>
      <c r="F976" s="73" t="str">
        <f t="shared" si="74"/>
        <v>390161</v>
      </c>
      <c r="G976" s="72" t="str">
        <f t="shared" si="75"/>
        <v>390161</v>
      </c>
      <c r="H976" s="74" t="s">
        <v>4693</v>
      </c>
    </row>
    <row r="977" spans="1:8" ht="18.75">
      <c r="A977" s="70">
        <v>39</v>
      </c>
      <c r="B977" s="70">
        <v>1</v>
      </c>
      <c r="C977" s="70">
        <v>62</v>
      </c>
      <c r="D977" s="71" t="s">
        <v>3631</v>
      </c>
      <c r="E977" s="72" t="s">
        <v>829</v>
      </c>
      <c r="F977" s="73" t="str">
        <f t="shared" si="74"/>
        <v>390162</v>
      </c>
      <c r="G977" s="72" t="str">
        <f t="shared" si="75"/>
        <v>390162</v>
      </c>
      <c r="H977" s="74" t="s">
        <v>4694</v>
      </c>
    </row>
    <row r="978" spans="1:8" ht="18.75">
      <c r="A978" s="70">
        <v>39</v>
      </c>
      <c r="B978" s="70">
        <v>1</v>
      </c>
      <c r="C978" s="70">
        <v>63</v>
      </c>
      <c r="D978" s="71" t="s">
        <v>3672</v>
      </c>
      <c r="E978" s="72" t="s">
        <v>3910</v>
      </c>
      <c r="F978" s="73" t="str">
        <f t="shared" si="74"/>
        <v>390163</v>
      </c>
      <c r="G978" s="72" t="str">
        <f t="shared" si="75"/>
        <v>390163</v>
      </c>
      <c r="H978" s="74" t="s">
        <v>4695</v>
      </c>
    </row>
    <row r="979" spans="1:8" ht="18.75">
      <c r="A979" s="70">
        <v>39</v>
      </c>
      <c r="B979" s="70">
        <v>1</v>
      </c>
      <c r="C979" s="70">
        <v>64</v>
      </c>
      <c r="D979" s="71" t="s">
        <v>3671</v>
      </c>
      <c r="E979" s="72" t="s">
        <v>829</v>
      </c>
      <c r="F979" s="73" t="str">
        <f t="shared" si="74"/>
        <v>390164</v>
      </c>
      <c r="G979" s="72" t="str">
        <f t="shared" si="75"/>
        <v>390164</v>
      </c>
      <c r="H979" s="74" t="s">
        <v>4696</v>
      </c>
    </row>
    <row r="980" spans="1:8" ht="18.75">
      <c r="A980" s="70">
        <v>39</v>
      </c>
      <c r="B980" s="70">
        <v>1</v>
      </c>
      <c r="C980" s="70">
        <v>65</v>
      </c>
      <c r="D980" s="71" t="s">
        <v>3540</v>
      </c>
      <c r="E980" s="72" t="s">
        <v>829</v>
      </c>
      <c r="F980" s="73" t="str">
        <f t="shared" si="74"/>
        <v>390165</v>
      </c>
      <c r="G980" s="72" t="str">
        <f t="shared" si="75"/>
        <v>390165</v>
      </c>
      <c r="H980" s="74" t="s">
        <v>4697</v>
      </c>
    </row>
    <row r="981" spans="1:8" ht="18.75">
      <c r="A981" s="70">
        <v>39</v>
      </c>
      <c r="B981" s="70">
        <v>1</v>
      </c>
      <c r="C981" s="70">
        <v>66</v>
      </c>
      <c r="D981" s="71" t="s">
        <v>3644</v>
      </c>
      <c r="E981" s="72" t="s">
        <v>829</v>
      </c>
      <c r="F981" s="73" t="str">
        <f t="shared" si="74"/>
        <v>390166</v>
      </c>
      <c r="G981" s="72" t="str">
        <f t="shared" si="75"/>
        <v>390166</v>
      </c>
      <c r="H981" s="74" t="s">
        <v>4698</v>
      </c>
    </row>
    <row r="982" spans="1:8" ht="18.75">
      <c r="A982" s="70">
        <v>39</v>
      </c>
      <c r="B982" s="70">
        <v>1</v>
      </c>
      <c r="C982" s="70">
        <v>67</v>
      </c>
      <c r="D982" s="71" t="s">
        <v>3645</v>
      </c>
      <c r="E982" s="72" t="s">
        <v>829</v>
      </c>
      <c r="F982" s="73" t="str">
        <f t="shared" si="74"/>
        <v>390167</v>
      </c>
      <c r="G982" s="72" t="str">
        <f t="shared" si="75"/>
        <v>390167</v>
      </c>
      <c r="H982" s="74" t="s">
        <v>4699</v>
      </c>
    </row>
    <row r="983" spans="1:8" ht="18.75">
      <c r="A983" s="70">
        <v>39</v>
      </c>
      <c r="B983" s="70">
        <v>1</v>
      </c>
      <c r="C983" s="70">
        <v>68</v>
      </c>
      <c r="D983" s="71" t="s">
        <v>3665</v>
      </c>
      <c r="E983" s="72" t="s">
        <v>829</v>
      </c>
      <c r="F983" s="73" t="str">
        <f t="shared" si="74"/>
        <v>390168</v>
      </c>
      <c r="G983" s="72" t="str">
        <f t="shared" si="75"/>
        <v>390168</v>
      </c>
      <c r="H983" s="74" t="s">
        <v>4700</v>
      </c>
    </row>
    <row r="984" spans="1:8" ht="18.75">
      <c r="A984" s="70">
        <v>39</v>
      </c>
      <c r="B984" s="70">
        <v>1</v>
      </c>
      <c r="C984" s="70">
        <v>69</v>
      </c>
      <c r="D984" s="71" t="s">
        <v>3691</v>
      </c>
      <c r="E984" s="72" t="s">
        <v>829</v>
      </c>
      <c r="F984" s="73" t="str">
        <f t="shared" si="74"/>
        <v>390169</v>
      </c>
      <c r="G984" s="72" t="str">
        <f t="shared" si="75"/>
        <v>390169</v>
      </c>
      <c r="H984" s="74" t="s">
        <v>4701</v>
      </c>
    </row>
    <row r="985" spans="1:8" ht="18.75">
      <c r="A985" s="70">
        <v>39</v>
      </c>
      <c r="B985" s="70">
        <v>1</v>
      </c>
      <c r="C985" s="70">
        <v>70</v>
      </c>
      <c r="D985" s="71" t="s">
        <v>3654</v>
      </c>
      <c r="E985" s="72" t="s">
        <v>829</v>
      </c>
      <c r="F985" s="73" t="str">
        <f t="shared" si="74"/>
        <v>390170</v>
      </c>
      <c r="G985" s="72" t="str">
        <f t="shared" si="75"/>
        <v>390170</v>
      </c>
      <c r="H985" s="74" t="s">
        <v>4702</v>
      </c>
    </row>
    <row r="986" spans="1:8" ht="18.75">
      <c r="A986" s="70">
        <v>39</v>
      </c>
      <c r="B986" s="70">
        <v>1</v>
      </c>
      <c r="C986" s="70">
        <v>71</v>
      </c>
      <c r="D986" s="71" t="s">
        <v>3655</v>
      </c>
      <c r="E986" s="72" t="s">
        <v>829</v>
      </c>
      <c r="F986" s="73" t="str">
        <f t="shared" si="74"/>
        <v>390171</v>
      </c>
      <c r="G986" s="72" t="str">
        <f t="shared" si="75"/>
        <v>390171</v>
      </c>
      <c r="H986" s="74" t="s">
        <v>4703</v>
      </c>
    </row>
    <row r="987" spans="1:8" ht="18.75">
      <c r="A987" s="70">
        <v>39</v>
      </c>
      <c r="B987" s="70">
        <v>1</v>
      </c>
      <c r="C987" s="70">
        <v>72</v>
      </c>
      <c r="D987" s="71" t="s">
        <v>3674</v>
      </c>
      <c r="E987" s="72" t="s">
        <v>829</v>
      </c>
      <c r="F987" s="73" t="str">
        <f t="shared" si="74"/>
        <v>390172</v>
      </c>
      <c r="G987" s="72" t="str">
        <f t="shared" si="75"/>
        <v>390172</v>
      </c>
      <c r="H987" s="74" t="s">
        <v>4704</v>
      </c>
    </row>
    <row r="988" spans="1:8" ht="18.75">
      <c r="A988" s="70">
        <v>39</v>
      </c>
      <c r="B988" s="70">
        <v>1</v>
      </c>
      <c r="C988" s="70">
        <v>73</v>
      </c>
      <c r="D988" s="71" t="s">
        <v>3743</v>
      </c>
      <c r="E988" s="72" t="s">
        <v>829</v>
      </c>
      <c r="F988" s="73" t="str">
        <f t="shared" si="74"/>
        <v>390173</v>
      </c>
      <c r="G988" s="72" t="str">
        <f t="shared" si="75"/>
        <v>390173</v>
      </c>
      <c r="H988" s="74" t="s">
        <v>4705</v>
      </c>
    </row>
    <row r="989" spans="1:8" ht="18.75">
      <c r="A989" s="70">
        <v>39</v>
      </c>
      <c r="B989" s="70">
        <v>1</v>
      </c>
      <c r="C989" s="70">
        <v>74</v>
      </c>
      <c r="D989" s="71" t="s">
        <v>3748</v>
      </c>
      <c r="E989" s="72" t="s">
        <v>4406</v>
      </c>
      <c r="F989" s="73" t="str">
        <f t="shared" si="74"/>
        <v>390174</v>
      </c>
      <c r="G989" s="72" t="str">
        <f t="shared" si="75"/>
        <v>390174</v>
      </c>
      <c r="H989" s="74" t="s">
        <v>4706</v>
      </c>
    </row>
    <row r="990" spans="1:8" ht="18.75">
      <c r="A990" s="70">
        <v>39</v>
      </c>
      <c r="B990" s="70">
        <v>1</v>
      </c>
      <c r="C990" s="70">
        <v>75</v>
      </c>
      <c r="D990" s="71" t="s">
        <v>3754</v>
      </c>
      <c r="E990" s="72" t="s">
        <v>4406</v>
      </c>
      <c r="F990" s="73" t="str">
        <f t="shared" si="74"/>
        <v>390175</v>
      </c>
      <c r="G990" s="72" t="str">
        <f t="shared" si="75"/>
        <v>390175</v>
      </c>
      <c r="H990" s="74" t="s">
        <v>4707</v>
      </c>
    </row>
    <row r="991" spans="1:8" ht="18.75">
      <c r="A991" s="70">
        <v>39</v>
      </c>
      <c r="B991" s="70">
        <v>1</v>
      </c>
      <c r="C991" s="70">
        <v>76</v>
      </c>
      <c r="D991" s="71" t="s">
        <v>3792</v>
      </c>
      <c r="E991" s="72" t="s">
        <v>829</v>
      </c>
      <c r="F991" s="73" t="str">
        <f t="shared" ref="F991:F1022" si="76">TEXT(A991,"00")&amp;TEXT(B991,"00")&amp;TEXT(C991,"00")</f>
        <v>390176</v>
      </c>
      <c r="G991" s="72" t="str">
        <f t="shared" ref="G991:G1022" si="77">TEXT(F991,"000000")</f>
        <v>390176</v>
      </c>
      <c r="H991" s="74" t="s">
        <v>4708</v>
      </c>
    </row>
    <row r="992" spans="1:8" ht="18.75">
      <c r="A992" s="70">
        <v>39</v>
      </c>
      <c r="B992" s="70">
        <v>1</v>
      </c>
      <c r="C992" s="70">
        <v>77</v>
      </c>
      <c r="D992" s="71" t="s">
        <v>3805</v>
      </c>
      <c r="E992" s="72" t="s">
        <v>4653</v>
      </c>
      <c r="F992" s="73" t="str">
        <f t="shared" si="76"/>
        <v>390177</v>
      </c>
      <c r="G992" s="72" t="str">
        <f t="shared" si="77"/>
        <v>390177</v>
      </c>
      <c r="H992" s="74" t="s">
        <v>4709</v>
      </c>
    </row>
    <row r="993" spans="1:8" ht="18.75">
      <c r="A993" s="70">
        <v>39</v>
      </c>
      <c r="B993" s="70">
        <v>1</v>
      </c>
      <c r="C993" s="70">
        <v>78</v>
      </c>
      <c r="D993" s="71" t="s">
        <v>4710</v>
      </c>
      <c r="E993" s="72" t="s">
        <v>4653</v>
      </c>
      <c r="F993" s="73" t="str">
        <f t="shared" si="76"/>
        <v>390178</v>
      </c>
      <c r="G993" s="72" t="str">
        <f t="shared" si="77"/>
        <v>390178</v>
      </c>
      <c r="H993" s="74" t="s">
        <v>5533</v>
      </c>
    </row>
    <row r="994" spans="1:8" ht="18.75">
      <c r="A994" s="70">
        <v>39</v>
      </c>
      <c r="B994" s="70">
        <v>1</v>
      </c>
      <c r="C994" s="70">
        <v>79</v>
      </c>
      <c r="D994" s="71" t="s">
        <v>4711</v>
      </c>
      <c r="E994" s="72" t="s">
        <v>829</v>
      </c>
      <c r="F994" s="73" t="str">
        <f t="shared" si="76"/>
        <v>390179</v>
      </c>
      <c r="G994" s="72" t="str">
        <f t="shared" si="77"/>
        <v>390179</v>
      </c>
      <c r="H994" s="74" t="s">
        <v>5534</v>
      </c>
    </row>
    <row r="995" spans="1:8" ht="18.75">
      <c r="A995" s="70">
        <v>39</v>
      </c>
      <c r="B995" s="70">
        <v>1</v>
      </c>
      <c r="C995" s="70">
        <v>60</v>
      </c>
      <c r="D995" s="71" t="s">
        <v>4712</v>
      </c>
      <c r="E995" s="72" t="s">
        <v>829</v>
      </c>
      <c r="F995" s="73" t="str">
        <f t="shared" si="76"/>
        <v>390160</v>
      </c>
      <c r="G995" s="72" t="str">
        <f t="shared" si="77"/>
        <v>390160</v>
      </c>
      <c r="H995" s="74" t="s">
        <v>5535</v>
      </c>
    </row>
    <row r="996" spans="1:8" ht="18.75">
      <c r="A996" s="70">
        <v>39</v>
      </c>
      <c r="B996" s="70">
        <v>1</v>
      </c>
      <c r="C996" s="70">
        <v>80</v>
      </c>
      <c r="D996" s="71" t="s">
        <v>4713</v>
      </c>
      <c r="E996" s="72" t="s">
        <v>829</v>
      </c>
      <c r="F996" s="73" t="str">
        <f t="shared" si="76"/>
        <v>390180</v>
      </c>
      <c r="G996" s="72" t="str">
        <f t="shared" si="77"/>
        <v>390180</v>
      </c>
      <c r="H996" s="74" t="s">
        <v>5536</v>
      </c>
    </row>
    <row r="997" spans="1:8" ht="18.75">
      <c r="A997" s="70">
        <v>39</v>
      </c>
      <c r="B997" s="70">
        <v>1</v>
      </c>
      <c r="C997" s="70">
        <v>81</v>
      </c>
      <c r="D997" s="71" t="s">
        <v>4714</v>
      </c>
      <c r="E997" s="72" t="s">
        <v>829</v>
      </c>
      <c r="F997" s="73" t="str">
        <f t="shared" si="76"/>
        <v>390181</v>
      </c>
      <c r="G997" s="72" t="str">
        <f t="shared" si="77"/>
        <v>390181</v>
      </c>
      <c r="H997" s="74" t="s">
        <v>5537</v>
      </c>
    </row>
    <row r="998" spans="1:8" ht="18.75">
      <c r="A998" s="70">
        <v>39</v>
      </c>
      <c r="B998" s="70">
        <v>1</v>
      </c>
      <c r="C998" s="70">
        <v>82</v>
      </c>
      <c r="D998" s="71" t="s">
        <v>5538</v>
      </c>
      <c r="E998" s="72" t="s">
        <v>4049</v>
      </c>
      <c r="F998" s="73" t="str">
        <f t="shared" si="76"/>
        <v>390182</v>
      </c>
      <c r="G998" s="72" t="str">
        <f t="shared" si="77"/>
        <v>390182</v>
      </c>
      <c r="H998" s="74" t="s">
        <v>5539</v>
      </c>
    </row>
    <row r="999" spans="1:8" ht="18.75">
      <c r="A999" s="70">
        <v>39</v>
      </c>
      <c r="B999" s="70">
        <v>1</v>
      </c>
      <c r="C999" s="70">
        <v>83</v>
      </c>
      <c r="D999" s="71" t="s">
        <v>5540</v>
      </c>
      <c r="E999" s="72" t="s">
        <v>829</v>
      </c>
      <c r="F999" s="73" t="str">
        <f t="shared" si="76"/>
        <v>390183</v>
      </c>
      <c r="G999" s="72" t="str">
        <f t="shared" si="77"/>
        <v>390183</v>
      </c>
      <c r="H999" s="74" t="s">
        <v>5541</v>
      </c>
    </row>
    <row r="1000" spans="1:8" ht="18.75">
      <c r="A1000" s="70">
        <v>39</v>
      </c>
      <c r="B1000" s="70">
        <v>1</v>
      </c>
      <c r="C1000" s="70">
        <v>84</v>
      </c>
      <c r="D1000" s="71" t="s">
        <v>5542</v>
      </c>
      <c r="E1000" s="72" t="s">
        <v>829</v>
      </c>
      <c r="F1000" s="73" t="str">
        <f t="shared" si="76"/>
        <v>390184</v>
      </c>
      <c r="G1000" s="72" t="str">
        <f t="shared" si="77"/>
        <v>390184</v>
      </c>
      <c r="H1000" s="74" t="s">
        <v>5543</v>
      </c>
    </row>
    <row r="1001" spans="1:8" ht="18.75">
      <c r="A1001" s="70">
        <v>39</v>
      </c>
      <c r="B1001" s="70">
        <v>1</v>
      </c>
      <c r="C1001" s="70">
        <v>85</v>
      </c>
      <c r="D1001" s="71" t="s">
        <v>5732</v>
      </c>
      <c r="E1001" s="72" t="s">
        <v>829</v>
      </c>
      <c r="F1001" s="73" t="str">
        <f t="shared" si="76"/>
        <v>390185</v>
      </c>
      <c r="G1001" s="72" t="str">
        <f t="shared" si="77"/>
        <v>390185</v>
      </c>
      <c r="H1001" s="74" t="s">
        <v>5733</v>
      </c>
    </row>
    <row r="1002" spans="1:8" ht="18.75">
      <c r="A1002" s="70">
        <v>39</v>
      </c>
      <c r="B1002" s="70">
        <v>1</v>
      </c>
      <c r="C1002" s="70">
        <v>86</v>
      </c>
      <c r="D1002" s="71" t="s">
        <v>5734</v>
      </c>
      <c r="E1002" s="72" t="s">
        <v>829</v>
      </c>
      <c r="F1002" s="73" t="str">
        <f t="shared" si="76"/>
        <v>390186</v>
      </c>
      <c r="G1002" s="72" t="str">
        <f t="shared" si="77"/>
        <v>390186</v>
      </c>
      <c r="H1002" s="74" t="s">
        <v>5735</v>
      </c>
    </row>
    <row r="1003" spans="1:8" ht="18.75">
      <c r="A1003" s="70">
        <v>39</v>
      </c>
      <c r="B1003" s="70">
        <v>1</v>
      </c>
      <c r="C1003" s="70">
        <v>87</v>
      </c>
      <c r="D1003" s="71" t="s">
        <v>5736</v>
      </c>
      <c r="E1003" s="72" t="s">
        <v>829</v>
      </c>
      <c r="F1003" s="73" t="str">
        <f t="shared" si="76"/>
        <v>390187</v>
      </c>
      <c r="G1003" s="72" t="str">
        <f t="shared" si="77"/>
        <v>390187</v>
      </c>
      <c r="H1003" s="74" t="s">
        <v>5737</v>
      </c>
    </row>
    <row r="1004" spans="1:8" ht="18.75">
      <c r="A1004" s="70">
        <v>39</v>
      </c>
      <c r="B1004" s="70">
        <v>1</v>
      </c>
      <c r="C1004" s="70">
        <v>88</v>
      </c>
      <c r="D1004" s="71" t="s">
        <v>5738</v>
      </c>
      <c r="E1004" s="72" t="s">
        <v>829</v>
      </c>
      <c r="F1004" s="73" t="str">
        <f t="shared" si="76"/>
        <v>390188</v>
      </c>
      <c r="G1004" s="72" t="str">
        <f t="shared" si="77"/>
        <v>390188</v>
      </c>
      <c r="H1004" s="74" t="s">
        <v>5739</v>
      </c>
    </row>
    <row r="1005" spans="1:8" ht="18.75">
      <c r="A1005" s="70">
        <v>39</v>
      </c>
      <c r="B1005" s="70">
        <v>1</v>
      </c>
      <c r="C1005" s="70">
        <v>89</v>
      </c>
      <c r="D1005" s="71" t="s">
        <v>5856</v>
      </c>
      <c r="E1005" s="72" t="s">
        <v>829</v>
      </c>
      <c r="F1005" s="73" t="str">
        <f t="shared" si="76"/>
        <v>390189</v>
      </c>
      <c r="G1005" s="72" t="str">
        <f t="shared" si="77"/>
        <v>390189</v>
      </c>
      <c r="H1005" s="74" t="s">
        <v>5857</v>
      </c>
    </row>
    <row r="1006" spans="1:8" ht="18.75">
      <c r="A1006" s="70">
        <v>39</v>
      </c>
      <c r="B1006" s="70">
        <v>1</v>
      </c>
      <c r="C1006" s="70">
        <v>90</v>
      </c>
      <c r="D1006" s="71" t="s">
        <v>5858</v>
      </c>
      <c r="E1006" s="72" t="s">
        <v>829</v>
      </c>
      <c r="F1006" s="73" t="str">
        <f t="shared" si="76"/>
        <v>390190</v>
      </c>
      <c r="G1006" s="72" t="str">
        <f t="shared" si="77"/>
        <v>390190</v>
      </c>
      <c r="H1006" s="74" t="s">
        <v>5859</v>
      </c>
    </row>
    <row r="1007" spans="1:8" ht="18.75">
      <c r="A1007" s="70">
        <v>39</v>
      </c>
      <c r="B1007" s="70">
        <v>1</v>
      </c>
      <c r="C1007" s="70">
        <v>91</v>
      </c>
      <c r="D1007" s="71" t="s">
        <v>5860</v>
      </c>
      <c r="E1007" s="72" t="s">
        <v>829</v>
      </c>
      <c r="F1007" s="73" t="str">
        <f t="shared" si="76"/>
        <v>390191</v>
      </c>
      <c r="G1007" s="72" t="str">
        <f t="shared" si="77"/>
        <v>390191</v>
      </c>
      <c r="H1007" s="74" t="s">
        <v>5861</v>
      </c>
    </row>
    <row r="1008" spans="1:8" ht="18.75">
      <c r="A1008" s="70">
        <v>39</v>
      </c>
      <c r="B1008" s="70">
        <v>1</v>
      </c>
      <c r="C1008" s="70">
        <v>92</v>
      </c>
      <c r="D1008" s="71" t="s">
        <v>5862</v>
      </c>
      <c r="E1008" s="72" t="s">
        <v>829</v>
      </c>
      <c r="F1008" s="73" t="str">
        <f t="shared" si="76"/>
        <v>390192</v>
      </c>
      <c r="G1008" s="72" t="str">
        <f t="shared" si="77"/>
        <v>390192</v>
      </c>
      <c r="H1008" s="74" t="s">
        <v>5863</v>
      </c>
    </row>
    <row r="1009" spans="1:8" ht="18.75">
      <c r="A1009" s="70">
        <v>39</v>
      </c>
      <c r="B1009" s="70">
        <v>1</v>
      </c>
      <c r="C1009" s="70">
        <v>93</v>
      </c>
      <c r="D1009" s="71" t="s">
        <v>5864</v>
      </c>
      <c r="E1009" s="72" t="s">
        <v>829</v>
      </c>
      <c r="F1009" s="73" t="str">
        <f t="shared" si="76"/>
        <v>390193</v>
      </c>
      <c r="G1009" s="72" t="str">
        <f t="shared" si="77"/>
        <v>390193</v>
      </c>
      <c r="H1009" s="74" t="s">
        <v>5865</v>
      </c>
    </row>
    <row r="1010" spans="1:8" ht="18.75">
      <c r="A1010" s="70">
        <v>39</v>
      </c>
      <c r="B1010" s="70">
        <v>1</v>
      </c>
      <c r="C1010" s="70">
        <v>94</v>
      </c>
      <c r="D1010" s="71" t="s">
        <v>5866</v>
      </c>
      <c r="E1010" s="72" t="s">
        <v>829</v>
      </c>
      <c r="F1010" s="73" t="str">
        <f t="shared" si="76"/>
        <v>390194</v>
      </c>
      <c r="G1010" s="72" t="str">
        <f t="shared" si="77"/>
        <v>390194</v>
      </c>
      <c r="H1010" s="74" t="s">
        <v>5867</v>
      </c>
    </row>
    <row r="1011" spans="1:8" ht="18.75">
      <c r="A1011" s="70">
        <v>39</v>
      </c>
      <c r="B1011" s="70">
        <v>1</v>
      </c>
      <c r="C1011" s="70">
        <v>95</v>
      </c>
      <c r="D1011" s="71" t="s">
        <v>5868</v>
      </c>
      <c r="E1011" s="72" t="s">
        <v>829</v>
      </c>
      <c r="F1011" s="73" t="str">
        <f t="shared" si="76"/>
        <v>390195</v>
      </c>
      <c r="G1011" s="72" t="str">
        <f t="shared" si="77"/>
        <v>390195</v>
      </c>
      <c r="H1011" s="74" t="s">
        <v>5869</v>
      </c>
    </row>
    <row r="1012" spans="1:8" ht="18.75">
      <c r="A1012" s="70">
        <v>39</v>
      </c>
      <c r="B1012" s="70">
        <v>1</v>
      </c>
      <c r="C1012" s="70">
        <v>96</v>
      </c>
      <c r="D1012" s="71" t="s">
        <v>5870</v>
      </c>
      <c r="E1012" s="72" t="s">
        <v>829</v>
      </c>
      <c r="F1012" s="73" t="str">
        <f t="shared" si="76"/>
        <v>390196</v>
      </c>
      <c r="G1012" s="72" t="str">
        <f t="shared" si="77"/>
        <v>390196</v>
      </c>
      <c r="H1012" s="74" t="s">
        <v>5871</v>
      </c>
    </row>
    <row r="1013" spans="1:8" ht="18.75">
      <c r="A1013" s="70">
        <v>39</v>
      </c>
      <c r="B1013" s="70">
        <v>1</v>
      </c>
      <c r="C1013" s="70">
        <v>97</v>
      </c>
      <c r="D1013" s="71" t="s">
        <v>5872</v>
      </c>
      <c r="E1013" s="72" t="s">
        <v>829</v>
      </c>
      <c r="F1013" s="73" t="str">
        <f t="shared" si="76"/>
        <v>390197</v>
      </c>
      <c r="G1013" s="72" t="str">
        <f t="shared" si="77"/>
        <v>390197</v>
      </c>
      <c r="H1013" s="74" t="s">
        <v>5873</v>
      </c>
    </row>
    <row r="1014" spans="1:8" ht="18.75">
      <c r="A1014" s="70">
        <v>39</v>
      </c>
      <c r="B1014" s="70">
        <v>1</v>
      </c>
      <c r="C1014" s="70">
        <v>98</v>
      </c>
      <c r="D1014" s="71" t="s">
        <v>5874</v>
      </c>
      <c r="E1014" s="72" t="s">
        <v>829</v>
      </c>
      <c r="F1014" s="73" t="str">
        <f t="shared" si="76"/>
        <v>390198</v>
      </c>
      <c r="G1014" s="72" t="str">
        <f t="shared" si="77"/>
        <v>390198</v>
      </c>
      <c r="H1014" s="74" t="s">
        <v>5875</v>
      </c>
    </row>
    <row r="1015" spans="1:8" ht="18.75">
      <c r="A1015" s="70">
        <v>39</v>
      </c>
      <c r="B1015" s="70">
        <v>1</v>
      </c>
      <c r="C1015" s="70">
        <v>99</v>
      </c>
      <c r="D1015" s="71" t="s">
        <v>5986</v>
      </c>
      <c r="E1015" s="72" t="s">
        <v>829</v>
      </c>
      <c r="F1015" s="73" t="str">
        <f t="shared" si="76"/>
        <v>390199</v>
      </c>
      <c r="G1015" s="72" t="str">
        <f t="shared" si="77"/>
        <v>390199</v>
      </c>
      <c r="H1015" s="74" t="s">
        <v>5987</v>
      </c>
    </row>
    <row r="1016" spans="1:8" ht="18.75">
      <c r="A1016" s="70">
        <v>39</v>
      </c>
      <c r="B1016" s="70">
        <v>1</v>
      </c>
      <c r="C1016" s="70">
        <v>5</v>
      </c>
      <c r="D1016" s="71" t="s">
        <v>5988</v>
      </c>
      <c r="E1016" s="72" t="s">
        <v>829</v>
      </c>
      <c r="F1016" s="73" t="str">
        <f t="shared" si="76"/>
        <v>390105</v>
      </c>
      <c r="G1016" s="72" t="str">
        <f t="shared" si="77"/>
        <v>390105</v>
      </c>
      <c r="H1016" s="74" t="s">
        <v>5989</v>
      </c>
    </row>
    <row r="1017" spans="1:8" ht="18.75">
      <c r="A1017" s="70">
        <v>39</v>
      </c>
      <c r="B1017" s="70">
        <v>1</v>
      </c>
      <c r="C1017" s="70">
        <v>6</v>
      </c>
      <c r="D1017" s="71" t="s">
        <v>5990</v>
      </c>
      <c r="E1017" s="72" t="s">
        <v>829</v>
      </c>
      <c r="F1017" s="73" t="str">
        <f t="shared" si="76"/>
        <v>390106</v>
      </c>
      <c r="G1017" s="72" t="str">
        <f t="shared" si="77"/>
        <v>390106</v>
      </c>
      <c r="H1017" s="74" t="s">
        <v>5991</v>
      </c>
    </row>
    <row r="1018" spans="1:8" ht="18.75">
      <c r="A1018" s="70">
        <v>39</v>
      </c>
      <c r="B1018" s="70">
        <v>1</v>
      </c>
      <c r="C1018" s="70">
        <v>7</v>
      </c>
      <c r="D1018" s="71" t="s">
        <v>5992</v>
      </c>
      <c r="E1018" s="72" t="s">
        <v>829</v>
      </c>
      <c r="F1018" s="73" t="str">
        <f t="shared" si="76"/>
        <v>390107</v>
      </c>
      <c r="G1018" s="72" t="str">
        <f t="shared" si="77"/>
        <v>390107</v>
      </c>
      <c r="H1018" s="74" t="s">
        <v>5993</v>
      </c>
    </row>
    <row r="1019" spans="1:8" ht="18.75">
      <c r="A1019" s="70">
        <v>39</v>
      </c>
      <c r="B1019" s="70">
        <v>1</v>
      </c>
      <c r="C1019" s="70">
        <v>8</v>
      </c>
      <c r="D1019" s="71" t="s">
        <v>5994</v>
      </c>
      <c r="E1019" s="72" t="s">
        <v>829</v>
      </c>
      <c r="F1019" s="73" t="str">
        <f t="shared" si="76"/>
        <v>390108</v>
      </c>
      <c r="G1019" s="72" t="str">
        <f t="shared" si="77"/>
        <v>390108</v>
      </c>
      <c r="H1019" s="74" t="s">
        <v>5995</v>
      </c>
    </row>
    <row r="1020" spans="1:8" ht="18.75">
      <c r="A1020" s="70">
        <v>39</v>
      </c>
      <c r="B1020" s="70">
        <v>1</v>
      </c>
      <c r="C1020" s="70">
        <v>9</v>
      </c>
      <c r="D1020" s="71" t="s">
        <v>5996</v>
      </c>
      <c r="E1020" s="72" t="s">
        <v>829</v>
      </c>
      <c r="F1020" s="73" t="str">
        <f t="shared" si="76"/>
        <v>390109</v>
      </c>
      <c r="G1020" s="72" t="str">
        <f t="shared" si="77"/>
        <v>390109</v>
      </c>
      <c r="H1020" s="74" t="s">
        <v>5997</v>
      </c>
    </row>
    <row r="1021" spans="1:8" ht="18.75">
      <c r="A1021" s="70">
        <v>39</v>
      </c>
      <c r="B1021" s="70">
        <v>1</v>
      </c>
      <c r="C1021" s="70">
        <v>1</v>
      </c>
      <c r="D1021" s="71" t="s">
        <v>5998</v>
      </c>
      <c r="E1021" s="72" t="s">
        <v>829</v>
      </c>
      <c r="F1021" s="73" t="str">
        <f t="shared" si="76"/>
        <v>390101</v>
      </c>
      <c r="G1021" s="72" t="str">
        <f t="shared" si="77"/>
        <v>390101</v>
      </c>
      <c r="H1021" s="74" t="s">
        <v>5999</v>
      </c>
    </row>
    <row r="1022" spans="1:8" ht="18.75">
      <c r="A1022" s="70">
        <v>39</v>
      </c>
      <c r="B1022" s="70">
        <v>1</v>
      </c>
      <c r="C1022" s="70">
        <v>2</v>
      </c>
      <c r="D1022" s="71" t="s">
        <v>6000</v>
      </c>
      <c r="E1022" s="72" t="s">
        <v>829</v>
      </c>
      <c r="F1022" s="73" t="str">
        <f t="shared" si="76"/>
        <v>390102</v>
      </c>
      <c r="G1022" s="72" t="str">
        <f t="shared" si="77"/>
        <v>390102</v>
      </c>
      <c r="H1022" s="74" t="s">
        <v>6001</v>
      </c>
    </row>
    <row r="1023" spans="1:8" ht="18.75">
      <c r="A1023" s="62">
        <v>42</v>
      </c>
      <c r="B1023" s="62">
        <v>0</v>
      </c>
      <c r="C1023" s="62">
        <v>0</v>
      </c>
      <c r="D1023" s="63" t="s">
        <v>2878</v>
      </c>
      <c r="E1023" s="64"/>
      <c r="F1023" s="75"/>
      <c r="G1023" s="76"/>
      <c r="H1023" s="76"/>
    </row>
    <row r="1024" spans="1:8" ht="18.75">
      <c r="A1024" s="66">
        <v>42</v>
      </c>
      <c r="B1024" s="66">
        <v>1</v>
      </c>
      <c r="C1024" s="66">
        <v>0</v>
      </c>
      <c r="D1024" s="67" t="s">
        <v>2879</v>
      </c>
      <c r="E1024" s="68"/>
      <c r="F1024" s="78"/>
      <c r="G1024" s="79"/>
      <c r="H1024" s="80"/>
    </row>
    <row r="1025" spans="1:8" ht="18.75">
      <c r="A1025" s="70">
        <v>42</v>
      </c>
      <c r="B1025" s="70">
        <v>1</v>
      </c>
      <c r="C1025" s="70">
        <v>11</v>
      </c>
      <c r="D1025" s="71" t="s">
        <v>3807</v>
      </c>
      <c r="E1025" s="72" t="s">
        <v>829</v>
      </c>
      <c r="F1025" s="73" t="str">
        <f t="shared" ref="F1025:F1032" si="78">TEXT(A1025,"00")&amp;TEXT(B1025,"00")&amp;TEXT(C1025,"00")</f>
        <v>420111</v>
      </c>
      <c r="G1025" s="72" t="str">
        <f t="shared" ref="G1025:G1032" si="79">TEXT(F1025,"000000")</f>
        <v>420111</v>
      </c>
      <c r="H1025" s="74" t="s">
        <v>4715</v>
      </c>
    </row>
    <row r="1026" spans="1:8" ht="18.75">
      <c r="A1026" s="70">
        <v>42</v>
      </c>
      <c r="B1026" s="70">
        <v>1</v>
      </c>
      <c r="C1026" s="70">
        <v>12</v>
      </c>
      <c r="D1026" s="71" t="s">
        <v>3808</v>
      </c>
      <c r="E1026" s="72" t="s">
        <v>829</v>
      </c>
      <c r="F1026" s="73" t="str">
        <f t="shared" si="78"/>
        <v>420112</v>
      </c>
      <c r="G1026" s="72" t="str">
        <f t="shared" si="79"/>
        <v>420112</v>
      </c>
      <c r="H1026" s="74" t="s">
        <v>4716</v>
      </c>
    </row>
    <row r="1027" spans="1:8" ht="18.75">
      <c r="A1027" s="70">
        <v>42</v>
      </c>
      <c r="B1027" s="70">
        <v>1</v>
      </c>
      <c r="C1027" s="70">
        <v>13</v>
      </c>
      <c r="D1027" s="71" t="s">
        <v>3809</v>
      </c>
      <c r="E1027" s="72" t="s">
        <v>829</v>
      </c>
      <c r="F1027" s="73" t="str">
        <f t="shared" si="78"/>
        <v>420113</v>
      </c>
      <c r="G1027" s="72" t="str">
        <f t="shared" si="79"/>
        <v>420113</v>
      </c>
      <c r="H1027" s="74" t="s">
        <v>4717</v>
      </c>
    </row>
    <row r="1028" spans="1:8" ht="18.75">
      <c r="A1028" s="70">
        <v>42</v>
      </c>
      <c r="B1028" s="70">
        <v>1</v>
      </c>
      <c r="C1028" s="70">
        <v>14</v>
      </c>
      <c r="D1028" s="71" t="s">
        <v>3810</v>
      </c>
      <c r="E1028" s="72" t="s">
        <v>829</v>
      </c>
      <c r="F1028" s="73" t="str">
        <f t="shared" si="78"/>
        <v>420114</v>
      </c>
      <c r="G1028" s="72" t="str">
        <f t="shared" si="79"/>
        <v>420114</v>
      </c>
      <c r="H1028" s="74" t="s">
        <v>4718</v>
      </c>
    </row>
    <row r="1029" spans="1:8" ht="18.75">
      <c r="A1029" s="70">
        <v>42</v>
      </c>
      <c r="B1029" s="70">
        <v>1</v>
      </c>
      <c r="C1029" s="70">
        <v>21</v>
      </c>
      <c r="D1029" s="71" t="s">
        <v>3811</v>
      </c>
      <c r="E1029" s="72" t="s">
        <v>829</v>
      </c>
      <c r="F1029" s="73" t="str">
        <f t="shared" si="78"/>
        <v>420121</v>
      </c>
      <c r="G1029" s="72" t="str">
        <f t="shared" si="79"/>
        <v>420121</v>
      </c>
      <c r="H1029" s="74" t="s">
        <v>4719</v>
      </c>
    </row>
    <row r="1030" spans="1:8" ht="18.75">
      <c r="A1030" s="70">
        <v>42</v>
      </c>
      <c r="B1030" s="70">
        <v>1</v>
      </c>
      <c r="C1030" s="70">
        <v>31</v>
      </c>
      <c r="D1030" s="71" t="s">
        <v>4720</v>
      </c>
      <c r="E1030" s="72" t="s">
        <v>829</v>
      </c>
      <c r="F1030" s="73" t="str">
        <f t="shared" si="78"/>
        <v>420131</v>
      </c>
      <c r="G1030" s="72" t="str">
        <f t="shared" si="79"/>
        <v>420131</v>
      </c>
      <c r="H1030" s="74" t="s">
        <v>4721</v>
      </c>
    </row>
    <row r="1031" spans="1:8" ht="18.75">
      <c r="A1031" s="70">
        <v>42</v>
      </c>
      <c r="B1031" s="70">
        <v>1</v>
      </c>
      <c r="C1031" s="70">
        <v>41</v>
      </c>
      <c r="D1031" s="71" t="s">
        <v>3806</v>
      </c>
      <c r="E1031" s="72" t="s">
        <v>829</v>
      </c>
      <c r="F1031" s="73" t="str">
        <f t="shared" si="78"/>
        <v>420141</v>
      </c>
      <c r="G1031" s="72" t="str">
        <f t="shared" si="79"/>
        <v>420141</v>
      </c>
      <c r="H1031" s="74" t="s">
        <v>4722</v>
      </c>
    </row>
    <row r="1032" spans="1:8" ht="18.75">
      <c r="A1032" s="70">
        <v>42</v>
      </c>
      <c r="B1032" s="70">
        <v>1</v>
      </c>
      <c r="C1032" s="70">
        <v>42</v>
      </c>
      <c r="D1032" s="71" t="s">
        <v>4723</v>
      </c>
      <c r="E1032" s="72" t="s">
        <v>829</v>
      </c>
      <c r="F1032" s="73" t="str">
        <f t="shared" si="78"/>
        <v>420142</v>
      </c>
      <c r="G1032" s="72" t="str">
        <f t="shared" si="79"/>
        <v>420142</v>
      </c>
      <c r="H1032" s="74" t="s">
        <v>4724</v>
      </c>
    </row>
    <row r="1033" spans="1:8" ht="18.75">
      <c r="A1033" s="66">
        <v>42</v>
      </c>
      <c r="B1033" s="66">
        <v>5</v>
      </c>
      <c r="C1033" s="66">
        <v>0</v>
      </c>
      <c r="D1033" s="67" t="s">
        <v>3583</v>
      </c>
      <c r="E1033" s="68"/>
      <c r="F1033" s="78"/>
      <c r="G1033" s="79"/>
      <c r="H1033" s="80"/>
    </row>
    <row r="1034" spans="1:8" ht="18.75">
      <c r="A1034" s="70">
        <v>42</v>
      </c>
      <c r="B1034" s="70">
        <v>5</v>
      </c>
      <c r="C1034" s="70">
        <v>11</v>
      </c>
      <c r="D1034" s="71" t="s">
        <v>3584</v>
      </c>
      <c r="E1034" s="72" t="s">
        <v>4406</v>
      </c>
      <c r="F1034" s="73" t="str">
        <f>TEXT(A1034,"00")&amp;TEXT(B1034,"00")&amp;TEXT(C1034,"00")</f>
        <v>420511</v>
      </c>
      <c r="G1034" s="72" t="str">
        <f>TEXT(F1034,"000000")</f>
        <v>420511</v>
      </c>
      <c r="H1034" s="74" t="s">
        <v>4725</v>
      </c>
    </row>
    <row r="1035" spans="1:8" ht="18.75">
      <c r="A1035" s="70">
        <v>42</v>
      </c>
      <c r="B1035" s="70">
        <v>5</v>
      </c>
      <c r="C1035" s="70">
        <v>12</v>
      </c>
      <c r="D1035" s="71" t="s">
        <v>3585</v>
      </c>
      <c r="E1035" s="72" t="s">
        <v>4406</v>
      </c>
      <c r="F1035" s="73" t="str">
        <f>TEXT(A1035,"00")&amp;TEXT(B1035,"00")&amp;TEXT(C1035,"00")</f>
        <v>420512</v>
      </c>
      <c r="G1035" s="72" t="str">
        <f>TEXT(F1035,"000000")</f>
        <v>420512</v>
      </c>
      <c r="H1035" s="74" t="s">
        <v>4726</v>
      </c>
    </row>
    <row r="1036" spans="1:8" ht="18.75">
      <c r="A1036" s="70">
        <v>42</v>
      </c>
      <c r="B1036" s="70">
        <v>5</v>
      </c>
      <c r="C1036" s="70">
        <v>13</v>
      </c>
      <c r="D1036" s="71" t="s">
        <v>3587</v>
      </c>
      <c r="E1036" s="72" t="s">
        <v>4727</v>
      </c>
      <c r="F1036" s="73" t="str">
        <f>TEXT(A1036,"00")&amp;TEXT(B1036,"00")&amp;TEXT(C1036,"00")</f>
        <v>420513</v>
      </c>
      <c r="G1036" s="72" t="str">
        <f>TEXT(F1036,"000000")</f>
        <v>420513</v>
      </c>
      <c r="H1036" s="74" t="s">
        <v>4728</v>
      </c>
    </row>
    <row r="1037" spans="1:8" ht="18.75">
      <c r="A1037" s="70">
        <v>42</v>
      </c>
      <c r="B1037" s="70">
        <v>5</v>
      </c>
      <c r="C1037" s="70">
        <v>14</v>
      </c>
      <c r="D1037" s="71" t="s">
        <v>3586</v>
      </c>
      <c r="E1037" s="72" t="s">
        <v>4727</v>
      </c>
      <c r="F1037" s="73" t="str">
        <f>TEXT(A1037,"00")&amp;TEXT(B1037,"00")&amp;TEXT(C1037,"00")</f>
        <v>420514</v>
      </c>
      <c r="G1037" s="72" t="str">
        <f>TEXT(F1037,"000000")</f>
        <v>420514</v>
      </c>
      <c r="H1037" s="74" t="s">
        <v>4729</v>
      </c>
    </row>
    <row r="1038" spans="1:8" ht="18.75">
      <c r="A1038" s="66">
        <v>42</v>
      </c>
      <c r="B1038" s="66">
        <v>2</v>
      </c>
      <c r="C1038" s="66">
        <v>0</v>
      </c>
      <c r="D1038" s="67" t="s">
        <v>2880</v>
      </c>
      <c r="E1038" s="68"/>
      <c r="F1038" s="78"/>
      <c r="G1038" s="79"/>
      <c r="H1038" s="80"/>
    </row>
    <row r="1039" spans="1:8" ht="18.75">
      <c r="A1039" s="70">
        <v>42</v>
      </c>
      <c r="B1039" s="70">
        <v>2</v>
      </c>
      <c r="C1039" s="70">
        <v>11</v>
      </c>
      <c r="D1039" s="71" t="s">
        <v>4730</v>
      </c>
      <c r="E1039" s="72" t="s">
        <v>829</v>
      </c>
      <c r="F1039" s="73" t="str">
        <f t="shared" ref="F1039:F1044" si="80">TEXT(A1039,"00")&amp;TEXT(B1039,"00")&amp;TEXT(C1039,"00")</f>
        <v>420211</v>
      </c>
      <c r="G1039" s="72" t="str">
        <f t="shared" ref="G1039:G1044" si="81">TEXT(F1039,"000000")</f>
        <v>420211</v>
      </c>
      <c r="H1039" s="74" t="s">
        <v>4731</v>
      </c>
    </row>
    <row r="1040" spans="1:8" ht="18.75">
      <c r="A1040" s="70">
        <v>42</v>
      </c>
      <c r="B1040" s="70">
        <v>2</v>
      </c>
      <c r="C1040" s="70">
        <v>12</v>
      </c>
      <c r="D1040" s="71" t="s">
        <v>4732</v>
      </c>
      <c r="E1040" s="72" t="s">
        <v>829</v>
      </c>
      <c r="F1040" s="73" t="str">
        <f t="shared" si="80"/>
        <v>420212</v>
      </c>
      <c r="G1040" s="72" t="str">
        <f t="shared" si="81"/>
        <v>420212</v>
      </c>
      <c r="H1040" s="74" t="s">
        <v>4733</v>
      </c>
    </row>
    <row r="1041" spans="1:8" ht="18.75">
      <c r="A1041" s="70">
        <v>42</v>
      </c>
      <c r="B1041" s="70">
        <v>2</v>
      </c>
      <c r="C1041" s="70">
        <v>13</v>
      </c>
      <c r="D1041" s="71" t="s">
        <v>4734</v>
      </c>
      <c r="E1041" s="72" t="s">
        <v>829</v>
      </c>
      <c r="F1041" s="73" t="str">
        <f t="shared" si="80"/>
        <v>420213</v>
      </c>
      <c r="G1041" s="72" t="str">
        <f t="shared" si="81"/>
        <v>420213</v>
      </c>
      <c r="H1041" s="74" t="s">
        <v>4735</v>
      </c>
    </row>
    <row r="1042" spans="1:8" ht="18.75">
      <c r="A1042" s="70">
        <v>42</v>
      </c>
      <c r="B1042" s="70">
        <v>2</v>
      </c>
      <c r="C1042" s="70">
        <v>14</v>
      </c>
      <c r="D1042" s="71" t="s">
        <v>233</v>
      </c>
      <c r="E1042" s="72" t="s">
        <v>829</v>
      </c>
      <c r="F1042" s="73" t="str">
        <f t="shared" si="80"/>
        <v>420214</v>
      </c>
      <c r="G1042" s="72" t="str">
        <f t="shared" si="81"/>
        <v>420214</v>
      </c>
      <c r="H1042" s="74" t="s">
        <v>4736</v>
      </c>
    </row>
    <row r="1043" spans="1:8" ht="18.75">
      <c r="A1043" s="70">
        <v>42</v>
      </c>
      <c r="B1043" s="70">
        <v>2</v>
      </c>
      <c r="C1043" s="70">
        <v>21</v>
      </c>
      <c r="D1043" s="71" t="s">
        <v>234</v>
      </c>
      <c r="E1043" s="72" t="s">
        <v>829</v>
      </c>
      <c r="F1043" s="73" t="str">
        <f t="shared" si="80"/>
        <v>420221</v>
      </c>
      <c r="G1043" s="72" t="str">
        <f t="shared" si="81"/>
        <v>420221</v>
      </c>
      <c r="H1043" s="74" t="s">
        <v>4737</v>
      </c>
    </row>
    <row r="1044" spans="1:8" ht="18.75">
      <c r="A1044" s="70">
        <v>42</v>
      </c>
      <c r="B1044" s="70">
        <v>2</v>
      </c>
      <c r="C1044" s="70">
        <v>22</v>
      </c>
      <c r="D1044" s="71" t="s">
        <v>4738</v>
      </c>
      <c r="E1044" s="72" t="s">
        <v>829</v>
      </c>
      <c r="F1044" s="73" t="str">
        <f t="shared" si="80"/>
        <v>420222</v>
      </c>
      <c r="G1044" s="72" t="str">
        <f t="shared" si="81"/>
        <v>420222</v>
      </c>
      <c r="H1044" s="74" t="s">
        <v>4739</v>
      </c>
    </row>
    <row r="1045" spans="1:8" ht="18.75">
      <c r="A1045" s="62">
        <v>43</v>
      </c>
      <c r="B1045" s="62">
        <v>0</v>
      </c>
      <c r="C1045" s="62">
        <v>0</v>
      </c>
      <c r="D1045" s="63" t="s">
        <v>2922</v>
      </c>
      <c r="E1045" s="64"/>
      <c r="F1045" s="75"/>
      <c r="G1045" s="76"/>
      <c r="H1045" s="77"/>
    </row>
    <row r="1046" spans="1:8" ht="18.75">
      <c r="A1046" s="66">
        <v>43</v>
      </c>
      <c r="B1046" s="66">
        <v>1</v>
      </c>
      <c r="C1046" s="66">
        <v>0</v>
      </c>
      <c r="D1046" s="67" t="s">
        <v>2881</v>
      </c>
      <c r="E1046" s="68"/>
      <c r="F1046" s="78"/>
      <c r="G1046" s="79"/>
      <c r="H1046" s="80"/>
    </row>
    <row r="1047" spans="1:8" ht="18.75">
      <c r="A1047" s="70">
        <v>43</v>
      </c>
      <c r="B1047" s="70">
        <v>1</v>
      </c>
      <c r="C1047" s="70">
        <v>11</v>
      </c>
      <c r="D1047" s="71" t="s">
        <v>294</v>
      </c>
      <c r="E1047" s="72" t="s">
        <v>829</v>
      </c>
      <c r="F1047" s="73" t="str">
        <f t="shared" ref="F1047:F1073" si="82">TEXT(A1047,"00")&amp;TEXT(B1047,"00")&amp;TEXT(C1047,"00")</f>
        <v>430111</v>
      </c>
      <c r="G1047" s="72" t="str">
        <f t="shared" ref="G1047:G1073" si="83">TEXT(F1047,"000000")</f>
        <v>430111</v>
      </c>
      <c r="H1047" s="74" t="s">
        <v>4740</v>
      </c>
    </row>
    <row r="1048" spans="1:8" ht="18.75">
      <c r="A1048" s="70">
        <v>43</v>
      </c>
      <c r="B1048" s="70">
        <v>1</v>
      </c>
      <c r="C1048" s="70">
        <v>12</v>
      </c>
      <c r="D1048" s="71" t="s">
        <v>129</v>
      </c>
      <c r="E1048" s="72" t="s">
        <v>829</v>
      </c>
      <c r="F1048" s="73" t="str">
        <f t="shared" si="82"/>
        <v>430112</v>
      </c>
      <c r="G1048" s="72" t="str">
        <f t="shared" si="83"/>
        <v>430112</v>
      </c>
      <c r="H1048" s="74" t="s">
        <v>4741</v>
      </c>
    </row>
    <row r="1049" spans="1:8" ht="18.75">
      <c r="A1049" s="70">
        <v>43</v>
      </c>
      <c r="B1049" s="70">
        <v>1</v>
      </c>
      <c r="C1049" s="70">
        <v>13</v>
      </c>
      <c r="D1049" s="71" t="s">
        <v>216</v>
      </c>
      <c r="E1049" s="72" t="s">
        <v>829</v>
      </c>
      <c r="F1049" s="73" t="str">
        <f t="shared" si="82"/>
        <v>430113</v>
      </c>
      <c r="G1049" s="72" t="str">
        <f t="shared" si="83"/>
        <v>430113</v>
      </c>
      <c r="H1049" s="74" t="s">
        <v>4742</v>
      </c>
    </row>
    <row r="1050" spans="1:8" ht="18.75">
      <c r="A1050" s="70">
        <v>43</v>
      </c>
      <c r="B1050" s="70">
        <v>1</v>
      </c>
      <c r="C1050" s="70">
        <v>14</v>
      </c>
      <c r="D1050" s="71" t="s">
        <v>298</v>
      </c>
      <c r="E1050" s="72" t="s">
        <v>829</v>
      </c>
      <c r="F1050" s="73" t="str">
        <f t="shared" si="82"/>
        <v>430114</v>
      </c>
      <c r="G1050" s="72" t="str">
        <f t="shared" si="83"/>
        <v>430114</v>
      </c>
      <c r="H1050" s="74" t="s">
        <v>4743</v>
      </c>
    </row>
    <row r="1051" spans="1:8" ht="18.75">
      <c r="A1051" s="70">
        <v>43</v>
      </c>
      <c r="B1051" s="70">
        <v>1</v>
      </c>
      <c r="C1051" s="70">
        <v>31</v>
      </c>
      <c r="D1051" s="71" t="s">
        <v>229</v>
      </c>
      <c r="E1051" s="72" t="s">
        <v>829</v>
      </c>
      <c r="F1051" s="73" t="str">
        <f t="shared" si="82"/>
        <v>430131</v>
      </c>
      <c r="G1051" s="72" t="str">
        <f t="shared" si="83"/>
        <v>430131</v>
      </c>
      <c r="H1051" s="74" t="s">
        <v>4744</v>
      </c>
    </row>
    <row r="1052" spans="1:8" ht="18.75">
      <c r="A1052" s="70">
        <v>43</v>
      </c>
      <c r="B1052" s="70">
        <v>1</v>
      </c>
      <c r="C1052" s="70">
        <v>36</v>
      </c>
      <c r="D1052" s="71" t="s">
        <v>256</v>
      </c>
      <c r="E1052" s="72" t="s">
        <v>829</v>
      </c>
      <c r="F1052" s="73" t="str">
        <f t="shared" si="82"/>
        <v>430136</v>
      </c>
      <c r="G1052" s="72" t="str">
        <f t="shared" si="83"/>
        <v>430136</v>
      </c>
      <c r="H1052" s="74" t="s">
        <v>4745</v>
      </c>
    </row>
    <row r="1053" spans="1:8" ht="18.75">
      <c r="A1053" s="70">
        <v>43</v>
      </c>
      <c r="B1053" s="70">
        <v>1</v>
      </c>
      <c r="C1053" s="70">
        <v>37</v>
      </c>
      <c r="D1053" s="71" t="s">
        <v>3338</v>
      </c>
      <c r="E1053" s="72" t="s">
        <v>829</v>
      </c>
      <c r="F1053" s="73" t="str">
        <f t="shared" si="82"/>
        <v>430137</v>
      </c>
      <c r="G1053" s="72" t="str">
        <f t="shared" si="83"/>
        <v>430137</v>
      </c>
      <c r="H1053" s="74" t="s">
        <v>4746</v>
      </c>
    </row>
    <row r="1054" spans="1:8" ht="18.75">
      <c r="A1054" s="70">
        <v>43</v>
      </c>
      <c r="B1054" s="70">
        <v>1</v>
      </c>
      <c r="C1054" s="70">
        <v>40</v>
      </c>
      <c r="D1054" s="71" t="s">
        <v>257</v>
      </c>
      <c r="E1054" s="72" t="s">
        <v>829</v>
      </c>
      <c r="F1054" s="73" t="str">
        <f t="shared" si="82"/>
        <v>430140</v>
      </c>
      <c r="G1054" s="72" t="str">
        <f t="shared" si="83"/>
        <v>430140</v>
      </c>
      <c r="H1054" s="74" t="s">
        <v>4747</v>
      </c>
    </row>
    <row r="1055" spans="1:8" ht="18.75">
      <c r="A1055" s="70">
        <v>43</v>
      </c>
      <c r="B1055" s="70">
        <v>1</v>
      </c>
      <c r="C1055" s="70">
        <v>45</v>
      </c>
      <c r="D1055" s="71" t="s">
        <v>258</v>
      </c>
      <c r="E1055" s="72" t="s">
        <v>4748</v>
      </c>
      <c r="F1055" s="73" t="str">
        <f t="shared" si="82"/>
        <v>430145</v>
      </c>
      <c r="G1055" s="72" t="str">
        <f t="shared" si="83"/>
        <v>430145</v>
      </c>
      <c r="H1055" s="74" t="s">
        <v>4749</v>
      </c>
    </row>
    <row r="1056" spans="1:8" ht="18.75">
      <c r="A1056" s="70">
        <v>43</v>
      </c>
      <c r="B1056" s="70">
        <v>1</v>
      </c>
      <c r="C1056" s="70">
        <v>50</v>
      </c>
      <c r="D1056" s="71" t="s">
        <v>235</v>
      </c>
      <c r="E1056" s="72" t="s">
        <v>829</v>
      </c>
      <c r="F1056" s="73" t="str">
        <f t="shared" si="82"/>
        <v>430150</v>
      </c>
      <c r="G1056" s="72" t="str">
        <f t="shared" si="83"/>
        <v>430150</v>
      </c>
      <c r="H1056" s="74" t="s">
        <v>4750</v>
      </c>
    </row>
    <row r="1057" spans="1:8" ht="18.75">
      <c r="A1057" s="70">
        <v>43</v>
      </c>
      <c r="B1057" s="70">
        <v>1</v>
      </c>
      <c r="C1057" s="70">
        <v>54</v>
      </c>
      <c r="D1057" s="71" t="s">
        <v>236</v>
      </c>
      <c r="E1057" s="72" t="s">
        <v>829</v>
      </c>
      <c r="F1057" s="73" t="str">
        <f t="shared" si="82"/>
        <v>430154</v>
      </c>
      <c r="G1057" s="72" t="str">
        <f t="shared" si="83"/>
        <v>430154</v>
      </c>
      <c r="H1057" s="74" t="s">
        <v>4751</v>
      </c>
    </row>
    <row r="1058" spans="1:8" ht="18.75">
      <c r="A1058" s="70">
        <v>43</v>
      </c>
      <c r="B1058" s="70">
        <v>1</v>
      </c>
      <c r="C1058" s="70">
        <v>59</v>
      </c>
      <c r="D1058" s="71" t="s">
        <v>260</v>
      </c>
      <c r="E1058" s="72" t="s">
        <v>829</v>
      </c>
      <c r="F1058" s="73" t="str">
        <f t="shared" si="82"/>
        <v>430159</v>
      </c>
      <c r="G1058" s="72" t="str">
        <f t="shared" si="83"/>
        <v>430159</v>
      </c>
      <c r="H1058" s="74" t="s">
        <v>4752</v>
      </c>
    </row>
    <row r="1059" spans="1:8" ht="18.75">
      <c r="A1059" s="70">
        <v>43</v>
      </c>
      <c r="B1059" s="70">
        <v>1</v>
      </c>
      <c r="C1059" s="70">
        <v>64</v>
      </c>
      <c r="D1059" s="71" t="s">
        <v>753</v>
      </c>
      <c r="E1059" s="72" t="s">
        <v>829</v>
      </c>
      <c r="F1059" s="73" t="str">
        <f t="shared" si="82"/>
        <v>430164</v>
      </c>
      <c r="G1059" s="72" t="str">
        <f t="shared" si="83"/>
        <v>430164</v>
      </c>
      <c r="H1059" s="74" t="s">
        <v>4753</v>
      </c>
    </row>
    <row r="1060" spans="1:8" ht="18.75">
      <c r="A1060" s="70">
        <v>43</v>
      </c>
      <c r="B1060" s="70">
        <v>1</v>
      </c>
      <c r="C1060" s="70">
        <v>68.999999999999901</v>
      </c>
      <c r="D1060" s="71" t="s">
        <v>3339</v>
      </c>
      <c r="E1060" s="72" t="s">
        <v>829</v>
      </c>
      <c r="F1060" s="73" t="str">
        <f t="shared" si="82"/>
        <v>430169</v>
      </c>
      <c r="G1060" s="72" t="str">
        <f t="shared" si="83"/>
        <v>430169</v>
      </c>
      <c r="H1060" s="74" t="s">
        <v>4754</v>
      </c>
    </row>
    <row r="1061" spans="1:8" ht="18.75">
      <c r="A1061" s="70">
        <v>43</v>
      </c>
      <c r="B1061" s="70">
        <v>1</v>
      </c>
      <c r="C1061" s="70">
        <v>74</v>
      </c>
      <c r="D1061" s="71" t="s">
        <v>3340</v>
      </c>
      <c r="E1061" s="72" t="s">
        <v>829</v>
      </c>
      <c r="F1061" s="73" t="str">
        <f t="shared" si="82"/>
        <v>430174</v>
      </c>
      <c r="G1061" s="72" t="str">
        <f t="shared" si="83"/>
        <v>430174</v>
      </c>
      <c r="H1061" s="74" t="s">
        <v>4755</v>
      </c>
    </row>
    <row r="1062" spans="1:8" ht="18.75">
      <c r="A1062" s="70">
        <v>43</v>
      </c>
      <c r="B1062" s="70">
        <v>1</v>
      </c>
      <c r="C1062" s="70">
        <v>79</v>
      </c>
      <c r="D1062" s="71" t="s">
        <v>3341</v>
      </c>
      <c r="E1062" s="72" t="s">
        <v>829</v>
      </c>
      <c r="F1062" s="73" t="str">
        <f t="shared" si="82"/>
        <v>430179</v>
      </c>
      <c r="G1062" s="72" t="str">
        <f t="shared" si="83"/>
        <v>430179</v>
      </c>
      <c r="H1062" s="74" t="s">
        <v>4756</v>
      </c>
    </row>
    <row r="1063" spans="1:8" ht="18.75">
      <c r="A1063" s="70">
        <v>43</v>
      </c>
      <c r="B1063" s="70">
        <v>1</v>
      </c>
      <c r="C1063" s="70">
        <v>84</v>
      </c>
      <c r="D1063" s="71" t="s">
        <v>3744</v>
      </c>
      <c r="E1063" s="72" t="s">
        <v>829</v>
      </c>
      <c r="F1063" s="73" t="str">
        <f t="shared" si="82"/>
        <v>430184</v>
      </c>
      <c r="G1063" s="72" t="str">
        <f t="shared" si="83"/>
        <v>430184</v>
      </c>
      <c r="H1063" s="74" t="s">
        <v>4757</v>
      </c>
    </row>
    <row r="1064" spans="1:8" ht="18.75">
      <c r="A1064" s="70">
        <v>43</v>
      </c>
      <c r="B1064" s="70">
        <v>1</v>
      </c>
      <c r="C1064" s="70">
        <v>88</v>
      </c>
      <c r="D1064" s="71" t="s">
        <v>3745</v>
      </c>
      <c r="E1064" s="72" t="s">
        <v>829</v>
      </c>
      <c r="F1064" s="73" t="str">
        <f t="shared" si="82"/>
        <v>430188</v>
      </c>
      <c r="G1064" s="72" t="str">
        <f t="shared" si="83"/>
        <v>430188</v>
      </c>
      <c r="H1064" s="74" t="s">
        <v>4758</v>
      </c>
    </row>
    <row r="1065" spans="1:8" ht="18.75">
      <c r="A1065" s="70">
        <v>43</v>
      </c>
      <c r="B1065" s="70">
        <v>1</v>
      </c>
      <c r="C1065" s="70">
        <v>93</v>
      </c>
      <c r="D1065" s="71" t="s">
        <v>244</v>
      </c>
      <c r="E1065" s="72" t="s">
        <v>829</v>
      </c>
      <c r="F1065" s="73" t="str">
        <f t="shared" si="82"/>
        <v>430193</v>
      </c>
      <c r="G1065" s="72" t="str">
        <f t="shared" si="83"/>
        <v>430193</v>
      </c>
      <c r="H1065" s="74" t="s">
        <v>4759</v>
      </c>
    </row>
    <row r="1066" spans="1:8" ht="18.75">
      <c r="A1066" s="70">
        <v>43</v>
      </c>
      <c r="B1066" s="70">
        <v>1</v>
      </c>
      <c r="C1066" s="70">
        <v>94</v>
      </c>
      <c r="D1066" s="71" t="s">
        <v>3568</v>
      </c>
      <c r="E1066" s="72" t="s">
        <v>829</v>
      </c>
      <c r="F1066" s="73" t="str">
        <f t="shared" si="82"/>
        <v>430194</v>
      </c>
      <c r="G1066" s="72" t="str">
        <f t="shared" si="83"/>
        <v>430194</v>
      </c>
      <c r="H1066" s="74" t="s">
        <v>4760</v>
      </c>
    </row>
    <row r="1067" spans="1:8" ht="18.75">
      <c r="A1067" s="70">
        <v>43</v>
      </c>
      <c r="B1067" s="70">
        <v>1</v>
      </c>
      <c r="C1067" s="70">
        <v>98</v>
      </c>
      <c r="D1067" s="71" t="s">
        <v>329</v>
      </c>
      <c r="E1067" s="72" t="s">
        <v>4406</v>
      </c>
      <c r="F1067" s="73" t="str">
        <f t="shared" si="82"/>
        <v>430198</v>
      </c>
      <c r="G1067" s="72" t="str">
        <f t="shared" si="83"/>
        <v>430198</v>
      </c>
      <c r="H1067" s="74" t="s">
        <v>4761</v>
      </c>
    </row>
    <row r="1068" spans="1:8" ht="18.75">
      <c r="A1068" s="70">
        <v>43</v>
      </c>
      <c r="B1068" s="70">
        <v>1</v>
      </c>
      <c r="C1068" s="70">
        <v>99</v>
      </c>
      <c r="D1068" s="71" t="s">
        <v>5740</v>
      </c>
      <c r="E1068" s="72" t="s">
        <v>829</v>
      </c>
      <c r="F1068" s="73" t="str">
        <f t="shared" si="82"/>
        <v>430199</v>
      </c>
      <c r="G1068" s="72" t="str">
        <f t="shared" si="83"/>
        <v>430199</v>
      </c>
      <c r="H1068" s="74" t="s">
        <v>4762</v>
      </c>
    </row>
    <row r="1069" spans="1:8" ht="18.75">
      <c r="A1069" s="70">
        <v>43</v>
      </c>
      <c r="B1069" s="70">
        <v>1</v>
      </c>
      <c r="C1069" s="70">
        <v>97</v>
      </c>
      <c r="D1069" s="71" t="s">
        <v>3824</v>
      </c>
      <c r="E1069" s="72" t="s">
        <v>4049</v>
      </c>
      <c r="F1069" s="73" t="str">
        <f t="shared" si="82"/>
        <v>430197</v>
      </c>
      <c r="G1069" s="72" t="str">
        <f t="shared" si="83"/>
        <v>430197</v>
      </c>
      <c r="H1069" s="74" t="s">
        <v>4763</v>
      </c>
    </row>
    <row r="1070" spans="1:8" ht="18.75">
      <c r="A1070" s="70">
        <v>43</v>
      </c>
      <c r="B1070" s="70">
        <v>1</v>
      </c>
      <c r="C1070" s="70">
        <v>92</v>
      </c>
      <c r="D1070" s="71" t="s">
        <v>4764</v>
      </c>
      <c r="E1070" s="72" t="s">
        <v>829</v>
      </c>
      <c r="F1070" s="73" t="str">
        <f t="shared" si="82"/>
        <v>430192</v>
      </c>
      <c r="G1070" s="72" t="str">
        <f t="shared" si="83"/>
        <v>430192</v>
      </c>
      <c r="H1070" s="74" t="s">
        <v>5544</v>
      </c>
    </row>
    <row r="1071" spans="1:8" ht="18.75">
      <c r="A1071" s="70">
        <v>43</v>
      </c>
      <c r="B1071" s="70">
        <v>1</v>
      </c>
      <c r="C1071" s="70">
        <v>91</v>
      </c>
      <c r="D1071" s="71" t="s">
        <v>4765</v>
      </c>
      <c r="E1071" s="72" t="s">
        <v>829</v>
      </c>
      <c r="F1071" s="73" t="str">
        <f t="shared" si="82"/>
        <v>430191</v>
      </c>
      <c r="G1071" s="72" t="str">
        <f t="shared" si="83"/>
        <v>430191</v>
      </c>
      <c r="H1071" s="74" t="s">
        <v>5545</v>
      </c>
    </row>
    <row r="1072" spans="1:8" ht="18.75">
      <c r="A1072" s="70">
        <v>43</v>
      </c>
      <c r="B1072" s="70">
        <v>1</v>
      </c>
      <c r="C1072" s="70">
        <v>81</v>
      </c>
      <c r="D1072" s="71" t="s">
        <v>4766</v>
      </c>
      <c r="E1072" s="72" t="s">
        <v>829</v>
      </c>
      <c r="F1072" s="73" t="str">
        <f t="shared" si="82"/>
        <v>430181</v>
      </c>
      <c r="G1072" s="72" t="str">
        <f t="shared" si="83"/>
        <v>430181</v>
      </c>
      <c r="H1072" s="74" t="s">
        <v>5546</v>
      </c>
    </row>
    <row r="1073" spans="1:8" ht="18.75">
      <c r="A1073" s="70">
        <v>43</v>
      </c>
      <c r="B1073" s="70">
        <v>1</v>
      </c>
      <c r="C1073" s="70">
        <v>82</v>
      </c>
      <c r="D1073" s="71" t="s">
        <v>5876</v>
      </c>
      <c r="E1073" s="72" t="s">
        <v>829</v>
      </c>
      <c r="F1073" s="73" t="str">
        <f t="shared" si="82"/>
        <v>430182</v>
      </c>
      <c r="G1073" s="72" t="str">
        <f t="shared" si="83"/>
        <v>430182</v>
      </c>
      <c r="H1073" s="74" t="s">
        <v>5877</v>
      </c>
    </row>
    <row r="1074" spans="1:8" ht="18.75">
      <c r="A1074" s="62">
        <v>44</v>
      </c>
      <c r="B1074" s="62">
        <v>0</v>
      </c>
      <c r="C1074" s="62">
        <v>0</v>
      </c>
      <c r="D1074" s="63" t="s">
        <v>2882</v>
      </c>
      <c r="E1074" s="64"/>
      <c r="F1074" s="75"/>
      <c r="G1074" s="76"/>
      <c r="H1074" s="77"/>
    </row>
    <row r="1075" spans="1:8" ht="18.75">
      <c r="A1075" s="66">
        <v>44</v>
      </c>
      <c r="B1075" s="66">
        <v>1</v>
      </c>
      <c r="C1075" s="66">
        <v>0</v>
      </c>
      <c r="D1075" s="67" t="s">
        <v>2883</v>
      </c>
      <c r="E1075" s="68"/>
      <c r="F1075" s="78"/>
      <c r="G1075" s="79"/>
      <c r="H1075" s="80"/>
    </row>
    <row r="1076" spans="1:8" ht="18.75">
      <c r="A1076" s="70">
        <v>44</v>
      </c>
      <c r="B1076" s="70">
        <v>1</v>
      </c>
      <c r="C1076" s="70">
        <v>11</v>
      </c>
      <c r="D1076" s="71" t="s">
        <v>264</v>
      </c>
      <c r="E1076" s="72" t="s">
        <v>829</v>
      </c>
      <c r="F1076" s="73" t="str">
        <f>TEXT(A1076,"00")&amp;TEXT(B1076,"00")&amp;TEXT(C1076,"00")</f>
        <v>440111</v>
      </c>
      <c r="G1076" s="72" t="str">
        <f>TEXT(F1076,"000000")</f>
        <v>440111</v>
      </c>
      <c r="H1076" s="74" t="s">
        <v>4767</v>
      </c>
    </row>
    <row r="1077" spans="1:8" ht="18.75">
      <c r="A1077" s="62">
        <v>46</v>
      </c>
      <c r="B1077" s="62">
        <v>0</v>
      </c>
      <c r="C1077" s="62">
        <v>0</v>
      </c>
      <c r="D1077" s="63" t="s">
        <v>2884</v>
      </c>
      <c r="E1077" s="64"/>
      <c r="F1077" s="75"/>
      <c r="G1077" s="76"/>
      <c r="H1077" s="77"/>
    </row>
    <row r="1078" spans="1:8" ht="18.75">
      <c r="A1078" s="66">
        <v>46</v>
      </c>
      <c r="B1078" s="66">
        <v>1</v>
      </c>
      <c r="C1078" s="66">
        <v>0</v>
      </c>
      <c r="D1078" s="67" t="s">
        <v>684</v>
      </c>
      <c r="E1078" s="68"/>
      <c r="F1078" s="78"/>
      <c r="G1078" s="79"/>
      <c r="H1078" s="80"/>
    </row>
    <row r="1079" spans="1:8" ht="18.75">
      <c r="A1079" s="70">
        <v>46</v>
      </c>
      <c r="B1079" s="70">
        <v>1</v>
      </c>
      <c r="C1079" s="70">
        <v>11</v>
      </c>
      <c r="D1079" s="71" t="s">
        <v>684</v>
      </c>
      <c r="E1079" s="72" t="s">
        <v>829</v>
      </c>
      <c r="F1079" s="73" t="str">
        <f>TEXT(A1079,"00")&amp;TEXT(B1079,"00")&amp;TEXT(C1079,"00")</f>
        <v>460111</v>
      </c>
      <c r="G1079" s="72" t="str">
        <f>TEXT(F1079,"000000")</f>
        <v>460111</v>
      </c>
      <c r="H1079" s="74" t="s">
        <v>5547</v>
      </c>
    </row>
    <row r="1080" spans="1:8" ht="18.75">
      <c r="A1080" s="66">
        <v>46</v>
      </c>
      <c r="B1080" s="66">
        <v>2</v>
      </c>
      <c r="C1080" s="66">
        <v>0</v>
      </c>
      <c r="D1080" s="67" t="s">
        <v>685</v>
      </c>
      <c r="E1080" s="68"/>
      <c r="F1080" s="78"/>
      <c r="G1080" s="79"/>
      <c r="H1080" s="80"/>
    </row>
    <row r="1081" spans="1:8" ht="18.75">
      <c r="A1081" s="70">
        <v>46</v>
      </c>
      <c r="B1081" s="70">
        <v>2</v>
      </c>
      <c r="C1081" s="70">
        <v>11</v>
      </c>
      <c r="D1081" s="71" t="s">
        <v>685</v>
      </c>
      <c r="E1081" s="72" t="s">
        <v>4406</v>
      </c>
      <c r="F1081" s="73" t="str">
        <f>TEXT(A1081,"00")&amp;TEXT(B1081,"00")&amp;TEXT(C1081,"00")</f>
        <v>460211</v>
      </c>
      <c r="G1081" s="72" t="str">
        <f>TEXT(F1081,"000000")</f>
        <v>460211</v>
      </c>
      <c r="H1081" s="74" t="s">
        <v>4768</v>
      </c>
    </row>
    <row r="1082" spans="1:8" ht="18.75">
      <c r="A1082" s="62">
        <v>48</v>
      </c>
      <c r="B1082" s="62">
        <v>0</v>
      </c>
      <c r="C1082" s="62">
        <v>0</v>
      </c>
      <c r="D1082" s="63" t="s">
        <v>2885</v>
      </c>
      <c r="E1082" s="64"/>
      <c r="F1082" s="75"/>
      <c r="G1082" s="76"/>
      <c r="H1082" s="77"/>
    </row>
    <row r="1083" spans="1:8" ht="18.75">
      <c r="A1083" s="66">
        <v>48</v>
      </c>
      <c r="B1083" s="66">
        <v>1</v>
      </c>
      <c r="C1083" s="66">
        <v>0</v>
      </c>
      <c r="D1083" s="67" t="s">
        <v>2993</v>
      </c>
      <c r="E1083" s="68"/>
      <c r="F1083" s="78"/>
      <c r="G1083" s="79"/>
      <c r="H1083" s="80"/>
    </row>
    <row r="1084" spans="1:8" ht="18.75">
      <c r="A1084" s="70">
        <v>48</v>
      </c>
      <c r="B1084" s="70">
        <v>1</v>
      </c>
      <c r="C1084" s="70">
        <v>11</v>
      </c>
      <c r="D1084" s="71" t="s">
        <v>697</v>
      </c>
      <c r="E1084" s="72" t="s">
        <v>829</v>
      </c>
      <c r="F1084" s="73" t="str">
        <f>TEXT(A1084,"00")&amp;TEXT(B1084,"00")&amp;TEXT(C1084,"00")</f>
        <v>480111</v>
      </c>
      <c r="G1084" s="72" t="str">
        <f>TEXT(F1084,"000000")</f>
        <v>480111</v>
      </c>
      <c r="H1084" s="74" t="s">
        <v>4769</v>
      </c>
    </row>
    <row r="1085" spans="1:8" ht="18.75">
      <c r="A1085" s="70">
        <v>48</v>
      </c>
      <c r="B1085" s="70">
        <v>1</v>
      </c>
      <c r="C1085" s="70">
        <v>12</v>
      </c>
      <c r="D1085" s="71" t="s">
        <v>343</v>
      </c>
      <c r="E1085" s="72" t="s">
        <v>829</v>
      </c>
      <c r="F1085" s="73" t="str">
        <f>TEXT(A1085,"00")&amp;TEXT(B1085,"00")&amp;TEXT(C1085,"00")</f>
        <v>480112</v>
      </c>
      <c r="G1085" s="72" t="str">
        <f>TEXT(F1085,"000000")</f>
        <v>480112</v>
      </c>
      <c r="H1085" s="74" t="s">
        <v>4770</v>
      </c>
    </row>
    <row r="1086" spans="1:8" ht="18.75">
      <c r="A1086" s="70">
        <v>48</v>
      </c>
      <c r="B1086" s="70">
        <v>1</v>
      </c>
      <c r="C1086" s="70">
        <v>21</v>
      </c>
      <c r="D1086" s="71" t="s">
        <v>745</v>
      </c>
      <c r="E1086" s="72" t="s">
        <v>829</v>
      </c>
      <c r="F1086" s="73" t="str">
        <f>TEXT(A1086,"00")&amp;TEXT(B1086,"00")&amp;TEXT(C1086,"00")</f>
        <v>480121</v>
      </c>
      <c r="G1086" s="72" t="str">
        <f>TEXT(F1086,"000000")</f>
        <v>480121</v>
      </c>
      <c r="H1086" s="74" t="s">
        <v>4771</v>
      </c>
    </row>
    <row r="1087" spans="1:8" ht="18.75">
      <c r="A1087" s="70">
        <v>48</v>
      </c>
      <c r="B1087" s="70">
        <v>1</v>
      </c>
      <c r="C1087" s="70">
        <v>22</v>
      </c>
      <c r="D1087" s="71" t="s">
        <v>5741</v>
      </c>
      <c r="E1087" s="72" t="s">
        <v>829</v>
      </c>
      <c r="F1087" s="73" t="str">
        <f>TEXT(A1087,"00")&amp;TEXT(B1087,"00")&amp;TEXT(C1087,"00")</f>
        <v>480122</v>
      </c>
      <c r="G1087" s="72" t="str">
        <f>TEXT(F1087,"000000")</f>
        <v>480122</v>
      </c>
      <c r="H1087" s="74" t="s">
        <v>5742</v>
      </c>
    </row>
    <row r="1088" spans="1:8" ht="18.75">
      <c r="A1088" s="62">
        <v>51</v>
      </c>
      <c r="B1088" s="62">
        <v>0</v>
      </c>
      <c r="C1088" s="62">
        <v>0</v>
      </c>
      <c r="D1088" s="63" t="s">
        <v>2886</v>
      </c>
      <c r="E1088" s="64"/>
      <c r="F1088" s="75"/>
      <c r="G1088" s="76"/>
      <c r="H1088" s="77"/>
    </row>
    <row r="1089" spans="1:8" ht="18.75">
      <c r="A1089" s="66">
        <v>51</v>
      </c>
      <c r="B1089" s="66">
        <v>1</v>
      </c>
      <c r="C1089" s="66">
        <v>0</v>
      </c>
      <c r="D1089" s="67" t="s">
        <v>2887</v>
      </c>
      <c r="E1089" s="68"/>
      <c r="F1089" s="78"/>
      <c r="G1089" s="79"/>
      <c r="H1089" s="80"/>
    </row>
    <row r="1090" spans="1:8" ht="18.75">
      <c r="A1090" s="70">
        <v>51</v>
      </c>
      <c r="B1090" s="70">
        <v>1</v>
      </c>
      <c r="C1090" s="70">
        <v>11</v>
      </c>
      <c r="D1090" s="71" t="s">
        <v>6002</v>
      </c>
      <c r="E1090" s="72" t="s">
        <v>829</v>
      </c>
      <c r="F1090" s="73" t="str">
        <f t="shared" ref="F1090:F1098" si="84">TEXT(A1090,"00")&amp;TEXT(B1090,"00")&amp;TEXT(C1090,"00")</f>
        <v>510111</v>
      </c>
      <c r="G1090" s="72" t="str">
        <f t="shared" ref="G1090:G1098" si="85">TEXT(F1090,"000000")</f>
        <v>510111</v>
      </c>
      <c r="H1090" s="74" t="s">
        <v>4772</v>
      </c>
    </row>
    <row r="1091" spans="1:8" ht="18.75">
      <c r="A1091" s="70">
        <v>51</v>
      </c>
      <c r="B1091" s="70">
        <v>1</v>
      </c>
      <c r="C1091" s="70">
        <v>12</v>
      </c>
      <c r="D1091" s="71" t="s">
        <v>114</v>
      </c>
      <c r="E1091" s="72" t="s">
        <v>829</v>
      </c>
      <c r="F1091" s="73" t="str">
        <f t="shared" si="84"/>
        <v>510112</v>
      </c>
      <c r="G1091" s="72" t="str">
        <f t="shared" si="85"/>
        <v>510112</v>
      </c>
      <c r="H1091" s="74" t="s">
        <v>4773</v>
      </c>
    </row>
    <row r="1092" spans="1:8" ht="18.75">
      <c r="A1092" s="70">
        <v>51</v>
      </c>
      <c r="B1092" s="70">
        <v>1</v>
      </c>
      <c r="C1092" s="70">
        <v>13</v>
      </c>
      <c r="D1092" s="71" t="s">
        <v>115</v>
      </c>
      <c r="E1092" s="72" t="s">
        <v>829</v>
      </c>
      <c r="F1092" s="73" t="str">
        <f t="shared" si="84"/>
        <v>510113</v>
      </c>
      <c r="G1092" s="72" t="str">
        <f t="shared" si="85"/>
        <v>510113</v>
      </c>
      <c r="H1092" s="74" t="s">
        <v>4774</v>
      </c>
    </row>
    <row r="1093" spans="1:8" ht="18.75">
      <c r="A1093" s="70">
        <v>51</v>
      </c>
      <c r="B1093" s="70">
        <v>1</v>
      </c>
      <c r="C1093" s="70">
        <v>21</v>
      </c>
      <c r="D1093" s="71" t="s">
        <v>6003</v>
      </c>
      <c r="E1093" s="72" t="s">
        <v>829</v>
      </c>
      <c r="F1093" s="73" t="str">
        <f t="shared" si="84"/>
        <v>510121</v>
      </c>
      <c r="G1093" s="72" t="str">
        <f t="shared" si="85"/>
        <v>510121</v>
      </c>
      <c r="H1093" s="74" t="s">
        <v>4775</v>
      </c>
    </row>
    <row r="1094" spans="1:8" ht="18.75">
      <c r="A1094" s="70">
        <v>51</v>
      </c>
      <c r="B1094" s="70">
        <v>1</v>
      </c>
      <c r="C1094" s="70">
        <v>22</v>
      </c>
      <c r="D1094" s="71" t="s">
        <v>6004</v>
      </c>
      <c r="E1094" s="72" t="s">
        <v>829</v>
      </c>
      <c r="F1094" s="73" t="str">
        <f t="shared" si="84"/>
        <v>510122</v>
      </c>
      <c r="G1094" s="72" t="str">
        <f t="shared" si="85"/>
        <v>510122</v>
      </c>
      <c r="H1094" s="74" t="s">
        <v>4776</v>
      </c>
    </row>
    <row r="1095" spans="1:8" ht="18.75">
      <c r="A1095" s="70">
        <v>51</v>
      </c>
      <c r="B1095" s="70">
        <v>1</v>
      </c>
      <c r="C1095" s="70">
        <v>23</v>
      </c>
      <c r="D1095" s="71" t="s">
        <v>5548</v>
      </c>
      <c r="E1095" s="72" t="s">
        <v>829</v>
      </c>
      <c r="F1095" s="73" t="str">
        <f t="shared" si="84"/>
        <v>510123</v>
      </c>
      <c r="G1095" s="72" t="str">
        <f t="shared" si="85"/>
        <v>510123</v>
      </c>
      <c r="H1095" s="74" t="s">
        <v>4777</v>
      </c>
    </row>
    <row r="1096" spans="1:8" ht="18.75">
      <c r="A1096" s="70">
        <v>51</v>
      </c>
      <c r="B1096" s="70">
        <v>1</v>
      </c>
      <c r="C1096" s="70">
        <v>24</v>
      </c>
      <c r="D1096" s="71" t="s">
        <v>6005</v>
      </c>
      <c r="E1096" s="72" t="s">
        <v>829</v>
      </c>
      <c r="F1096" s="73" t="str">
        <f t="shared" si="84"/>
        <v>510124</v>
      </c>
      <c r="G1096" s="72" t="str">
        <f t="shared" si="85"/>
        <v>510124</v>
      </c>
      <c r="H1096" s="74" t="s">
        <v>5549</v>
      </c>
    </row>
    <row r="1097" spans="1:8" ht="18.75">
      <c r="A1097" s="70">
        <v>51</v>
      </c>
      <c r="B1097" s="70">
        <v>1</v>
      </c>
      <c r="C1097" s="70">
        <v>25</v>
      </c>
      <c r="D1097" s="71" t="s">
        <v>6006</v>
      </c>
      <c r="E1097" s="72" t="s">
        <v>829</v>
      </c>
      <c r="F1097" s="73" t="str">
        <f t="shared" si="84"/>
        <v>510125</v>
      </c>
      <c r="G1097" s="72" t="str">
        <f t="shared" si="85"/>
        <v>510125</v>
      </c>
      <c r="H1097" s="74" t="s">
        <v>6007</v>
      </c>
    </row>
    <row r="1098" spans="1:8" ht="18.75">
      <c r="A1098" s="70">
        <v>51</v>
      </c>
      <c r="B1098" s="70">
        <v>1</v>
      </c>
      <c r="C1098" s="70">
        <v>26</v>
      </c>
      <c r="D1098" s="71" t="s">
        <v>6008</v>
      </c>
      <c r="E1098" s="72" t="s">
        <v>829</v>
      </c>
      <c r="F1098" s="73" t="str">
        <f t="shared" si="84"/>
        <v>510126</v>
      </c>
      <c r="G1098" s="72" t="str">
        <f t="shared" si="85"/>
        <v>510126</v>
      </c>
      <c r="H1098" s="74" t="s">
        <v>6009</v>
      </c>
    </row>
    <row r="1099" spans="1:8" ht="18.75">
      <c r="A1099" s="66">
        <v>51</v>
      </c>
      <c r="B1099" s="66">
        <v>2</v>
      </c>
      <c r="C1099" s="66">
        <v>0</v>
      </c>
      <c r="D1099" s="67" t="s">
        <v>2994</v>
      </c>
      <c r="E1099" s="68"/>
      <c r="F1099" s="78"/>
      <c r="G1099" s="79"/>
      <c r="H1099" s="80"/>
    </row>
    <row r="1100" spans="1:8" ht="18.75">
      <c r="A1100" s="70">
        <v>51</v>
      </c>
      <c r="B1100" s="70">
        <v>2</v>
      </c>
      <c r="C1100" s="70">
        <v>11</v>
      </c>
      <c r="D1100" s="71" t="s">
        <v>3610</v>
      </c>
      <c r="E1100" s="72" t="s">
        <v>829</v>
      </c>
      <c r="F1100" s="73" t="str">
        <f t="shared" ref="F1100:F1114" si="86">TEXT(A1100,"00")&amp;TEXT(B1100,"00")&amp;TEXT(C1100,"00")</f>
        <v>510211</v>
      </c>
      <c r="G1100" s="72" t="str">
        <f t="shared" ref="G1100:G1114" si="87">TEXT(F1100,"000000")</f>
        <v>510211</v>
      </c>
      <c r="H1100" s="74" t="s">
        <v>4778</v>
      </c>
    </row>
    <row r="1101" spans="1:8" ht="18.75">
      <c r="A1101" s="70">
        <v>51</v>
      </c>
      <c r="B1101" s="70">
        <v>2</v>
      </c>
      <c r="C1101" s="70">
        <v>12</v>
      </c>
      <c r="D1101" s="71" t="s">
        <v>3476</v>
      </c>
      <c r="E1101" s="72" t="s">
        <v>829</v>
      </c>
      <c r="F1101" s="73" t="str">
        <f t="shared" si="86"/>
        <v>510212</v>
      </c>
      <c r="G1101" s="72" t="str">
        <f t="shared" si="87"/>
        <v>510212</v>
      </c>
      <c r="H1101" s="74" t="s">
        <v>4779</v>
      </c>
    </row>
    <row r="1102" spans="1:8" ht="18.75">
      <c r="A1102" s="70">
        <v>51</v>
      </c>
      <c r="B1102" s="70">
        <v>2</v>
      </c>
      <c r="C1102" s="70">
        <v>13</v>
      </c>
      <c r="D1102" s="71" t="s">
        <v>3480</v>
      </c>
      <c r="E1102" s="72" t="s">
        <v>829</v>
      </c>
      <c r="F1102" s="73" t="str">
        <f t="shared" si="86"/>
        <v>510213</v>
      </c>
      <c r="G1102" s="72" t="str">
        <f t="shared" si="87"/>
        <v>510213</v>
      </c>
      <c r="H1102" s="74" t="s">
        <v>4780</v>
      </c>
    </row>
    <row r="1103" spans="1:8" ht="18.75">
      <c r="A1103" s="70">
        <v>51</v>
      </c>
      <c r="B1103" s="70">
        <v>2</v>
      </c>
      <c r="C1103" s="70">
        <v>14</v>
      </c>
      <c r="D1103" s="71" t="s">
        <v>3477</v>
      </c>
      <c r="E1103" s="72" t="s">
        <v>829</v>
      </c>
      <c r="F1103" s="73" t="str">
        <f t="shared" si="86"/>
        <v>510214</v>
      </c>
      <c r="G1103" s="72" t="str">
        <f t="shared" si="87"/>
        <v>510214</v>
      </c>
      <c r="H1103" s="74" t="s">
        <v>4781</v>
      </c>
    </row>
    <row r="1104" spans="1:8" ht="18.75">
      <c r="A1104" s="70">
        <v>51</v>
      </c>
      <c r="B1104" s="70">
        <v>2</v>
      </c>
      <c r="C1104" s="70">
        <v>15</v>
      </c>
      <c r="D1104" s="71" t="s">
        <v>3479</v>
      </c>
      <c r="E1104" s="72" t="s">
        <v>829</v>
      </c>
      <c r="F1104" s="73" t="str">
        <f t="shared" si="86"/>
        <v>510215</v>
      </c>
      <c r="G1104" s="72" t="str">
        <f t="shared" si="87"/>
        <v>510215</v>
      </c>
      <c r="H1104" s="74" t="s">
        <v>4782</v>
      </c>
    </row>
    <row r="1105" spans="1:8" ht="18.75">
      <c r="A1105" s="70">
        <v>51</v>
      </c>
      <c r="B1105" s="70">
        <v>2</v>
      </c>
      <c r="C1105" s="70">
        <v>20</v>
      </c>
      <c r="D1105" s="71" t="s">
        <v>6010</v>
      </c>
      <c r="E1105" s="72" t="s">
        <v>829</v>
      </c>
      <c r="F1105" s="73" t="str">
        <f t="shared" si="86"/>
        <v>510220</v>
      </c>
      <c r="G1105" s="72" t="str">
        <f t="shared" si="87"/>
        <v>510220</v>
      </c>
      <c r="H1105" s="74" t="s">
        <v>4785</v>
      </c>
    </row>
    <row r="1106" spans="1:8" ht="18.75">
      <c r="A1106" s="70">
        <v>51</v>
      </c>
      <c r="B1106" s="70">
        <v>2</v>
      </c>
      <c r="C1106" s="70">
        <v>21</v>
      </c>
      <c r="D1106" s="71" t="s">
        <v>6011</v>
      </c>
      <c r="E1106" s="72" t="s">
        <v>829</v>
      </c>
      <c r="F1106" s="73" t="str">
        <f t="shared" si="86"/>
        <v>510221</v>
      </c>
      <c r="G1106" s="72" t="str">
        <f t="shared" si="87"/>
        <v>510221</v>
      </c>
      <c r="H1106" s="74" t="s">
        <v>4786</v>
      </c>
    </row>
    <row r="1107" spans="1:8" ht="18.75">
      <c r="A1107" s="70">
        <v>51</v>
      </c>
      <c r="B1107" s="70">
        <v>2</v>
      </c>
      <c r="C1107" s="70">
        <v>19</v>
      </c>
      <c r="D1107" s="71" t="s">
        <v>3481</v>
      </c>
      <c r="E1107" s="72" t="s">
        <v>829</v>
      </c>
      <c r="F1107" s="73" t="str">
        <f t="shared" si="86"/>
        <v>510219</v>
      </c>
      <c r="G1107" s="72" t="str">
        <f t="shared" si="87"/>
        <v>510219</v>
      </c>
      <c r="H1107" s="74" t="s">
        <v>4787</v>
      </c>
    </row>
    <row r="1108" spans="1:8" ht="18.75">
      <c r="A1108" s="70">
        <v>51</v>
      </c>
      <c r="B1108" s="70">
        <v>2</v>
      </c>
      <c r="C1108" s="70">
        <v>18</v>
      </c>
      <c r="D1108" s="71" t="s">
        <v>3478</v>
      </c>
      <c r="E1108" s="72" t="s">
        <v>829</v>
      </c>
      <c r="F1108" s="73" t="str">
        <f t="shared" si="86"/>
        <v>510218</v>
      </c>
      <c r="G1108" s="72" t="str">
        <f t="shared" si="87"/>
        <v>510218</v>
      </c>
      <c r="H1108" s="74" t="s">
        <v>4788</v>
      </c>
    </row>
    <row r="1109" spans="1:8" ht="18.75">
      <c r="A1109" s="70">
        <v>51</v>
      </c>
      <c r="B1109" s="70">
        <v>2</v>
      </c>
      <c r="C1109" s="70">
        <v>22</v>
      </c>
      <c r="D1109" s="71" t="s">
        <v>3752</v>
      </c>
      <c r="E1109" s="72" t="s">
        <v>829</v>
      </c>
      <c r="F1109" s="73" t="str">
        <f t="shared" si="86"/>
        <v>510222</v>
      </c>
      <c r="G1109" s="72" t="str">
        <f t="shared" si="87"/>
        <v>510222</v>
      </c>
      <c r="H1109" s="74" t="s">
        <v>4789</v>
      </c>
    </row>
    <row r="1110" spans="1:8" ht="18.75">
      <c r="A1110" s="70">
        <v>51</v>
      </c>
      <c r="B1110" s="70">
        <v>2</v>
      </c>
      <c r="C1110" s="70">
        <v>23</v>
      </c>
      <c r="D1110" s="71" t="s">
        <v>5440</v>
      </c>
      <c r="E1110" s="72" t="s">
        <v>829</v>
      </c>
      <c r="F1110" s="73" t="str">
        <f t="shared" si="86"/>
        <v>510223</v>
      </c>
      <c r="G1110" s="72" t="str">
        <f t="shared" si="87"/>
        <v>510223</v>
      </c>
      <c r="H1110" s="74" t="s">
        <v>5550</v>
      </c>
    </row>
    <row r="1111" spans="1:8" ht="18.75">
      <c r="A1111" s="70">
        <v>51</v>
      </c>
      <c r="B1111" s="70">
        <v>2</v>
      </c>
      <c r="C1111" s="70">
        <v>24</v>
      </c>
      <c r="D1111" s="71" t="s">
        <v>3611</v>
      </c>
      <c r="E1111" s="72" t="s">
        <v>829</v>
      </c>
      <c r="F1111" s="73" t="str">
        <f t="shared" si="86"/>
        <v>510224</v>
      </c>
      <c r="G1111" s="72" t="str">
        <f t="shared" si="87"/>
        <v>510224</v>
      </c>
      <c r="H1111" s="74" t="s">
        <v>5551</v>
      </c>
    </row>
    <row r="1112" spans="1:8" ht="18.75">
      <c r="A1112" s="70">
        <v>51</v>
      </c>
      <c r="B1112" s="70">
        <v>2</v>
      </c>
      <c r="C1112" s="70">
        <v>16</v>
      </c>
      <c r="D1112" s="71" t="s">
        <v>3613</v>
      </c>
      <c r="E1112" s="72" t="s">
        <v>829</v>
      </c>
      <c r="F1112" s="73" t="str">
        <f t="shared" si="86"/>
        <v>510216</v>
      </c>
      <c r="G1112" s="72" t="str">
        <f t="shared" si="87"/>
        <v>510216</v>
      </c>
      <c r="H1112" s="74" t="s">
        <v>5552</v>
      </c>
    </row>
    <row r="1113" spans="1:8" ht="18.75">
      <c r="A1113" s="70">
        <v>51</v>
      </c>
      <c r="B1113" s="70">
        <v>2</v>
      </c>
      <c r="C1113" s="70">
        <v>17</v>
      </c>
      <c r="D1113" s="71" t="s">
        <v>3611</v>
      </c>
      <c r="E1113" s="72" t="s">
        <v>829</v>
      </c>
      <c r="F1113" s="73" t="str">
        <f t="shared" si="86"/>
        <v>510217</v>
      </c>
      <c r="G1113" s="72" t="str">
        <f t="shared" si="87"/>
        <v>510217</v>
      </c>
      <c r="H1113" s="74" t="s">
        <v>5052</v>
      </c>
    </row>
    <row r="1114" spans="1:8" ht="18.75">
      <c r="A1114" s="70">
        <v>51</v>
      </c>
      <c r="B1114" s="70">
        <v>2</v>
      </c>
      <c r="C1114" s="70">
        <v>25</v>
      </c>
      <c r="D1114" s="71" t="s">
        <v>6012</v>
      </c>
      <c r="E1114" s="72" t="s">
        <v>829</v>
      </c>
      <c r="F1114" s="73" t="str">
        <f t="shared" si="86"/>
        <v>510225</v>
      </c>
      <c r="G1114" s="72" t="str">
        <f t="shared" si="87"/>
        <v>510225</v>
      </c>
      <c r="H1114" s="74" t="s">
        <v>5743</v>
      </c>
    </row>
    <row r="1115" spans="1:8" ht="18.75">
      <c r="A1115" s="62">
        <v>52</v>
      </c>
      <c r="B1115" s="62">
        <v>0</v>
      </c>
      <c r="C1115" s="62">
        <v>0</v>
      </c>
      <c r="D1115" s="63" t="s">
        <v>2888</v>
      </c>
      <c r="E1115" s="64"/>
      <c r="F1115" s="75"/>
      <c r="G1115" s="76"/>
      <c r="H1115" s="77"/>
    </row>
    <row r="1116" spans="1:8" ht="18.75">
      <c r="A1116" s="66">
        <v>52</v>
      </c>
      <c r="B1116" s="66">
        <v>1</v>
      </c>
      <c r="C1116" s="66">
        <v>0</v>
      </c>
      <c r="D1116" s="67" t="s">
        <v>2916</v>
      </c>
      <c r="E1116" s="68"/>
      <c r="F1116" s="78"/>
      <c r="G1116" s="79"/>
      <c r="H1116" s="80"/>
    </row>
    <row r="1117" spans="1:8" ht="18.75">
      <c r="A1117" s="70">
        <v>52</v>
      </c>
      <c r="B1117" s="70">
        <v>1</v>
      </c>
      <c r="C1117" s="70">
        <v>11</v>
      </c>
      <c r="D1117" s="71" t="s">
        <v>6013</v>
      </c>
      <c r="E1117" s="72" t="s">
        <v>3907</v>
      </c>
      <c r="F1117" s="73" t="str">
        <f t="shared" ref="F1117:F1129" si="88">TEXT(A1117,"00")&amp;TEXT(B1117,"00")&amp;TEXT(C1117,"00")</f>
        <v>520111</v>
      </c>
      <c r="G1117" s="72" t="str">
        <f t="shared" ref="G1117:G1129" si="89">TEXT(F1117,"000000")</f>
        <v>520111</v>
      </c>
      <c r="H1117" s="74" t="s">
        <v>4790</v>
      </c>
    </row>
    <row r="1118" spans="1:8" ht="18.75">
      <c r="A1118" s="70">
        <v>52</v>
      </c>
      <c r="B1118" s="70">
        <v>1</v>
      </c>
      <c r="C1118" s="70">
        <v>12</v>
      </c>
      <c r="D1118" s="71" t="s">
        <v>3749</v>
      </c>
      <c r="E1118" s="72" t="s">
        <v>829</v>
      </c>
      <c r="F1118" s="73" t="str">
        <f t="shared" si="88"/>
        <v>520112</v>
      </c>
      <c r="G1118" s="72" t="str">
        <f t="shared" si="89"/>
        <v>520112</v>
      </c>
      <c r="H1118" s="74" t="s">
        <v>4791</v>
      </c>
    </row>
    <row r="1119" spans="1:8" ht="18.75">
      <c r="A1119" s="70">
        <v>52</v>
      </c>
      <c r="B1119" s="70">
        <v>1</v>
      </c>
      <c r="C1119" s="70">
        <v>13</v>
      </c>
      <c r="D1119" s="71" t="s">
        <v>6014</v>
      </c>
      <c r="E1119" s="72" t="s">
        <v>3907</v>
      </c>
      <c r="F1119" s="73" t="str">
        <f t="shared" si="88"/>
        <v>520113</v>
      </c>
      <c r="G1119" s="72" t="str">
        <f t="shared" si="89"/>
        <v>520113</v>
      </c>
      <c r="H1119" s="74" t="s">
        <v>4792</v>
      </c>
    </row>
    <row r="1120" spans="1:8" ht="18.75">
      <c r="A1120" s="70">
        <v>52</v>
      </c>
      <c r="B1120" s="70">
        <v>1</v>
      </c>
      <c r="C1120" s="70">
        <v>14</v>
      </c>
      <c r="D1120" s="71" t="s">
        <v>335</v>
      </c>
      <c r="E1120" s="72" t="s">
        <v>829</v>
      </c>
      <c r="F1120" s="73" t="str">
        <f t="shared" si="88"/>
        <v>520114</v>
      </c>
      <c r="G1120" s="72" t="str">
        <f t="shared" si="89"/>
        <v>520114</v>
      </c>
      <c r="H1120" s="74" t="s">
        <v>4793</v>
      </c>
    </row>
    <row r="1121" spans="1:8" ht="18.75">
      <c r="A1121" s="70">
        <v>52</v>
      </c>
      <c r="B1121" s="70">
        <v>1</v>
      </c>
      <c r="C1121" s="70">
        <v>15</v>
      </c>
      <c r="D1121" s="71" t="s">
        <v>726</v>
      </c>
      <c r="E1121" s="72" t="s">
        <v>4651</v>
      </c>
      <c r="F1121" s="73" t="str">
        <f t="shared" si="88"/>
        <v>520115</v>
      </c>
      <c r="G1121" s="72" t="str">
        <f t="shared" si="89"/>
        <v>520115</v>
      </c>
      <c r="H1121" s="74" t="s">
        <v>4794</v>
      </c>
    </row>
    <row r="1122" spans="1:8" ht="18.75">
      <c r="A1122" s="70">
        <v>52</v>
      </c>
      <c r="B1122" s="70">
        <v>1</v>
      </c>
      <c r="C1122" s="70">
        <v>16</v>
      </c>
      <c r="D1122" s="71" t="s">
        <v>319</v>
      </c>
      <c r="E1122" s="72" t="s">
        <v>829</v>
      </c>
      <c r="F1122" s="73" t="str">
        <f t="shared" si="88"/>
        <v>520116</v>
      </c>
      <c r="G1122" s="72" t="str">
        <f t="shared" si="89"/>
        <v>520116</v>
      </c>
      <c r="H1122" s="74" t="s">
        <v>4795</v>
      </c>
    </row>
    <row r="1123" spans="1:8" ht="18.75">
      <c r="A1123" s="70">
        <v>52</v>
      </c>
      <c r="B1123" s="70">
        <v>1</v>
      </c>
      <c r="C1123" s="70">
        <v>17</v>
      </c>
      <c r="D1123" s="71" t="s">
        <v>336</v>
      </c>
      <c r="E1123" s="72" t="s">
        <v>829</v>
      </c>
      <c r="F1123" s="73" t="str">
        <f t="shared" si="88"/>
        <v>520117</v>
      </c>
      <c r="G1123" s="72" t="str">
        <f t="shared" si="89"/>
        <v>520117</v>
      </c>
      <c r="H1123" s="74" t="s">
        <v>4796</v>
      </c>
    </row>
    <row r="1124" spans="1:8" ht="18.75">
      <c r="A1124" s="70">
        <v>52</v>
      </c>
      <c r="B1124" s="70">
        <v>1</v>
      </c>
      <c r="C1124" s="70">
        <v>18</v>
      </c>
      <c r="D1124" s="71" t="s">
        <v>337</v>
      </c>
      <c r="E1124" s="72" t="s">
        <v>829</v>
      </c>
      <c r="F1124" s="73" t="str">
        <f t="shared" si="88"/>
        <v>520118</v>
      </c>
      <c r="G1124" s="72" t="str">
        <f t="shared" si="89"/>
        <v>520118</v>
      </c>
      <c r="H1124" s="74" t="s">
        <v>4797</v>
      </c>
    </row>
    <row r="1125" spans="1:8" ht="18.75">
      <c r="A1125" s="70">
        <v>52</v>
      </c>
      <c r="B1125" s="70">
        <v>1</v>
      </c>
      <c r="C1125" s="70">
        <v>19</v>
      </c>
      <c r="D1125" s="71" t="s">
        <v>338</v>
      </c>
      <c r="E1125" s="72" t="s">
        <v>829</v>
      </c>
      <c r="F1125" s="73" t="str">
        <f t="shared" si="88"/>
        <v>520119</v>
      </c>
      <c r="G1125" s="72" t="str">
        <f t="shared" si="89"/>
        <v>520119</v>
      </c>
      <c r="H1125" s="74" t="s">
        <v>4798</v>
      </c>
    </row>
    <row r="1126" spans="1:8" ht="18.75">
      <c r="A1126" s="70">
        <v>52</v>
      </c>
      <c r="B1126" s="70">
        <v>1</v>
      </c>
      <c r="C1126" s="70">
        <v>20</v>
      </c>
      <c r="D1126" s="71" t="s">
        <v>339</v>
      </c>
      <c r="E1126" s="72" t="s">
        <v>829</v>
      </c>
      <c r="F1126" s="73" t="str">
        <f t="shared" si="88"/>
        <v>520120</v>
      </c>
      <c r="G1126" s="72" t="str">
        <f t="shared" si="89"/>
        <v>520120</v>
      </c>
      <c r="H1126" s="74" t="s">
        <v>4799</v>
      </c>
    </row>
    <row r="1127" spans="1:8" ht="18.75">
      <c r="A1127" s="70">
        <v>52</v>
      </c>
      <c r="B1127" s="70">
        <v>1</v>
      </c>
      <c r="C1127" s="70">
        <v>21</v>
      </c>
      <c r="D1127" s="71" t="s">
        <v>340</v>
      </c>
      <c r="E1127" s="72" t="s">
        <v>829</v>
      </c>
      <c r="F1127" s="73" t="str">
        <f t="shared" si="88"/>
        <v>520121</v>
      </c>
      <c r="G1127" s="72" t="str">
        <f t="shared" si="89"/>
        <v>520121</v>
      </c>
      <c r="H1127" s="74" t="s">
        <v>4800</v>
      </c>
    </row>
    <row r="1128" spans="1:8" ht="18.75">
      <c r="A1128" s="70">
        <v>52</v>
      </c>
      <c r="B1128" s="70">
        <v>1</v>
      </c>
      <c r="C1128" s="70">
        <v>31</v>
      </c>
      <c r="D1128" s="71" t="s">
        <v>341</v>
      </c>
      <c r="E1128" s="72" t="s">
        <v>829</v>
      </c>
      <c r="F1128" s="73" t="str">
        <f t="shared" si="88"/>
        <v>520131</v>
      </c>
      <c r="G1128" s="72" t="str">
        <f t="shared" si="89"/>
        <v>520131</v>
      </c>
      <c r="H1128" s="74" t="s">
        <v>5553</v>
      </c>
    </row>
    <row r="1129" spans="1:8" ht="18.75">
      <c r="A1129" s="70">
        <v>52</v>
      </c>
      <c r="B1129" s="70">
        <v>1</v>
      </c>
      <c r="C1129" s="70">
        <v>32</v>
      </c>
      <c r="D1129" s="71" t="s">
        <v>3798</v>
      </c>
      <c r="E1129" s="72" t="s">
        <v>829</v>
      </c>
      <c r="F1129" s="73" t="str">
        <f t="shared" si="88"/>
        <v>520132</v>
      </c>
      <c r="G1129" s="72" t="str">
        <f t="shared" si="89"/>
        <v>520132</v>
      </c>
      <c r="H1129" s="74" t="s">
        <v>4801</v>
      </c>
    </row>
    <row r="1130" spans="1:8" ht="18.75">
      <c r="A1130" s="66">
        <v>52</v>
      </c>
      <c r="B1130" s="66">
        <v>2</v>
      </c>
      <c r="C1130" s="66">
        <v>0</v>
      </c>
      <c r="D1130" s="67" t="s">
        <v>2969</v>
      </c>
      <c r="E1130" s="68"/>
      <c r="F1130" s="78"/>
      <c r="G1130" s="79"/>
      <c r="H1130" s="80"/>
    </row>
    <row r="1131" spans="1:8" ht="18.75">
      <c r="A1131" s="70">
        <v>52</v>
      </c>
      <c r="B1131" s="70">
        <v>2</v>
      </c>
      <c r="C1131" s="70">
        <v>11</v>
      </c>
      <c r="D1131" s="71" t="s">
        <v>291</v>
      </c>
      <c r="E1131" s="72" t="s">
        <v>829</v>
      </c>
      <c r="F1131" s="73" t="str">
        <f t="shared" ref="F1131:F1138" si="90">TEXT(A1131,"00")&amp;TEXT(B1131,"00")&amp;TEXT(C1131,"00")</f>
        <v>520211</v>
      </c>
      <c r="G1131" s="72" t="str">
        <f t="shared" ref="G1131:G1138" si="91">TEXT(F1131,"000000")</f>
        <v>520211</v>
      </c>
      <c r="H1131" s="74" t="s">
        <v>4802</v>
      </c>
    </row>
    <row r="1132" spans="1:8" ht="18.75">
      <c r="A1132" s="70">
        <v>52</v>
      </c>
      <c r="B1132" s="70">
        <v>2</v>
      </c>
      <c r="C1132" s="70">
        <v>12</v>
      </c>
      <c r="D1132" s="71" t="s">
        <v>304</v>
      </c>
      <c r="E1132" s="72" t="s">
        <v>829</v>
      </c>
      <c r="F1132" s="73" t="str">
        <f t="shared" si="90"/>
        <v>520212</v>
      </c>
      <c r="G1132" s="72" t="str">
        <f t="shared" si="91"/>
        <v>520212</v>
      </c>
      <c r="H1132" s="74" t="s">
        <v>4803</v>
      </c>
    </row>
    <row r="1133" spans="1:8" ht="18.75">
      <c r="A1133" s="70">
        <v>52</v>
      </c>
      <c r="B1133" s="70">
        <v>2</v>
      </c>
      <c r="C1133" s="70">
        <v>13</v>
      </c>
      <c r="D1133" s="71" t="s">
        <v>318</v>
      </c>
      <c r="E1133" s="72" t="s">
        <v>829</v>
      </c>
      <c r="F1133" s="73" t="str">
        <f t="shared" si="90"/>
        <v>520213</v>
      </c>
      <c r="G1133" s="72" t="str">
        <f t="shared" si="91"/>
        <v>520213</v>
      </c>
      <c r="H1133" s="74" t="s">
        <v>4804</v>
      </c>
    </row>
    <row r="1134" spans="1:8" ht="18.75">
      <c r="A1134" s="70">
        <v>52</v>
      </c>
      <c r="B1134" s="70">
        <v>2</v>
      </c>
      <c r="C1134" s="70">
        <v>14</v>
      </c>
      <c r="D1134" s="71" t="s">
        <v>290</v>
      </c>
      <c r="E1134" s="72" t="s">
        <v>829</v>
      </c>
      <c r="F1134" s="73" t="str">
        <f t="shared" si="90"/>
        <v>520214</v>
      </c>
      <c r="G1134" s="72" t="str">
        <f t="shared" si="91"/>
        <v>520214</v>
      </c>
      <c r="H1134" s="74" t="s">
        <v>4805</v>
      </c>
    </row>
    <row r="1135" spans="1:8" ht="18.75">
      <c r="A1135" s="70">
        <v>52</v>
      </c>
      <c r="B1135" s="70">
        <v>2</v>
      </c>
      <c r="C1135" s="70">
        <v>15</v>
      </c>
      <c r="D1135" s="71" t="s">
        <v>328</v>
      </c>
      <c r="E1135" s="72" t="s">
        <v>829</v>
      </c>
      <c r="F1135" s="73" t="str">
        <f t="shared" si="90"/>
        <v>520215</v>
      </c>
      <c r="G1135" s="72" t="str">
        <f t="shared" si="91"/>
        <v>520215</v>
      </c>
      <c r="H1135" s="74" t="s">
        <v>4806</v>
      </c>
    </row>
    <row r="1136" spans="1:8" ht="18.75">
      <c r="A1136" s="70">
        <v>52</v>
      </c>
      <c r="B1136" s="70">
        <v>2</v>
      </c>
      <c r="C1136" s="70">
        <v>16</v>
      </c>
      <c r="D1136" s="71" t="s">
        <v>3617</v>
      </c>
      <c r="E1136" s="72" t="s">
        <v>829</v>
      </c>
      <c r="F1136" s="73" t="str">
        <f t="shared" si="90"/>
        <v>520216</v>
      </c>
      <c r="G1136" s="72" t="str">
        <f t="shared" si="91"/>
        <v>520216</v>
      </c>
      <c r="H1136" s="74" t="s">
        <v>4807</v>
      </c>
    </row>
    <row r="1137" spans="1:8" ht="18.75">
      <c r="A1137" s="70">
        <v>52</v>
      </c>
      <c r="B1137" s="70">
        <v>2</v>
      </c>
      <c r="C1137" s="70">
        <v>17</v>
      </c>
      <c r="D1137" s="71" t="s">
        <v>313</v>
      </c>
      <c r="E1137" s="72" t="s">
        <v>829</v>
      </c>
      <c r="F1137" s="73" t="str">
        <f t="shared" si="90"/>
        <v>520217</v>
      </c>
      <c r="G1137" s="72" t="str">
        <f t="shared" si="91"/>
        <v>520217</v>
      </c>
      <c r="H1137" s="74" t="s">
        <v>4808</v>
      </c>
    </row>
    <row r="1138" spans="1:8" ht="18.75">
      <c r="A1138" s="70">
        <v>52</v>
      </c>
      <c r="B1138" s="70">
        <v>2</v>
      </c>
      <c r="C1138" s="70">
        <v>18</v>
      </c>
      <c r="D1138" s="71" t="s">
        <v>314</v>
      </c>
      <c r="E1138" s="72" t="s">
        <v>829</v>
      </c>
      <c r="F1138" s="73" t="str">
        <f t="shared" si="90"/>
        <v>520218</v>
      </c>
      <c r="G1138" s="72" t="str">
        <f t="shared" si="91"/>
        <v>520218</v>
      </c>
      <c r="H1138" s="74" t="s">
        <v>4809</v>
      </c>
    </row>
    <row r="1139" spans="1:8" ht="18.75">
      <c r="A1139" s="66">
        <v>52</v>
      </c>
      <c r="B1139" s="66">
        <v>3</v>
      </c>
      <c r="C1139" s="66">
        <v>0</v>
      </c>
      <c r="D1139" s="67" t="s">
        <v>2971</v>
      </c>
      <c r="E1139" s="68"/>
      <c r="F1139" s="78"/>
      <c r="G1139" s="79"/>
      <c r="H1139" s="80"/>
    </row>
    <row r="1140" spans="1:8" ht="18.75">
      <c r="A1140" s="70">
        <v>52</v>
      </c>
      <c r="B1140" s="70">
        <v>3</v>
      </c>
      <c r="C1140" s="70">
        <v>11</v>
      </c>
      <c r="D1140" s="71" t="s">
        <v>299</v>
      </c>
      <c r="E1140" s="72" t="s">
        <v>3907</v>
      </c>
      <c r="F1140" s="73" t="str">
        <f>TEXT(A1140,"00")&amp;TEXT(B1140,"00")&amp;TEXT(C1140,"00")</f>
        <v>520311</v>
      </c>
      <c r="G1140" s="72" t="str">
        <f>TEXT(F1140,"000000")</f>
        <v>520311</v>
      </c>
      <c r="H1140" s="74" t="s">
        <v>4810</v>
      </c>
    </row>
    <row r="1141" spans="1:8" ht="18.75">
      <c r="A1141" s="70">
        <v>52</v>
      </c>
      <c r="B1141" s="70">
        <v>3</v>
      </c>
      <c r="C1141" s="70">
        <v>12</v>
      </c>
      <c r="D1141" s="71" t="s">
        <v>302</v>
      </c>
      <c r="E1141" s="72" t="s">
        <v>829</v>
      </c>
      <c r="F1141" s="73" t="str">
        <f>TEXT(A1141,"00")&amp;TEXT(B1141,"00")&amp;TEXT(C1141,"00")</f>
        <v>520312</v>
      </c>
      <c r="G1141" s="72" t="str">
        <f>TEXT(F1141,"000000")</f>
        <v>520312</v>
      </c>
      <c r="H1141" s="74" t="s">
        <v>4811</v>
      </c>
    </row>
    <row r="1142" spans="1:8" ht="18.75">
      <c r="A1142" s="70">
        <v>52</v>
      </c>
      <c r="B1142" s="70">
        <v>3</v>
      </c>
      <c r="C1142" s="70">
        <v>13</v>
      </c>
      <c r="D1142" s="71" t="s">
        <v>3342</v>
      </c>
      <c r="E1142" s="72" t="s">
        <v>3907</v>
      </c>
      <c r="F1142" s="73" t="str">
        <f>TEXT(A1142,"00")&amp;TEXT(B1142,"00")&amp;TEXT(C1142,"00")</f>
        <v>520313</v>
      </c>
      <c r="G1142" s="72" t="str">
        <f>TEXT(F1142,"000000")</f>
        <v>520313</v>
      </c>
      <c r="H1142" s="74" t="s">
        <v>4812</v>
      </c>
    </row>
    <row r="1143" spans="1:8" ht="18.75">
      <c r="A1143" s="70">
        <v>52</v>
      </c>
      <c r="B1143" s="70">
        <v>3</v>
      </c>
      <c r="C1143" s="70">
        <v>14</v>
      </c>
      <c r="D1143" s="71" t="s">
        <v>311</v>
      </c>
      <c r="E1143" s="72" t="s">
        <v>829</v>
      </c>
      <c r="F1143" s="73" t="str">
        <f>TEXT(A1143,"00")&amp;TEXT(B1143,"00")&amp;TEXT(C1143,"00")</f>
        <v>520314</v>
      </c>
      <c r="G1143" s="72" t="str">
        <f>TEXT(F1143,"000000")</f>
        <v>520314</v>
      </c>
      <c r="H1143" s="74" t="s">
        <v>4813</v>
      </c>
    </row>
    <row r="1144" spans="1:8" ht="18.75">
      <c r="A1144" s="70">
        <v>52</v>
      </c>
      <c r="B1144" s="70">
        <v>3</v>
      </c>
      <c r="C1144" s="70">
        <v>15</v>
      </c>
      <c r="D1144" s="71" t="s">
        <v>312</v>
      </c>
      <c r="E1144" s="72" t="s">
        <v>829</v>
      </c>
      <c r="F1144" s="73" t="str">
        <f>TEXT(A1144,"00")&amp;TEXT(B1144,"00")&amp;TEXT(C1144,"00")</f>
        <v>520315</v>
      </c>
      <c r="G1144" s="72" t="str">
        <f>TEXT(F1144,"000000")</f>
        <v>520315</v>
      </c>
      <c r="H1144" s="74" t="s">
        <v>4814</v>
      </c>
    </row>
    <row r="1145" spans="1:8" ht="18.75">
      <c r="A1145" s="66">
        <v>52</v>
      </c>
      <c r="B1145" s="66">
        <v>4</v>
      </c>
      <c r="C1145" s="66">
        <v>0</v>
      </c>
      <c r="D1145" s="67" t="s">
        <v>2970</v>
      </c>
      <c r="E1145" s="68"/>
      <c r="F1145" s="78"/>
      <c r="G1145" s="79"/>
      <c r="H1145" s="80"/>
    </row>
    <row r="1146" spans="1:8" ht="18.75">
      <c r="A1146" s="70">
        <v>52</v>
      </c>
      <c r="B1146" s="70">
        <v>4</v>
      </c>
      <c r="C1146" s="70">
        <v>11</v>
      </c>
      <c r="D1146" s="71" t="s">
        <v>6015</v>
      </c>
      <c r="E1146" s="72" t="s">
        <v>829</v>
      </c>
      <c r="F1146" s="73" t="str">
        <f>TEXT(A1146,"00")&amp;TEXT(B1146,"00")&amp;TEXT(C1146,"00")</f>
        <v>520411</v>
      </c>
      <c r="G1146" s="72" t="str">
        <f>TEXT(F1146,"000000")</f>
        <v>520411</v>
      </c>
      <c r="H1146" s="74" t="s">
        <v>4815</v>
      </c>
    </row>
    <row r="1147" spans="1:8" ht="18.75">
      <c r="A1147" s="70">
        <v>52</v>
      </c>
      <c r="B1147" s="70">
        <v>4</v>
      </c>
      <c r="C1147" s="70">
        <v>12</v>
      </c>
      <c r="D1147" s="71" t="s">
        <v>305</v>
      </c>
      <c r="E1147" s="72" t="s">
        <v>829</v>
      </c>
      <c r="F1147" s="73" t="str">
        <f>TEXT(A1147,"00")&amp;TEXT(B1147,"00")&amp;TEXT(C1147,"00")</f>
        <v>520412</v>
      </c>
      <c r="G1147" s="72" t="str">
        <f>TEXT(F1147,"000000")</f>
        <v>520412</v>
      </c>
      <c r="H1147" s="74" t="s">
        <v>4816</v>
      </c>
    </row>
    <row r="1148" spans="1:8" ht="18.75">
      <c r="A1148" s="70">
        <v>52</v>
      </c>
      <c r="B1148" s="70">
        <v>4</v>
      </c>
      <c r="C1148" s="70">
        <v>13</v>
      </c>
      <c r="D1148" s="71" t="s">
        <v>6016</v>
      </c>
      <c r="E1148" s="72" t="s">
        <v>829</v>
      </c>
      <c r="F1148" s="73" t="str">
        <f>TEXT(A1148,"00")&amp;TEXT(B1148,"00")&amp;TEXT(C1148,"00")</f>
        <v>520413</v>
      </c>
      <c r="G1148" s="72" t="str">
        <f>TEXT(F1148,"000000")</f>
        <v>520413</v>
      </c>
      <c r="H1148" s="74" t="s">
        <v>5744</v>
      </c>
    </row>
    <row r="1149" spans="1:8" ht="18.75">
      <c r="A1149" s="70">
        <v>52</v>
      </c>
      <c r="B1149" s="70">
        <v>4</v>
      </c>
      <c r="C1149" s="70">
        <v>14</v>
      </c>
      <c r="D1149" s="71" t="s">
        <v>6017</v>
      </c>
      <c r="E1149" s="72" t="s">
        <v>829</v>
      </c>
      <c r="F1149" s="73" t="str">
        <f>TEXT(A1149,"00")&amp;TEXT(B1149,"00")&amp;TEXT(C1149,"00")</f>
        <v>520414</v>
      </c>
      <c r="G1149" s="72" t="str">
        <f>TEXT(F1149,"000000")</f>
        <v>520414</v>
      </c>
      <c r="H1149" s="74" t="s">
        <v>6018</v>
      </c>
    </row>
    <row r="1150" spans="1:8" ht="18.75">
      <c r="A1150" s="70">
        <v>52</v>
      </c>
      <c r="B1150" s="70">
        <v>4</v>
      </c>
      <c r="C1150" s="70">
        <v>15</v>
      </c>
      <c r="D1150" s="71" t="s">
        <v>6019</v>
      </c>
      <c r="E1150" s="72" t="s">
        <v>829</v>
      </c>
      <c r="F1150" s="73" t="str">
        <f>TEXT(A1150,"00")&amp;TEXT(B1150,"00")&amp;TEXT(C1150,"00")</f>
        <v>520415</v>
      </c>
      <c r="G1150" s="72" t="str">
        <f>TEXT(F1150,"000000")</f>
        <v>520415</v>
      </c>
      <c r="H1150" s="74" t="s">
        <v>6020</v>
      </c>
    </row>
    <row r="1151" spans="1:8" ht="18.75">
      <c r="A1151" s="62">
        <v>53</v>
      </c>
      <c r="B1151" s="62">
        <v>0</v>
      </c>
      <c r="C1151" s="62">
        <v>0</v>
      </c>
      <c r="D1151" s="63" t="s">
        <v>2957</v>
      </c>
      <c r="E1151" s="64"/>
      <c r="F1151" s="75"/>
      <c r="G1151" s="76"/>
      <c r="H1151" s="77"/>
    </row>
    <row r="1152" spans="1:8" ht="18.75">
      <c r="A1152" s="66">
        <v>53</v>
      </c>
      <c r="B1152" s="66">
        <v>1</v>
      </c>
      <c r="C1152" s="66">
        <v>0</v>
      </c>
      <c r="D1152" s="67" t="s">
        <v>100</v>
      </c>
      <c r="E1152" s="68"/>
      <c r="F1152" s="78"/>
      <c r="G1152" s="79"/>
      <c r="H1152" s="80"/>
    </row>
    <row r="1153" spans="1:8" ht="18.75">
      <c r="A1153" s="70">
        <v>53</v>
      </c>
      <c r="B1153" s="70">
        <v>1</v>
      </c>
      <c r="C1153" s="70">
        <v>1</v>
      </c>
      <c r="D1153" s="71" t="s">
        <v>100</v>
      </c>
      <c r="E1153" s="72" t="s">
        <v>4489</v>
      </c>
      <c r="F1153" s="73" t="str">
        <f>TEXT(A1153,"00")&amp;TEXT(B1153,"00")&amp;TEXT(C1153,"00")</f>
        <v>530101</v>
      </c>
      <c r="G1153" s="72" t="str">
        <f>TEXT(F1153,"000000")</f>
        <v>530101</v>
      </c>
      <c r="H1153" s="74" t="s">
        <v>4817</v>
      </c>
    </row>
    <row r="1154" spans="1:8" ht="18.75">
      <c r="A1154" s="62">
        <v>54</v>
      </c>
      <c r="B1154" s="62">
        <v>0</v>
      </c>
      <c r="C1154" s="62">
        <v>0</v>
      </c>
      <c r="D1154" s="63" t="s">
        <v>2889</v>
      </c>
      <c r="E1154" s="64"/>
      <c r="F1154" s="75"/>
      <c r="G1154" s="76"/>
      <c r="H1154" s="77"/>
    </row>
    <row r="1155" spans="1:8" ht="18.75">
      <c r="A1155" s="66">
        <v>54</v>
      </c>
      <c r="B1155" s="66">
        <v>1</v>
      </c>
      <c r="C1155" s="66">
        <v>0</v>
      </c>
      <c r="D1155" s="67" t="s">
        <v>2891</v>
      </c>
      <c r="E1155" s="68"/>
      <c r="F1155" s="78"/>
      <c r="G1155" s="79"/>
      <c r="H1155" s="80"/>
    </row>
    <row r="1156" spans="1:8" ht="18.75">
      <c r="A1156" s="70">
        <v>54</v>
      </c>
      <c r="B1156" s="70">
        <v>1</v>
      </c>
      <c r="C1156" s="70">
        <v>11</v>
      </c>
      <c r="D1156" s="71" t="s">
        <v>5554</v>
      </c>
      <c r="E1156" s="72" t="s">
        <v>829</v>
      </c>
      <c r="F1156" s="73" t="str">
        <f>TEXT(A1156,"00")&amp;TEXT(B1156,"00")&amp;TEXT(C1156,"00")</f>
        <v>540111</v>
      </c>
      <c r="G1156" s="72" t="str">
        <f>TEXT(F1156,"000000")</f>
        <v>540111</v>
      </c>
      <c r="H1156" s="74" t="s">
        <v>4818</v>
      </c>
    </row>
    <row r="1157" spans="1:8" ht="18.75">
      <c r="A1157" s="66">
        <v>54</v>
      </c>
      <c r="B1157" s="66">
        <v>2</v>
      </c>
      <c r="C1157" s="66">
        <v>0</v>
      </c>
      <c r="D1157" s="67" t="s">
        <v>2890</v>
      </c>
      <c r="E1157" s="68"/>
      <c r="F1157" s="78"/>
      <c r="G1157" s="79"/>
      <c r="H1157" s="80"/>
    </row>
    <row r="1158" spans="1:8" ht="18.75">
      <c r="A1158" s="70">
        <v>54</v>
      </c>
      <c r="B1158" s="70">
        <v>2</v>
      </c>
      <c r="C1158" s="70">
        <v>11</v>
      </c>
      <c r="D1158" s="71" t="s">
        <v>766</v>
      </c>
      <c r="E1158" s="72" t="s">
        <v>829</v>
      </c>
      <c r="F1158" s="73" t="str">
        <f t="shared" ref="F1158:F1163" si="92">TEXT(A1158,"00")&amp;TEXT(B1158,"00")&amp;TEXT(C1158,"00")</f>
        <v>540211</v>
      </c>
      <c r="G1158" s="72" t="str">
        <f t="shared" ref="G1158:G1163" si="93">TEXT(F1158,"000000")</f>
        <v>540211</v>
      </c>
      <c r="H1158" s="74" t="s">
        <v>4819</v>
      </c>
    </row>
    <row r="1159" spans="1:8" ht="18.75">
      <c r="A1159" s="70">
        <v>54</v>
      </c>
      <c r="B1159" s="70">
        <v>2</v>
      </c>
      <c r="C1159" s="70">
        <v>12</v>
      </c>
      <c r="D1159" s="71" t="s">
        <v>3799</v>
      </c>
      <c r="E1159" s="72" t="s">
        <v>829</v>
      </c>
      <c r="F1159" s="73" t="str">
        <f t="shared" si="92"/>
        <v>540212</v>
      </c>
      <c r="G1159" s="72" t="str">
        <f t="shared" si="93"/>
        <v>540212</v>
      </c>
      <c r="H1159" s="74" t="s">
        <v>4820</v>
      </c>
    </row>
    <row r="1160" spans="1:8" ht="18.75">
      <c r="A1160" s="70">
        <v>54</v>
      </c>
      <c r="B1160" s="70">
        <v>2</v>
      </c>
      <c r="C1160" s="70">
        <v>13</v>
      </c>
      <c r="D1160" s="71" t="s">
        <v>5555</v>
      </c>
      <c r="E1160" s="72" t="s">
        <v>829</v>
      </c>
      <c r="F1160" s="73" t="str">
        <f t="shared" si="92"/>
        <v>540213</v>
      </c>
      <c r="G1160" s="72" t="str">
        <f t="shared" si="93"/>
        <v>540213</v>
      </c>
      <c r="H1160" s="74" t="s">
        <v>4821</v>
      </c>
    </row>
    <row r="1161" spans="1:8" ht="18.75">
      <c r="A1161" s="70">
        <v>54</v>
      </c>
      <c r="B1161" s="70">
        <v>2</v>
      </c>
      <c r="C1161" s="70">
        <v>21</v>
      </c>
      <c r="D1161" s="71" t="s">
        <v>5556</v>
      </c>
      <c r="E1161" s="72" t="s">
        <v>829</v>
      </c>
      <c r="F1161" s="73" t="str">
        <f t="shared" si="92"/>
        <v>540221</v>
      </c>
      <c r="G1161" s="72" t="str">
        <f t="shared" si="93"/>
        <v>540221</v>
      </c>
      <c r="H1161" s="74" t="s">
        <v>4822</v>
      </c>
    </row>
    <row r="1162" spans="1:8" ht="18.75">
      <c r="A1162" s="70">
        <v>54</v>
      </c>
      <c r="B1162" s="70">
        <v>2</v>
      </c>
      <c r="C1162" s="70">
        <v>23</v>
      </c>
      <c r="D1162" s="71" t="s">
        <v>3800</v>
      </c>
      <c r="E1162" s="72" t="s">
        <v>829</v>
      </c>
      <c r="F1162" s="73" t="str">
        <f t="shared" si="92"/>
        <v>540223</v>
      </c>
      <c r="G1162" s="72" t="str">
        <f t="shared" si="93"/>
        <v>540223</v>
      </c>
      <c r="H1162" s="74" t="s">
        <v>4823</v>
      </c>
    </row>
    <row r="1163" spans="1:8" ht="18.75">
      <c r="A1163" s="70">
        <v>54</v>
      </c>
      <c r="B1163" s="70">
        <v>2</v>
      </c>
      <c r="C1163" s="70">
        <v>24</v>
      </c>
      <c r="D1163" s="71" t="s">
        <v>5557</v>
      </c>
      <c r="E1163" s="72" t="s">
        <v>829</v>
      </c>
      <c r="F1163" s="73" t="str">
        <f t="shared" si="92"/>
        <v>540224</v>
      </c>
      <c r="G1163" s="72" t="str">
        <f t="shared" si="93"/>
        <v>540224</v>
      </c>
      <c r="H1163" s="74" t="s">
        <v>4824</v>
      </c>
    </row>
    <row r="1164" spans="1:8" ht="18.75">
      <c r="A1164" s="66">
        <v>54</v>
      </c>
      <c r="B1164" s="66">
        <v>3</v>
      </c>
      <c r="C1164" s="66">
        <v>0</v>
      </c>
      <c r="D1164" s="67" t="s">
        <v>2958</v>
      </c>
      <c r="E1164" s="68"/>
      <c r="F1164" s="78"/>
      <c r="G1164" s="79"/>
      <c r="H1164" s="80"/>
    </row>
    <row r="1165" spans="1:8" ht="18.75">
      <c r="A1165" s="70">
        <v>54</v>
      </c>
      <c r="B1165" s="70">
        <v>3</v>
      </c>
      <c r="C1165" s="70">
        <v>10</v>
      </c>
      <c r="D1165" s="71" t="s">
        <v>105</v>
      </c>
      <c r="E1165" s="72" t="s">
        <v>829</v>
      </c>
      <c r="F1165" s="73" t="str">
        <f t="shared" ref="F1165:F1172" si="94">TEXT(A1165,"00")&amp;TEXT(B1165,"00")&amp;TEXT(C1165,"00")</f>
        <v>540310</v>
      </c>
      <c r="G1165" s="72" t="str">
        <f t="shared" ref="G1165:G1172" si="95">TEXT(F1165,"000000")</f>
        <v>540310</v>
      </c>
      <c r="H1165" s="74" t="s">
        <v>4825</v>
      </c>
    </row>
    <row r="1166" spans="1:8" ht="18.75">
      <c r="A1166" s="70">
        <v>54</v>
      </c>
      <c r="B1166" s="70">
        <v>3</v>
      </c>
      <c r="C1166" s="70">
        <v>11</v>
      </c>
      <c r="D1166" s="71" t="s">
        <v>3775</v>
      </c>
      <c r="E1166" s="72" t="s">
        <v>829</v>
      </c>
      <c r="F1166" s="73" t="str">
        <f t="shared" si="94"/>
        <v>540311</v>
      </c>
      <c r="G1166" s="72" t="str">
        <f t="shared" si="95"/>
        <v>540311</v>
      </c>
      <c r="H1166" s="74" t="s">
        <v>4826</v>
      </c>
    </row>
    <row r="1167" spans="1:8" ht="18.75">
      <c r="A1167" s="70">
        <v>54</v>
      </c>
      <c r="B1167" s="70">
        <v>3</v>
      </c>
      <c r="C1167" s="70">
        <v>50</v>
      </c>
      <c r="D1167" s="71" t="s">
        <v>3602</v>
      </c>
      <c r="E1167" s="72" t="s">
        <v>829</v>
      </c>
      <c r="F1167" s="73" t="str">
        <f t="shared" si="94"/>
        <v>540350</v>
      </c>
      <c r="G1167" s="72" t="str">
        <f t="shared" si="95"/>
        <v>540350</v>
      </c>
      <c r="H1167" s="74" t="s">
        <v>4827</v>
      </c>
    </row>
    <row r="1168" spans="1:8" ht="18.75">
      <c r="A1168" s="70">
        <v>54</v>
      </c>
      <c r="B1168" s="70">
        <v>3</v>
      </c>
      <c r="C1168" s="70">
        <v>12</v>
      </c>
      <c r="D1168" s="71" t="s">
        <v>104</v>
      </c>
      <c r="E1168" s="72" t="s">
        <v>829</v>
      </c>
      <c r="F1168" s="73" t="str">
        <f t="shared" si="94"/>
        <v>540312</v>
      </c>
      <c r="G1168" s="72" t="str">
        <f t="shared" si="95"/>
        <v>540312</v>
      </c>
      <c r="H1168" s="74" t="s">
        <v>4828</v>
      </c>
    </row>
    <row r="1169" spans="1:8" ht="18.75">
      <c r="A1169" s="70">
        <v>54</v>
      </c>
      <c r="B1169" s="70">
        <v>3</v>
      </c>
      <c r="C1169" s="70">
        <v>13</v>
      </c>
      <c r="D1169" s="71" t="s">
        <v>3774</v>
      </c>
      <c r="E1169" s="72" t="s">
        <v>829</v>
      </c>
      <c r="F1169" s="73" t="str">
        <f t="shared" si="94"/>
        <v>540313</v>
      </c>
      <c r="G1169" s="72" t="str">
        <f t="shared" si="95"/>
        <v>540313</v>
      </c>
      <c r="H1169" s="74" t="s">
        <v>4829</v>
      </c>
    </row>
    <row r="1170" spans="1:8" ht="18.75">
      <c r="A1170" s="70">
        <v>54</v>
      </c>
      <c r="B1170" s="70">
        <v>3</v>
      </c>
      <c r="C1170" s="70">
        <v>14</v>
      </c>
      <c r="D1170" s="71" t="s">
        <v>3777</v>
      </c>
      <c r="E1170" s="72" t="s">
        <v>829</v>
      </c>
      <c r="F1170" s="73" t="str">
        <f t="shared" si="94"/>
        <v>540314</v>
      </c>
      <c r="G1170" s="72" t="str">
        <f t="shared" si="95"/>
        <v>540314</v>
      </c>
      <c r="H1170" s="74" t="s">
        <v>4830</v>
      </c>
    </row>
    <row r="1171" spans="1:8" ht="18.75">
      <c r="A1171" s="70">
        <v>54</v>
      </c>
      <c r="B1171" s="70">
        <v>3</v>
      </c>
      <c r="C1171" s="70">
        <v>15</v>
      </c>
      <c r="D1171" s="71" t="s">
        <v>3776</v>
      </c>
      <c r="E1171" s="72" t="s">
        <v>829</v>
      </c>
      <c r="F1171" s="73" t="str">
        <f t="shared" si="94"/>
        <v>540315</v>
      </c>
      <c r="G1171" s="72" t="str">
        <f t="shared" si="95"/>
        <v>540315</v>
      </c>
      <c r="H1171" s="74" t="s">
        <v>4831</v>
      </c>
    </row>
    <row r="1172" spans="1:8" ht="18.75">
      <c r="A1172" s="70">
        <v>54</v>
      </c>
      <c r="B1172" s="70">
        <v>3</v>
      </c>
      <c r="C1172" s="70">
        <v>16</v>
      </c>
      <c r="D1172" s="71" t="s">
        <v>6021</v>
      </c>
      <c r="E1172" s="72" t="s">
        <v>829</v>
      </c>
      <c r="F1172" s="73" t="str">
        <f t="shared" si="94"/>
        <v>540316</v>
      </c>
      <c r="G1172" s="72" t="str">
        <f t="shared" si="95"/>
        <v>540316</v>
      </c>
      <c r="H1172" s="74" t="s">
        <v>6022</v>
      </c>
    </row>
    <row r="1173" spans="1:8" ht="18.75">
      <c r="A1173" s="66">
        <v>54</v>
      </c>
      <c r="B1173" s="66">
        <v>4</v>
      </c>
      <c r="C1173" s="66">
        <v>0</v>
      </c>
      <c r="D1173" s="67" t="s">
        <v>2892</v>
      </c>
      <c r="E1173" s="68"/>
      <c r="F1173" s="78"/>
      <c r="G1173" s="79"/>
      <c r="H1173" s="80"/>
    </row>
    <row r="1174" spans="1:8" ht="18.75">
      <c r="A1174" s="70">
        <v>54</v>
      </c>
      <c r="B1174" s="70">
        <v>4</v>
      </c>
      <c r="C1174" s="70">
        <v>10</v>
      </c>
      <c r="D1174" s="71" t="s">
        <v>272</v>
      </c>
      <c r="E1174" s="72" t="s">
        <v>829</v>
      </c>
      <c r="F1174" s="73" t="str">
        <f t="shared" ref="F1174:F1179" si="96">TEXT(A1174,"00")&amp;TEXT(B1174,"00")&amp;TEXT(C1174,"00")</f>
        <v>540410</v>
      </c>
      <c r="G1174" s="72" t="str">
        <f t="shared" ref="G1174:G1179" si="97">TEXT(F1174,"000000")</f>
        <v>540410</v>
      </c>
      <c r="H1174" s="74" t="s">
        <v>4832</v>
      </c>
    </row>
    <row r="1175" spans="1:8" ht="18.75">
      <c r="A1175" s="70">
        <v>54</v>
      </c>
      <c r="B1175" s="70">
        <v>4</v>
      </c>
      <c r="C1175" s="70">
        <v>11</v>
      </c>
      <c r="D1175" s="71" t="s">
        <v>273</v>
      </c>
      <c r="E1175" s="72" t="s">
        <v>829</v>
      </c>
      <c r="F1175" s="73" t="str">
        <f t="shared" si="96"/>
        <v>540411</v>
      </c>
      <c r="G1175" s="72" t="str">
        <f t="shared" si="97"/>
        <v>540411</v>
      </c>
      <c r="H1175" s="74" t="s">
        <v>4833</v>
      </c>
    </row>
    <row r="1176" spans="1:8" ht="18.75">
      <c r="A1176" s="70">
        <v>54</v>
      </c>
      <c r="B1176" s="70">
        <v>4</v>
      </c>
      <c r="C1176" s="70">
        <v>12</v>
      </c>
      <c r="D1176" s="71" t="s">
        <v>3563</v>
      </c>
      <c r="E1176" s="72" t="s">
        <v>829</v>
      </c>
      <c r="F1176" s="73" t="str">
        <f t="shared" si="96"/>
        <v>540412</v>
      </c>
      <c r="G1176" s="72" t="str">
        <f t="shared" si="97"/>
        <v>540412</v>
      </c>
      <c r="H1176" s="74" t="s">
        <v>4834</v>
      </c>
    </row>
    <row r="1177" spans="1:8" ht="18.75">
      <c r="A1177" s="70">
        <v>54</v>
      </c>
      <c r="B1177" s="70">
        <v>4</v>
      </c>
      <c r="C1177" s="70">
        <v>13</v>
      </c>
      <c r="D1177" s="71" t="s">
        <v>3562</v>
      </c>
      <c r="E1177" s="72" t="s">
        <v>829</v>
      </c>
      <c r="F1177" s="73" t="str">
        <f t="shared" si="96"/>
        <v>540413</v>
      </c>
      <c r="G1177" s="72" t="str">
        <f t="shared" si="97"/>
        <v>540413</v>
      </c>
      <c r="H1177" s="74" t="s">
        <v>4835</v>
      </c>
    </row>
    <row r="1178" spans="1:8" ht="18.75">
      <c r="A1178" s="70">
        <v>54</v>
      </c>
      <c r="B1178" s="70">
        <v>4</v>
      </c>
      <c r="C1178" s="70">
        <v>21</v>
      </c>
      <c r="D1178" s="71" t="s">
        <v>90</v>
      </c>
      <c r="E1178" s="72" t="s">
        <v>829</v>
      </c>
      <c r="F1178" s="73" t="str">
        <f t="shared" si="96"/>
        <v>540421</v>
      </c>
      <c r="G1178" s="72" t="str">
        <f t="shared" si="97"/>
        <v>540421</v>
      </c>
      <c r="H1178" s="74" t="s">
        <v>4836</v>
      </c>
    </row>
    <row r="1179" spans="1:8" ht="18.75">
      <c r="A1179" s="70">
        <v>54</v>
      </c>
      <c r="B1179" s="70">
        <v>4</v>
      </c>
      <c r="C1179" s="70">
        <v>31</v>
      </c>
      <c r="D1179" s="71" t="s">
        <v>5558</v>
      </c>
      <c r="E1179" s="72" t="s">
        <v>829</v>
      </c>
      <c r="F1179" s="73" t="str">
        <f t="shared" si="96"/>
        <v>540431</v>
      </c>
      <c r="G1179" s="72" t="str">
        <f t="shared" si="97"/>
        <v>540431</v>
      </c>
      <c r="H1179" s="74" t="s">
        <v>4837</v>
      </c>
    </row>
    <row r="1180" spans="1:8" ht="18.75">
      <c r="A1180" s="66">
        <v>54</v>
      </c>
      <c r="B1180" s="66">
        <v>5</v>
      </c>
      <c r="C1180" s="66">
        <v>0</v>
      </c>
      <c r="D1180" s="67" t="s">
        <v>3603</v>
      </c>
      <c r="E1180" s="68"/>
      <c r="F1180" s="78"/>
      <c r="G1180" s="79"/>
      <c r="H1180" s="80"/>
    </row>
    <row r="1181" spans="1:8" ht="18.75">
      <c r="A1181" s="70">
        <v>54</v>
      </c>
      <c r="B1181" s="70">
        <v>5</v>
      </c>
      <c r="C1181" s="70">
        <v>11</v>
      </c>
      <c r="D1181" s="71" t="s">
        <v>3604</v>
      </c>
      <c r="E1181" s="72" t="s">
        <v>829</v>
      </c>
      <c r="F1181" s="73" t="str">
        <f>TEXT(A1181,"00")&amp;TEXT(B1181,"00")&amp;TEXT(C1181,"00")</f>
        <v>540511</v>
      </c>
      <c r="G1181" s="72" t="str">
        <f>TEXT(F1181,"000000")</f>
        <v>540511</v>
      </c>
      <c r="H1181" s="74" t="s">
        <v>4838</v>
      </c>
    </row>
    <row r="1182" spans="1:8" ht="18.75">
      <c r="A1182" s="62">
        <v>59</v>
      </c>
      <c r="B1182" s="62">
        <v>0</v>
      </c>
      <c r="C1182" s="62">
        <v>0</v>
      </c>
      <c r="D1182" s="63" t="s">
        <v>2893</v>
      </c>
      <c r="E1182" s="64"/>
      <c r="F1182" s="75"/>
      <c r="G1182" s="76"/>
      <c r="H1182" s="77"/>
    </row>
    <row r="1183" spans="1:8" ht="18.75">
      <c r="A1183" s="66">
        <v>59</v>
      </c>
      <c r="B1183" s="66">
        <v>1</v>
      </c>
      <c r="C1183" s="66">
        <v>0</v>
      </c>
      <c r="D1183" s="67" t="s">
        <v>2894</v>
      </c>
      <c r="E1183" s="68"/>
      <c r="F1183" s="78"/>
      <c r="G1183" s="79"/>
      <c r="H1183" s="80"/>
    </row>
    <row r="1184" spans="1:8" ht="18.75">
      <c r="A1184" s="70">
        <v>59</v>
      </c>
      <c r="B1184" s="70">
        <v>1</v>
      </c>
      <c r="C1184" s="70">
        <v>11</v>
      </c>
      <c r="D1184" s="71" t="s">
        <v>687</v>
      </c>
      <c r="E1184" s="72" t="s">
        <v>829</v>
      </c>
      <c r="F1184" s="73" t="str">
        <f t="shared" ref="F1184:F1187" si="98">TEXT(A1184,"00")&amp;TEXT(B1184,"00")&amp;TEXT(C1184,"00")</f>
        <v>590111</v>
      </c>
      <c r="G1184" s="72" t="str">
        <f t="shared" ref="G1184:G1187" si="99">TEXT(F1184,"000000")</f>
        <v>590111</v>
      </c>
      <c r="H1184" s="74" t="s">
        <v>4839</v>
      </c>
    </row>
    <row r="1185" spans="1:8" ht="18.75">
      <c r="A1185" s="70">
        <v>59</v>
      </c>
      <c r="B1185" s="70">
        <v>1</v>
      </c>
      <c r="C1185" s="70">
        <v>12</v>
      </c>
      <c r="D1185" s="71" t="s">
        <v>3343</v>
      </c>
      <c r="E1185" s="72" t="s">
        <v>829</v>
      </c>
      <c r="F1185" s="73" t="str">
        <f t="shared" si="98"/>
        <v>590112</v>
      </c>
      <c r="G1185" s="72" t="str">
        <f t="shared" si="99"/>
        <v>590112</v>
      </c>
      <c r="H1185" s="74" t="s">
        <v>4840</v>
      </c>
    </row>
    <row r="1186" spans="1:8" ht="18.75">
      <c r="A1186" s="70">
        <v>59</v>
      </c>
      <c r="B1186" s="70">
        <v>1</v>
      </c>
      <c r="C1186" s="70">
        <v>13</v>
      </c>
      <c r="D1186" s="71" t="s">
        <v>3606</v>
      </c>
      <c r="E1186" s="72" t="s">
        <v>829</v>
      </c>
      <c r="F1186" s="73" t="str">
        <f t="shared" si="98"/>
        <v>590113</v>
      </c>
      <c r="G1186" s="72" t="str">
        <f t="shared" si="99"/>
        <v>590113</v>
      </c>
      <c r="H1186" s="74" t="s">
        <v>4841</v>
      </c>
    </row>
    <row r="1187" spans="1:8" ht="18.75">
      <c r="A1187" s="70">
        <v>59</v>
      </c>
      <c r="B1187" s="70">
        <v>1</v>
      </c>
      <c r="C1187" s="70">
        <v>21</v>
      </c>
      <c r="D1187" s="71" t="s">
        <v>688</v>
      </c>
      <c r="E1187" s="72" t="s">
        <v>829</v>
      </c>
      <c r="F1187" s="73" t="str">
        <f t="shared" si="98"/>
        <v>590121</v>
      </c>
      <c r="G1187" s="72" t="str">
        <f t="shared" si="99"/>
        <v>590121</v>
      </c>
      <c r="H1187" s="74" t="s">
        <v>5559</v>
      </c>
    </row>
    <row r="1188" spans="1:8" ht="18.75">
      <c r="A1188" s="70">
        <v>59</v>
      </c>
      <c r="B1188" s="70">
        <v>1</v>
      </c>
      <c r="C1188" s="70">
        <v>22</v>
      </c>
      <c r="D1188" s="71" t="s">
        <v>3795</v>
      </c>
      <c r="E1188" s="72" t="s">
        <v>829</v>
      </c>
      <c r="F1188" s="73" t="str">
        <f>TEXT(A1188,"00")&amp;TEXT(B1188,"00")&amp;TEXT(C1188,"00")</f>
        <v>590122</v>
      </c>
      <c r="G1188" s="72" t="str">
        <f>TEXT(F1188,"000000")</f>
        <v>590122</v>
      </c>
      <c r="H1188" s="74" t="s">
        <v>4842</v>
      </c>
    </row>
    <row r="1189" spans="1:8" ht="18.75">
      <c r="A1189" s="70">
        <v>59</v>
      </c>
      <c r="B1189" s="70">
        <v>1</v>
      </c>
      <c r="C1189" s="70">
        <v>23</v>
      </c>
      <c r="D1189" s="71" t="s">
        <v>5560</v>
      </c>
      <c r="E1189" s="72" t="s">
        <v>829</v>
      </c>
      <c r="F1189" s="73" t="str">
        <f>TEXT(A1189,"00")&amp;TEXT(B1189,"00")&amp;TEXT(C1189,"00")</f>
        <v>590123</v>
      </c>
      <c r="G1189" s="72" t="str">
        <f>TEXT(F1189,"000000")</f>
        <v>590123</v>
      </c>
      <c r="H1189" s="74" t="s">
        <v>5561</v>
      </c>
    </row>
    <row r="1190" spans="1:8" ht="18.75">
      <c r="A1190" s="70">
        <v>59</v>
      </c>
      <c r="B1190" s="70">
        <v>1</v>
      </c>
      <c r="C1190" s="70">
        <v>24</v>
      </c>
      <c r="D1190" s="71" t="s">
        <v>4843</v>
      </c>
      <c r="E1190" s="72" t="s">
        <v>829</v>
      </c>
      <c r="F1190" s="73" t="str">
        <f>TEXT(A1190,"00")&amp;TEXT(B1190,"00")&amp;TEXT(C1190,"00")</f>
        <v>590124</v>
      </c>
      <c r="G1190" s="72" t="str">
        <f>TEXT(F1190,"000000")</f>
        <v>590124</v>
      </c>
      <c r="H1190" s="74" t="s">
        <v>5562</v>
      </c>
    </row>
    <row r="1191" spans="1:8" ht="18.75">
      <c r="A1191" s="70">
        <v>59</v>
      </c>
      <c r="B1191" s="70">
        <v>1</v>
      </c>
      <c r="C1191" s="70">
        <v>25</v>
      </c>
      <c r="D1191" s="71" t="s">
        <v>5563</v>
      </c>
      <c r="E1191" s="72" t="s">
        <v>829</v>
      </c>
      <c r="F1191" s="73" t="str">
        <f>TEXT(A1191,"00")&amp;TEXT(B1191,"00")&amp;TEXT(C1191,"00")</f>
        <v>590125</v>
      </c>
      <c r="G1191" s="72" t="str">
        <f>TEXT(F1191,"000000")</f>
        <v>590125</v>
      </c>
      <c r="H1191" s="74" t="s">
        <v>5564</v>
      </c>
    </row>
    <row r="1192" spans="1:8" ht="18.75">
      <c r="A1192" s="70">
        <v>59</v>
      </c>
      <c r="B1192" s="70">
        <v>1</v>
      </c>
      <c r="C1192" s="70">
        <v>26</v>
      </c>
      <c r="D1192" s="71" t="s">
        <v>6023</v>
      </c>
      <c r="E1192" s="72" t="s">
        <v>829</v>
      </c>
      <c r="F1192" s="73" t="str">
        <f>TEXT(A1192,"00")&amp;TEXT(B1192,"00")&amp;TEXT(C1192,"00")</f>
        <v>590126</v>
      </c>
      <c r="G1192" s="72" t="str">
        <f>TEXT(F1192,"000000")</f>
        <v>590126</v>
      </c>
      <c r="H1192" s="74" t="s">
        <v>6024</v>
      </c>
    </row>
    <row r="1193" spans="1:8" ht="18.75">
      <c r="A1193" s="66">
        <v>59</v>
      </c>
      <c r="B1193" s="66">
        <v>2</v>
      </c>
      <c r="C1193" s="66">
        <v>0</v>
      </c>
      <c r="D1193" s="67" t="s">
        <v>2896</v>
      </c>
      <c r="E1193" s="68"/>
      <c r="F1193" s="78"/>
      <c r="G1193" s="79"/>
      <c r="H1193" s="80"/>
    </row>
    <row r="1194" spans="1:8" ht="18.75">
      <c r="A1194" s="70">
        <v>59</v>
      </c>
      <c r="B1194" s="70">
        <v>2</v>
      </c>
      <c r="C1194" s="70">
        <v>11</v>
      </c>
      <c r="D1194" s="71" t="s">
        <v>3646</v>
      </c>
      <c r="E1194" s="72" t="s">
        <v>829</v>
      </c>
      <c r="F1194" s="73" t="str">
        <f t="shared" ref="F1194:F1199" si="100">TEXT(A1194,"00")&amp;TEXT(B1194,"00")&amp;TEXT(C1194,"00")</f>
        <v>590211</v>
      </c>
      <c r="G1194" s="72" t="str">
        <f t="shared" ref="G1194:G1199" si="101">TEXT(F1194,"000000")</f>
        <v>590211</v>
      </c>
      <c r="H1194" s="74" t="s">
        <v>4844</v>
      </c>
    </row>
    <row r="1195" spans="1:8" ht="18.75">
      <c r="A1195" s="70">
        <v>59</v>
      </c>
      <c r="B1195" s="70">
        <v>2</v>
      </c>
      <c r="C1195" s="70">
        <v>12</v>
      </c>
      <c r="D1195" s="71" t="s">
        <v>279</v>
      </c>
      <c r="E1195" s="72" t="s">
        <v>829</v>
      </c>
      <c r="F1195" s="73" t="str">
        <f t="shared" si="100"/>
        <v>590212</v>
      </c>
      <c r="G1195" s="72" t="str">
        <f t="shared" si="101"/>
        <v>590212</v>
      </c>
      <c r="H1195" s="74" t="s">
        <v>4845</v>
      </c>
    </row>
    <row r="1196" spans="1:8" ht="18.75">
      <c r="A1196" s="70">
        <v>59</v>
      </c>
      <c r="B1196" s="70">
        <v>2</v>
      </c>
      <c r="C1196" s="70">
        <v>21</v>
      </c>
      <c r="D1196" s="71" t="s">
        <v>190</v>
      </c>
      <c r="E1196" s="72" t="s">
        <v>829</v>
      </c>
      <c r="F1196" s="73" t="str">
        <f t="shared" si="100"/>
        <v>590221</v>
      </c>
      <c r="G1196" s="72" t="str">
        <f t="shared" si="101"/>
        <v>590221</v>
      </c>
      <c r="H1196" s="74" t="s">
        <v>4846</v>
      </c>
    </row>
    <row r="1197" spans="1:8" ht="18.75">
      <c r="A1197" s="70">
        <v>59</v>
      </c>
      <c r="B1197" s="70">
        <v>2</v>
      </c>
      <c r="C1197" s="70">
        <v>22</v>
      </c>
      <c r="D1197" s="71" t="s">
        <v>3765</v>
      </c>
      <c r="E1197" s="72" t="s">
        <v>829</v>
      </c>
      <c r="F1197" s="73" t="str">
        <f t="shared" si="100"/>
        <v>590222</v>
      </c>
      <c r="G1197" s="72" t="str">
        <f t="shared" si="101"/>
        <v>590222</v>
      </c>
      <c r="H1197" s="74" t="s">
        <v>4847</v>
      </c>
    </row>
    <row r="1198" spans="1:8" ht="18.75">
      <c r="A1198" s="70">
        <v>59</v>
      </c>
      <c r="B1198" s="70">
        <v>2</v>
      </c>
      <c r="C1198" s="70">
        <v>23</v>
      </c>
      <c r="D1198" s="71" t="s">
        <v>3779</v>
      </c>
      <c r="E1198" s="72" t="s">
        <v>829</v>
      </c>
      <c r="F1198" s="73" t="str">
        <f t="shared" si="100"/>
        <v>590223</v>
      </c>
      <c r="G1198" s="72" t="str">
        <f t="shared" si="101"/>
        <v>590223</v>
      </c>
      <c r="H1198" s="74" t="s">
        <v>4848</v>
      </c>
    </row>
    <row r="1199" spans="1:8" ht="18.75">
      <c r="A1199" s="70">
        <v>59</v>
      </c>
      <c r="B1199" s="70">
        <v>2</v>
      </c>
      <c r="C1199" s="70">
        <v>24</v>
      </c>
      <c r="D1199" s="71" t="s">
        <v>4849</v>
      </c>
      <c r="E1199" s="72" t="s">
        <v>829</v>
      </c>
      <c r="F1199" s="73" t="str">
        <f t="shared" si="100"/>
        <v>590224</v>
      </c>
      <c r="G1199" s="72" t="str">
        <f t="shared" si="101"/>
        <v>590224</v>
      </c>
      <c r="H1199" s="74" t="s">
        <v>4850</v>
      </c>
    </row>
    <row r="1200" spans="1:8" ht="18.75">
      <c r="A1200" s="66">
        <v>59</v>
      </c>
      <c r="B1200" s="66">
        <v>3</v>
      </c>
      <c r="C1200" s="66">
        <v>0</v>
      </c>
      <c r="D1200" s="67" t="s">
        <v>2895</v>
      </c>
      <c r="E1200" s="68"/>
      <c r="F1200" s="78"/>
      <c r="G1200" s="79"/>
      <c r="H1200" s="80"/>
    </row>
    <row r="1201" spans="1:8" ht="18.75">
      <c r="A1201" s="70">
        <v>59</v>
      </c>
      <c r="B1201" s="70">
        <v>3</v>
      </c>
      <c r="C1201" s="70">
        <v>11</v>
      </c>
      <c r="D1201" s="71" t="s">
        <v>5779</v>
      </c>
      <c r="E1201" s="72" t="s">
        <v>829</v>
      </c>
      <c r="F1201" s="73" t="str">
        <f>TEXT(A1201,"00")&amp;TEXT(B1201,"00")&amp;TEXT(C1201,"00")</f>
        <v>590311</v>
      </c>
      <c r="G1201" s="72" t="str">
        <f>TEXT(F1201,"000000")</f>
        <v>590311</v>
      </c>
      <c r="H1201" s="74" t="s">
        <v>5565</v>
      </c>
    </row>
    <row r="1202" spans="1:8" ht="18.75">
      <c r="A1202" s="70">
        <v>59</v>
      </c>
      <c r="B1202" s="70">
        <v>3</v>
      </c>
      <c r="C1202" s="70">
        <v>12</v>
      </c>
      <c r="D1202" s="71" t="s">
        <v>4851</v>
      </c>
      <c r="E1202" s="72" t="s">
        <v>829</v>
      </c>
      <c r="F1202" s="73" t="str">
        <f>TEXT(A1202,"00")&amp;TEXT(B1202,"00")&amp;TEXT(C1202,"00")</f>
        <v>590312</v>
      </c>
      <c r="G1202" s="72" t="str">
        <f>TEXT(F1202,"000000")</f>
        <v>590312</v>
      </c>
      <c r="H1202" s="74" t="s">
        <v>5566</v>
      </c>
    </row>
    <row r="1203" spans="1:8" ht="18.75">
      <c r="A1203" s="70">
        <v>59</v>
      </c>
      <c r="B1203" s="70">
        <v>3</v>
      </c>
      <c r="C1203" s="70">
        <v>13</v>
      </c>
      <c r="D1203" s="71" t="s">
        <v>5780</v>
      </c>
      <c r="E1203" s="72" t="s">
        <v>829</v>
      </c>
      <c r="F1203" s="73" t="str">
        <f t="shared" ref="F1203:F1204" si="102">TEXT(A1203,"00")&amp;TEXT(B1203,"00")&amp;TEXT(C1203,"00")</f>
        <v>590313</v>
      </c>
      <c r="G1203" s="72" t="str">
        <f t="shared" ref="G1203:G1204" si="103">TEXT(F1203,"000000")</f>
        <v>590313</v>
      </c>
      <c r="H1203" s="74" t="s">
        <v>5781</v>
      </c>
    </row>
    <row r="1204" spans="1:8" ht="18.75">
      <c r="A1204" s="70">
        <v>59</v>
      </c>
      <c r="B1204" s="70">
        <v>3</v>
      </c>
      <c r="C1204" s="70">
        <v>14</v>
      </c>
      <c r="D1204" s="71" t="s">
        <v>5782</v>
      </c>
      <c r="E1204" s="72" t="s">
        <v>829</v>
      </c>
      <c r="F1204" s="73" t="str">
        <f t="shared" si="102"/>
        <v>590314</v>
      </c>
      <c r="G1204" s="72" t="str">
        <f t="shared" si="103"/>
        <v>590314</v>
      </c>
      <c r="H1204" s="74" t="s">
        <v>5783</v>
      </c>
    </row>
    <row r="1205" spans="1:8" ht="18.75">
      <c r="A1205" s="62">
        <v>60</v>
      </c>
      <c r="B1205" s="62">
        <v>0</v>
      </c>
      <c r="C1205" s="62">
        <v>0</v>
      </c>
      <c r="D1205" s="63" t="s">
        <v>2897</v>
      </c>
      <c r="E1205" s="64"/>
      <c r="F1205" s="75"/>
      <c r="G1205" s="76"/>
      <c r="H1205" s="77"/>
    </row>
    <row r="1206" spans="1:8" ht="18.75">
      <c r="A1206" s="66">
        <v>60</v>
      </c>
      <c r="B1206" s="66">
        <v>1</v>
      </c>
      <c r="C1206" s="66">
        <v>0</v>
      </c>
      <c r="D1206" s="67" t="s">
        <v>2899</v>
      </c>
      <c r="E1206" s="68"/>
      <c r="F1206" s="78"/>
      <c r="G1206" s="79"/>
      <c r="H1206" s="80"/>
    </row>
    <row r="1207" spans="1:8" ht="18.75">
      <c r="A1207" s="70">
        <v>60</v>
      </c>
      <c r="B1207" s="70">
        <v>1</v>
      </c>
      <c r="C1207" s="70">
        <v>11</v>
      </c>
      <c r="D1207" s="71" t="s">
        <v>30</v>
      </c>
      <c r="E1207" s="72" t="s">
        <v>829</v>
      </c>
      <c r="F1207" s="73" t="str">
        <f t="shared" ref="F1207:F1214" si="104">TEXT(A1207,"00")&amp;TEXT(B1207,"00")&amp;TEXT(C1207,"00")</f>
        <v>600111</v>
      </c>
      <c r="G1207" s="72" t="str">
        <f t="shared" ref="G1207:G1214" si="105">TEXT(F1207,"000000")</f>
        <v>600111</v>
      </c>
      <c r="H1207" s="74" t="s">
        <v>4852</v>
      </c>
    </row>
    <row r="1208" spans="1:8" ht="18.75">
      <c r="A1208" s="70">
        <v>60</v>
      </c>
      <c r="B1208" s="70">
        <v>1</v>
      </c>
      <c r="C1208" s="70">
        <v>12</v>
      </c>
      <c r="D1208" s="71" t="s">
        <v>31</v>
      </c>
      <c r="E1208" s="72" t="s">
        <v>829</v>
      </c>
      <c r="F1208" s="73" t="str">
        <f t="shared" si="104"/>
        <v>600112</v>
      </c>
      <c r="G1208" s="72" t="str">
        <f t="shared" si="105"/>
        <v>600112</v>
      </c>
      <c r="H1208" s="74" t="s">
        <v>4853</v>
      </c>
    </row>
    <row r="1209" spans="1:8" ht="18.75">
      <c r="A1209" s="70">
        <v>60</v>
      </c>
      <c r="B1209" s="70">
        <v>1</v>
      </c>
      <c r="C1209" s="70">
        <v>13</v>
      </c>
      <c r="D1209" s="71" t="s">
        <v>3647</v>
      </c>
      <c r="E1209" s="72" t="s">
        <v>829</v>
      </c>
      <c r="F1209" s="73" t="str">
        <f t="shared" si="104"/>
        <v>600113</v>
      </c>
      <c r="G1209" s="72" t="str">
        <f t="shared" si="105"/>
        <v>600113</v>
      </c>
      <c r="H1209" s="74" t="s">
        <v>4854</v>
      </c>
    </row>
    <row r="1210" spans="1:8" ht="18.75">
      <c r="A1210" s="70">
        <v>60</v>
      </c>
      <c r="B1210" s="70">
        <v>1</v>
      </c>
      <c r="C1210" s="70">
        <v>21</v>
      </c>
      <c r="D1210" s="71" t="s">
        <v>3347</v>
      </c>
      <c r="E1210" s="72" t="s">
        <v>829</v>
      </c>
      <c r="F1210" s="73" t="str">
        <f t="shared" si="104"/>
        <v>600121</v>
      </c>
      <c r="G1210" s="72" t="str">
        <f t="shared" si="105"/>
        <v>600121</v>
      </c>
      <c r="H1210" s="74" t="s">
        <v>4855</v>
      </c>
    </row>
    <row r="1211" spans="1:8" ht="18.75">
      <c r="A1211" s="70">
        <v>60</v>
      </c>
      <c r="B1211" s="70">
        <v>1</v>
      </c>
      <c r="C1211" s="70">
        <v>31</v>
      </c>
      <c r="D1211" s="71" t="s">
        <v>3344</v>
      </c>
      <c r="E1211" s="72" t="s">
        <v>829</v>
      </c>
      <c r="F1211" s="73" t="str">
        <f t="shared" si="104"/>
        <v>600131</v>
      </c>
      <c r="G1211" s="72" t="str">
        <f t="shared" si="105"/>
        <v>600131</v>
      </c>
      <c r="H1211" s="74" t="s">
        <v>4856</v>
      </c>
    </row>
    <row r="1212" spans="1:8" ht="18.75">
      <c r="A1212" s="70">
        <v>60</v>
      </c>
      <c r="B1212" s="70">
        <v>1</v>
      </c>
      <c r="C1212" s="70">
        <v>32</v>
      </c>
      <c r="D1212" s="71" t="s">
        <v>3345</v>
      </c>
      <c r="E1212" s="72" t="s">
        <v>829</v>
      </c>
      <c r="F1212" s="73" t="str">
        <f t="shared" si="104"/>
        <v>600132</v>
      </c>
      <c r="G1212" s="72" t="str">
        <f t="shared" si="105"/>
        <v>600132</v>
      </c>
      <c r="H1212" s="74" t="s">
        <v>4857</v>
      </c>
    </row>
    <row r="1213" spans="1:8" ht="18.75">
      <c r="A1213" s="70">
        <v>60</v>
      </c>
      <c r="B1213" s="70">
        <v>1</v>
      </c>
      <c r="C1213" s="70">
        <v>33</v>
      </c>
      <c r="D1213" s="71" t="s">
        <v>3348</v>
      </c>
      <c r="E1213" s="72" t="s">
        <v>829</v>
      </c>
      <c r="F1213" s="73" t="str">
        <f t="shared" si="104"/>
        <v>600133</v>
      </c>
      <c r="G1213" s="72" t="str">
        <f t="shared" si="105"/>
        <v>600133</v>
      </c>
      <c r="H1213" s="74" t="s">
        <v>4858</v>
      </c>
    </row>
    <row r="1214" spans="1:8" ht="18.75">
      <c r="A1214" s="70">
        <v>60</v>
      </c>
      <c r="B1214" s="70">
        <v>1</v>
      </c>
      <c r="C1214" s="70">
        <v>34</v>
      </c>
      <c r="D1214" s="71" t="s">
        <v>3346</v>
      </c>
      <c r="E1214" s="72" t="s">
        <v>829</v>
      </c>
      <c r="F1214" s="73" t="str">
        <f t="shared" si="104"/>
        <v>600134</v>
      </c>
      <c r="G1214" s="72" t="str">
        <f t="shared" si="105"/>
        <v>600134</v>
      </c>
      <c r="H1214" s="74" t="s">
        <v>4859</v>
      </c>
    </row>
    <row r="1215" spans="1:8" ht="18.75">
      <c r="A1215" s="66">
        <v>60</v>
      </c>
      <c r="B1215" s="66">
        <v>2</v>
      </c>
      <c r="C1215" s="66">
        <v>0</v>
      </c>
      <c r="D1215" s="67" t="s">
        <v>2898</v>
      </c>
      <c r="E1215" s="68"/>
      <c r="F1215" s="78"/>
      <c r="G1215" s="79"/>
      <c r="H1215" s="80"/>
    </row>
    <row r="1216" spans="1:8" ht="18.75">
      <c r="A1216" s="70">
        <v>60</v>
      </c>
      <c r="B1216" s="70">
        <v>2</v>
      </c>
      <c r="C1216" s="70">
        <v>11</v>
      </c>
      <c r="D1216" s="71" t="s">
        <v>621</v>
      </c>
      <c r="E1216" s="72" t="s">
        <v>829</v>
      </c>
      <c r="F1216" s="73" t="str">
        <f>TEXT(A1216,"00")&amp;TEXT(B1216,"00")&amp;TEXT(C1216,"00")</f>
        <v>600211</v>
      </c>
      <c r="G1216" s="72" t="str">
        <f>TEXT(F1216,"000000")</f>
        <v>600211</v>
      </c>
      <c r="H1216" s="74" t="s">
        <v>4860</v>
      </c>
    </row>
    <row r="1217" spans="1:8" ht="18.75">
      <c r="A1217" s="70">
        <v>60</v>
      </c>
      <c r="B1217" s="70">
        <v>2</v>
      </c>
      <c r="C1217" s="70">
        <v>20</v>
      </c>
      <c r="D1217" s="71" t="s">
        <v>3350</v>
      </c>
      <c r="E1217" s="72" t="s">
        <v>829</v>
      </c>
      <c r="F1217" s="73" t="str">
        <f>TEXT(A1217,"00")&amp;TEXT(B1217,"00")&amp;TEXT(C1217,"00")</f>
        <v>600220</v>
      </c>
      <c r="G1217" s="72" t="str">
        <f>TEXT(F1217,"000000")</f>
        <v>600220</v>
      </c>
      <c r="H1217" s="74" t="s">
        <v>4861</v>
      </c>
    </row>
    <row r="1218" spans="1:8" ht="18.75">
      <c r="A1218" s="70">
        <v>60</v>
      </c>
      <c r="B1218" s="70">
        <v>2</v>
      </c>
      <c r="C1218" s="70">
        <v>21</v>
      </c>
      <c r="D1218" s="71" t="s">
        <v>3349</v>
      </c>
      <c r="E1218" s="72" t="s">
        <v>829</v>
      </c>
      <c r="F1218" s="73" t="str">
        <f>TEXT(A1218,"00")&amp;TEXT(B1218,"00")&amp;TEXT(C1218,"00")</f>
        <v>600221</v>
      </c>
      <c r="G1218" s="72" t="str">
        <f>TEXT(F1218,"000000")</f>
        <v>600221</v>
      </c>
      <c r="H1218" s="74" t="s">
        <v>5567</v>
      </c>
    </row>
    <row r="1219" spans="1:8" ht="18.75">
      <c r="A1219" s="70">
        <v>60</v>
      </c>
      <c r="B1219" s="70">
        <v>2</v>
      </c>
      <c r="C1219" s="70">
        <v>22</v>
      </c>
      <c r="D1219" s="71" t="s">
        <v>5444</v>
      </c>
      <c r="E1219" s="72" t="s">
        <v>829</v>
      </c>
      <c r="F1219" s="73" t="str">
        <f>TEXT(A1219,"00")&amp;TEXT(B1219,"00")&amp;TEXT(C1219,"00")</f>
        <v>600222</v>
      </c>
      <c r="G1219" s="72" t="str">
        <f>TEXT(F1219,"000000")</f>
        <v>600222</v>
      </c>
      <c r="H1219" s="74" t="s">
        <v>5568</v>
      </c>
    </row>
    <row r="1220" spans="1:8" ht="18.75">
      <c r="A1220" s="66">
        <v>60</v>
      </c>
      <c r="B1220" s="66">
        <v>3</v>
      </c>
      <c r="C1220" s="66">
        <v>0</v>
      </c>
      <c r="D1220" s="67" t="s">
        <v>2900</v>
      </c>
      <c r="E1220" s="68"/>
      <c r="F1220" s="78"/>
      <c r="G1220" s="79"/>
      <c r="H1220" s="80"/>
    </row>
    <row r="1221" spans="1:8" ht="18.75">
      <c r="A1221" s="70">
        <v>60</v>
      </c>
      <c r="B1221" s="70">
        <v>3</v>
      </c>
      <c r="C1221" s="70">
        <v>10</v>
      </c>
      <c r="D1221" s="71" t="s">
        <v>3353</v>
      </c>
      <c r="E1221" s="72" t="s">
        <v>829</v>
      </c>
      <c r="F1221" s="73" t="str">
        <f t="shared" ref="F1221:F1234" si="106">TEXT(A1221,"00")&amp;TEXT(B1221,"00")&amp;TEXT(C1221,"00")</f>
        <v>600310</v>
      </c>
      <c r="G1221" s="72" t="str">
        <f t="shared" ref="G1221:G1234" si="107">TEXT(F1221,"000000")</f>
        <v>600310</v>
      </c>
      <c r="H1221" s="74" t="s">
        <v>4862</v>
      </c>
    </row>
    <row r="1222" spans="1:8" ht="18.75">
      <c r="A1222" s="70">
        <v>60</v>
      </c>
      <c r="B1222" s="70">
        <v>3</v>
      </c>
      <c r="C1222" s="70">
        <v>11</v>
      </c>
      <c r="D1222" s="71" t="s">
        <v>360</v>
      </c>
      <c r="E1222" s="72" t="s">
        <v>829</v>
      </c>
      <c r="F1222" s="73" t="str">
        <f t="shared" si="106"/>
        <v>600311</v>
      </c>
      <c r="G1222" s="72" t="str">
        <f t="shared" si="107"/>
        <v>600311</v>
      </c>
      <c r="H1222" s="74" t="s">
        <v>4863</v>
      </c>
    </row>
    <row r="1223" spans="1:8" ht="18.75">
      <c r="A1223" s="70">
        <v>60</v>
      </c>
      <c r="B1223" s="70">
        <v>3</v>
      </c>
      <c r="C1223" s="70">
        <v>12</v>
      </c>
      <c r="D1223" s="71" t="s">
        <v>3357</v>
      </c>
      <c r="E1223" s="72" t="s">
        <v>829</v>
      </c>
      <c r="F1223" s="73" t="str">
        <f t="shared" si="106"/>
        <v>600312</v>
      </c>
      <c r="G1223" s="72" t="str">
        <f t="shared" si="107"/>
        <v>600312</v>
      </c>
      <c r="H1223" s="74" t="s">
        <v>4864</v>
      </c>
    </row>
    <row r="1224" spans="1:8" ht="18.75">
      <c r="A1224" s="70">
        <v>60</v>
      </c>
      <c r="B1224" s="70">
        <v>3</v>
      </c>
      <c r="C1224" s="70">
        <v>13</v>
      </c>
      <c r="D1224" s="71" t="s">
        <v>3358</v>
      </c>
      <c r="E1224" s="72" t="s">
        <v>829</v>
      </c>
      <c r="F1224" s="73" t="str">
        <f t="shared" si="106"/>
        <v>600313</v>
      </c>
      <c r="G1224" s="72" t="str">
        <f t="shared" si="107"/>
        <v>600313</v>
      </c>
      <c r="H1224" s="74" t="s">
        <v>4865</v>
      </c>
    </row>
    <row r="1225" spans="1:8" ht="18.75">
      <c r="A1225" s="70">
        <v>60</v>
      </c>
      <c r="B1225" s="70">
        <v>3</v>
      </c>
      <c r="C1225" s="70">
        <v>14</v>
      </c>
      <c r="D1225" s="71" t="s">
        <v>3351</v>
      </c>
      <c r="E1225" s="72" t="s">
        <v>829</v>
      </c>
      <c r="F1225" s="73" t="str">
        <f t="shared" si="106"/>
        <v>600314</v>
      </c>
      <c r="G1225" s="72" t="str">
        <f t="shared" si="107"/>
        <v>600314</v>
      </c>
      <c r="H1225" s="74" t="s">
        <v>4866</v>
      </c>
    </row>
    <row r="1226" spans="1:8" ht="18.75">
      <c r="A1226" s="70">
        <v>60</v>
      </c>
      <c r="B1226" s="70">
        <v>3</v>
      </c>
      <c r="C1226" s="70">
        <v>15</v>
      </c>
      <c r="D1226" s="71" t="s">
        <v>3352</v>
      </c>
      <c r="E1226" s="72" t="s">
        <v>829</v>
      </c>
      <c r="F1226" s="73" t="str">
        <f t="shared" si="106"/>
        <v>600315</v>
      </c>
      <c r="G1226" s="72" t="str">
        <f t="shared" si="107"/>
        <v>600315</v>
      </c>
      <c r="H1226" s="74" t="s">
        <v>4867</v>
      </c>
    </row>
    <row r="1227" spans="1:8" ht="18.75">
      <c r="A1227" s="70">
        <v>60</v>
      </c>
      <c r="B1227" s="70">
        <v>3</v>
      </c>
      <c r="C1227" s="70">
        <v>16</v>
      </c>
      <c r="D1227" s="71" t="s">
        <v>363</v>
      </c>
      <c r="E1227" s="72" t="s">
        <v>829</v>
      </c>
      <c r="F1227" s="73" t="str">
        <f t="shared" si="106"/>
        <v>600316</v>
      </c>
      <c r="G1227" s="72" t="str">
        <f t="shared" si="107"/>
        <v>600316</v>
      </c>
      <c r="H1227" s="74" t="s">
        <v>4868</v>
      </c>
    </row>
    <row r="1228" spans="1:8" ht="18.75">
      <c r="A1228" s="70">
        <v>60</v>
      </c>
      <c r="B1228" s="70">
        <v>3</v>
      </c>
      <c r="C1228" s="70">
        <v>17</v>
      </c>
      <c r="D1228" s="71" t="s">
        <v>3354</v>
      </c>
      <c r="E1228" s="72" t="s">
        <v>829</v>
      </c>
      <c r="F1228" s="73" t="str">
        <f t="shared" si="106"/>
        <v>600317</v>
      </c>
      <c r="G1228" s="72" t="str">
        <f t="shared" si="107"/>
        <v>600317</v>
      </c>
      <c r="H1228" s="74" t="s">
        <v>4869</v>
      </c>
    </row>
    <row r="1229" spans="1:8" ht="18.75">
      <c r="A1229" s="70">
        <v>60</v>
      </c>
      <c r="B1229" s="70">
        <v>3</v>
      </c>
      <c r="C1229" s="70">
        <v>18</v>
      </c>
      <c r="D1229" s="71" t="s">
        <v>3355</v>
      </c>
      <c r="E1229" s="72" t="s">
        <v>829</v>
      </c>
      <c r="F1229" s="73" t="str">
        <f t="shared" si="106"/>
        <v>600318</v>
      </c>
      <c r="G1229" s="72" t="str">
        <f t="shared" si="107"/>
        <v>600318</v>
      </c>
      <c r="H1229" s="74" t="s">
        <v>4870</v>
      </c>
    </row>
    <row r="1230" spans="1:8" ht="18.75">
      <c r="A1230" s="70">
        <v>60</v>
      </c>
      <c r="B1230" s="70">
        <v>3</v>
      </c>
      <c r="C1230" s="70">
        <v>19</v>
      </c>
      <c r="D1230" s="71" t="s">
        <v>3356</v>
      </c>
      <c r="E1230" s="72" t="s">
        <v>829</v>
      </c>
      <c r="F1230" s="73" t="str">
        <f t="shared" si="106"/>
        <v>600319</v>
      </c>
      <c r="G1230" s="72" t="str">
        <f t="shared" si="107"/>
        <v>600319</v>
      </c>
      <c r="H1230" s="74" t="s">
        <v>4871</v>
      </c>
    </row>
    <row r="1231" spans="1:8" ht="18.75">
      <c r="A1231" s="70">
        <v>60</v>
      </c>
      <c r="B1231" s="70">
        <v>3</v>
      </c>
      <c r="C1231" s="70">
        <v>20</v>
      </c>
      <c r="D1231" s="71" t="s">
        <v>561</v>
      </c>
      <c r="E1231" s="72" t="s">
        <v>829</v>
      </c>
      <c r="F1231" s="73" t="str">
        <f t="shared" si="106"/>
        <v>600320</v>
      </c>
      <c r="G1231" s="72" t="str">
        <f t="shared" si="107"/>
        <v>600320</v>
      </c>
      <c r="H1231" s="74" t="s">
        <v>4872</v>
      </c>
    </row>
    <row r="1232" spans="1:8" ht="18.75">
      <c r="A1232" s="70">
        <v>60</v>
      </c>
      <c r="B1232" s="70">
        <v>3</v>
      </c>
      <c r="C1232" s="70">
        <v>21</v>
      </c>
      <c r="D1232" s="71" t="s">
        <v>3618</v>
      </c>
      <c r="E1232" s="72" t="s">
        <v>829</v>
      </c>
      <c r="F1232" s="73" t="str">
        <f t="shared" si="106"/>
        <v>600321</v>
      </c>
      <c r="G1232" s="72" t="str">
        <f t="shared" si="107"/>
        <v>600321</v>
      </c>
      <c r="H1232" s="74" t="s">
        <v>4873</v>
      </c>
    </row>
    <row r="1233" spans="1:8" ht="18.75">
      <c r="A1233" s="70">
        <v>60</v>
      </c>
      <c r="B1233" s="70">
        <v>3</v>
      </c>
      <c r="C1233" s="70">
        <v>22</v>
      </c>
      <c r="D1233" s="71" t="s">
        <v>3771</v>
      </c>
      <c r="E1233" s="72" t="s">
        <v>829</v>
      </c>
      <c r="F1233" s="73" t="str">
        <f t="shared" si="106"/>
        <v>600322</v>
      </c>
      <c r="G1233" s="72" t="str">
        <f t="shared" si="107"/>
        <v>600322</v>
      </c>
      <c r="H1233" s="74" t="s">
        <v>4874</v>
      </c>
    </row>
    <row r="1234" spans="1:8" ht="18.75">
      <c r="A1234" s="70">
        <v>60</v>
      </c>
      <c r="B1234" s="70">
        <v>3</v>
      </c>
      <c r="C1234" s="70">
        <v>23</v>
      </c>
      <c r="D1234" s="71" t="s">
        <v>6025</v>
      </c>
      <c r="E1234" s="72" t="s">
        <v>829</v>
      </c>
      <c r="F1234" s="73" t="str">
        <f t="shared" si="106"/>
        <v>600323</v>
      </c>
      <c r="G1234" s="72" t="str">
        <f t="shared" si="107"/>
        <v>600323</v>
      </c>
      <c r="H1234" s="74" t="s">
        <v>5878</v>
      </c>
    </row>
    <row r="1235" spans="1:8" ht="18.75">
      <c r="A1235" s="66">
        <v>60</v>
      </c>
      <c r="B1235" s="66">
        <v>4</v>
      </c>
      <c r="C1235" s="66">
        <v>0</v>
      </c>
      <c r="D1235" s="67" t="s">
        <v>3607</v>
      </c>
      <c r="E1235" s="68"/>
      <c r="F1235" s="78"/>
      <c r="G1235" s="79"/>
      <c r="H1235" s="80"/>
    </row>
    <row r="1236" spans="1:8" ht="18.75">
      <c r="A1236" s="70">
        <v>60</v>
      </c>
      <c r="B1236" s="70">
        <v>4</v>
      </c>
      <c r="C1236" s="70">
        <v>11</v>
      </c>
      <c r="D1236" s="71" t="s">
        <v>3608</v>
      </c>
      <c r="E1236" s="72" t="s">
        <v>829</v>
      </c>
      <c r="F1236" s="73" t="str">
        <f>TEXT(A1236,"00")&amp;TEXT(B1236,"00")&amp;TEXT(C1236,"00")</f>
        <v>600411</v>
      </c>
      <c r="G1236" s="72" t="str">
        <f>TEXT(F1236,"000000")</f>
        <v>600411</v>
      </c>
      <c r="H1236" s="74" t="s">
        <v>4875</v>
      </c>
    </row>
    <row r="1237" spans="1:8" ht="18.75">
      <c r="A1237" s="70">
        <v>60</v>
      </c>
      <c r="B1237" s="70">
        <v>4</v>
      </c>
      <c r="C1237" s="70">
        <v>12</v>
      </c>
      <c r="D1237" s="71" t="s">
        <v>3609</v>
      </c>
      <c r="E1237" s="72" t="s">
        <v>829</v>
      </c>
      <c r="F1237" s="73" t="str">
        <f>TEXT(A1237,"00")&amp;TEXT(B1237,"00")&amp;TEXT(C1237,"00")</f>
        <v>600412</v>
      </c>
      <c r="G1237" s="72" t="str">
        <f>TEXT(F1237,"000000")</f>
        <v>600412</v>
      </c>
      <c r="H1237" s="74" t="s">
        <v>4876</v>
      </c>
    </row>
    <row r="1238" spans="1:8" ht="18.75">
      <c r="A1238" s="70">
        <v>60</v>
      </c>
      <c r="B1238" s="70">
        <v>4</v>
      </c>
      <c r="C1238" s="70">
        <v>13</v>
      </c>
      <c r="D1238" s="71" t="s">
        <v>3612</v>
      </c>
      <c r="E1238" s="72" t="s">
        <v>4651</v>
      </c>
      <c r="F1238" s="73" t="str">
        <f>TEXT(A1238,"00")&amp;TEXT(B1238,"00")&amp;TEXT(C1238,"00")</f>
        <v>600413</v>
      </c>
      <c r="G1238" s="72" t="str">
        <f>TEXT(F1238,"000000")</f>
        <v>600413</v>
      </c>
      <c r="H1238" s="74" t="s">
        <v>4877</v>
      </c>
    </row>
    <row r="1239" spans="1:8" ht="18.75">
      <c r="A1239" s="62">
        <v>61</v>
      </c>
      <c r="B1239" s="62">
        <v>0</v>
      </c>
      <c r="C1239" s="62">
        <v>0</v>
      </c>
      <c r="D1239" s="63" t="s">
        <v>2901</v>
      </c>
      <c r="E1239" s="64"/>
      <c r="F1239" s="75"/>
      <c r="G1239" s="76"/>
      <c r="H1239" s="77"/>
    </row>
    <row r="1240" spans="1:8" ht="18.75">
      <c r="A1240" s="66">
        <v>61</v>
      </c>
      <c r="B1240" s="66">
        <v>1</v>
      </c>
      <c r="C1240" s="66">
        <v>0</v>
      </c>
      <c r="D1240" s="67" t="s">
        <v>2995</v>
      </c>
      <c r="E1240" s="68"/>
      <c r="F1240" s="78"/>
      <c r="G1240" s="79"/>
      <c r="H1240" s="80"/>
    </row>
    <row r="1241" spans="1:8" ht="18.75">
      <c r="A1241" s="70">
        <v>61</v>
      </c>
      <c r="B1241" s="70">
        <v>1</v>
      </c>
      <c r="C1241" s="70">
        <v>11</v>
      </c>
      <c r="D1241" s="71" t="s">
        <v>192</v>
      </c>
      <c r="E1241" s="72" t="s">
        <v>829</v>
      </c>
      <c r="F1241" s="73" t="str">
        <f t="shared" ref="F1241:F1251" si="108">TEXT(A1241,"00")&amp;TEXT(B1241,"00")&amp;TEXT(C1241,"00")</f>
        <v>610111</v>
      </c>
      <c r="G1241" s="72" t="str">
        <f t="shared" ref="G1241:G1251" si="109">TEXT(F1241,"000000")</f>
        <v>610111</v>
      </c>
      <c r="H1241" s="74" t="s">
        <v>4878</v>
      </c>
    </row>
    <row r="1242" spans="1:8" ht="18.75">
      <c r="A1242" s="70">
        <v>61</v>
      </c>
      <c r="B1242" s="70">
        <v>1</v>
      </c>
      <c r="C1242" s="70">
        <v>21</v>
      </c>
      <c r="D1242" s="71" t="s">
        <v>557</v>
      </c>
      <c r="E1242" s="72" t="s">
        <v>4049</v>
      </c>
      <c r="F1242" s="73" t="str">
        <f t="shared" si="108"/>
        <v>610121</v>
      </c>
      <c r="G1242" s="72" t="str">
        <f t="shared" si="109"/>
        <v>610121</v>
      </c>
      <c r="H1242" s="74" t="s">
        <v>4879</v>
      </c>
    </row>
    <row r="1243" spans="1:8" ht="18.75">
      <c r="A1243" s="70">
        <v>61</v>
      </c>
      <c r="B1243" s="70">
        <v>1</v>
      </c>
      <c r="C1243" s="70">
        <v>31</v>
      </c>
      <c r="D1243" s="71" t="s">
        <v>193</v>
      </c>
      <c r="E1243" s="72" t="s">
        <v>829</v>
      </c>
      <c r="F1243" s="73" t="str">
        <f t="shared" si="108"/>
        <v>610131</v>
      </c>
      <c r="G1243" s="72" t="str">
        <f t="shared" si="109"/>
        <v>610131</v>
      </c>
      <c r="H1243" s="74" t="s">
        <v>5569</v>
      </c>
    </row>
    <row r="1244" spans="1:8" ht="18.75">
      <c r="A1244" s="70">
        <v>61</v>
      </c>
      <c r="B1244" s="70">
        <v>1</v>
      </c>
      <c r="C1244" s="70">
        <v>41</v>
      </c>
      <c r="D1244" s="71" t="s">
        <v>466</v>
      </c>
      <c r="E1244" s="72" t="s">
        <v>829</v>
      </c>
      <c r="F1244" s="73" t="str">
        <f t="shared" si="108"/>
        <v>610141</v>
      </c>
      <c r="G1244" s="72" t="str">
        <f t="shared" si="109"/>
        <v>610141</v>
      </c>
      <c r="H1244" s="74" t="s">
        <v>4880</v>
      </c>
    </row>
    <row r="1245" spans="1:8" ht="18.75">
      <c r="A1245" s="70">
        <v>61</v>
      </c>
      <c r="B1245" s="70">
        <v>1</v>
      </c>
      <c r="C1245" s="70">
        <v>51</v>
      </c>
      <c r="D1245" s="71" t="s">
        <v>164</v>
      </c>
      <c r="E1245" s="72" t="s">
        <v>829</v>
      </c>
      <c r="F1245" s="73" t="str">
        <f t="shared" si="108"/>
        <v>610151</v>
      </c>
      <c r="G1245" s="72" t="str">
        <f t="shared" si="109"/>
        <v>610151</v>
      </c>
      <c r="H1245" s="74" t="s">
        <v>4881</v>
      </c>
    </row>
    <row r="1246" spans="1:8" ht="18.75">
      <c r="A1246" s="70">
        <v>61</v>
      </c>
      <c r="B1246" s="70">
        <v>1</v>
      </c>
      <c r="C1246" s="70">
        <v>61</v>
      </c>
      <c r="D1246" s="71" t="s">
        <v>720</v>
      </c>
      <c r="E1246" s="72" t="s">
        <v>4049</v>
      </c>
      <c r="F1246" s="73" t="str">
        <f t="shared" si="108"/>
        <v>610161</v>
      </c>
      <c r="G1246" s="72" t="str">
        <f t="shared" si="109"/>
        <v>610161</v>
      </c>
      <c r="H1246" s="74" t="s">
        <v>4882</v>
      </c>
    </row>
    <row r="1247" spans="1:8" ht="18.75">
      <c r="A1247" s="70">
        <v>61</v>
      </c>
      <c r="B1247" s="70">
        <v>1</v>
      </c>
      <c r="C1247" s="70">
        <v>62</v>
      </c>
      <c r="D1247" s="71" t="s">
        <v>3769</v>
      </c>
      <c r="E1247" s="72" t="s">
        <v>4049</v>
      </c>
      <c r="F1247" s="73" t="str">
        <f t="shared" si="108"/>
        <v>610162</v>
      </c>
      <c r="G1247" s="72" t="str">
        <f t="shared" si="109"/>
        <v>610162</v>
      </c>
      <c r="H1247" s="74" t="s">
        <v>4883</v>
      </c>
    </row>
    <row r="1248" spans="1:8" ht="18.75">
      <c r="A1248" s="70">
        <v>61</v>
      </c>
      <c r="B1248" s="70">
        <v>1</v>
      </c>
      <c r="C1248" s="70">
        <v>63</v>
      </c>
      <c r="D1248" s="71" t="s">
        <v>3813</v>
      </c>
      <c r="E1248" s="72" t="s">
        <v>829</v>
      </c>
      <c r="F1248" s="73" t="str">
        <f t="shared" si="108"/>
        <v>610163</v>
      </c>
      <c r="G1248" s="72" t="str">
        <f t="shared" si="109"/>
        <v>610163</v>
      </c>
      <c r="H1248" s="74" t="s">
        <v>4884</v>
      </c>
    </row>
    <row r="1249" spans="1:8" ht="18.75">
      <c r="A1249" s="70">
        <v>61</v>
      </c>
      <c r="B1249" s="70">
        <v>1</v>
      </c>
      <c r="C1249" s="70">
        <v>64</v>
      </c>
      <c r="D1249" s="71" t="s">
        <v>5570</v>
      </c>
      <c r="E1249" s="72" t="s">
        <v>829</v>
      </c>
      <c r="F1249" s="73" t="str">
        <f t="shared" si="108"/>
        <v>610164</v>
      </c>
      <c r="G1249" s="72" t="str">
        <f t="shared" si="109"/>
        <v>610164</v>
      </c>
      <c r="H1249" s="74" t="s">
        <v>5571</v>
      </c>
    </row>
    <row r="1250" spans="1:8" ht="18.75">
      <c r="A1250" s="70">
        <v>61</v>
      </c>
      <c r="B1250" s="70">
        <v>1</v>
      </c>
      <c r="C1250" s="70">
        <v>65</v>
      </c>
      <c r="D1250" s="71" t="s">
        <v>5879</v>
      </c>
      <c r="E1250" s="72" t="s">
        <v>829</v>
      </c>
      <c r="F1250" s="73" t="str">
        <f t="shared" si="108"/>
        <v>610165</v>
      </c>
      <c r="G1250" s="72" t="str">
        <f t="shared" si="109"/>
        <v>610165</v>
      </c>
      <c r="H1250" s="74" t="s">
        <v>5880</v>
      </c>
    </row>
    <row r="1251" spans="1:8" ht="18.75">
      <c r="A1251" s="70">
        <v>61</v>
      </c>
      <c r="B1251" s="70">
        <v>1</v>
      </c>
      <c r="C1251" s="70">
        <v>66</v>
      </c>
      <c r="D1251" s="71" t="s">
        <v>5881</v>
      </c>
      <c r="E1251" s="72" t="s">
        <v>829</v>
      </c>
      <c r="F1251" s="73" t="str">
        <f t="shared" si="108"/>
        <v>610166</v>
      </c>
      <c r="G1251" s="72" t="str">
        <f t="shared" si="109"/>
        <v>610166</v>
      </c>
      <c r="H1251" s="74" t="s">
        <v>5882</v>
      </c>
    </row>
    <row r="1252" spans="1:8" ht="18.75">
      <c r="A1252" s="66">
        <v>61</v>
      </c>
      <c r="B1252" s="66">
        <v>2</v>
      </c>
      <c r="C1252" s="66">
        <v>0</v>
      </c>
      <c r="D1252" s="67" t="s">
        <v>2996</v>
      </c>
      <c r="E1252" s="68"/>
      <c r="F1252" s="78"/>
      <c r="G1252" s="79"/>
      <c r="H1252" s="80"/>
    </row>
    <row r="1253" spans="1:8" ht="18.75">
      <c r="A1253" s="70">
        <v>61</v>
      </c>
      <c r="B1253" s="70">
        <v>2</v>
      </c>
      <c r="C1253" s="70">
        <v>31</v>
      </c>
      <c r="D1253" s="71" t="s">
        <v>412</v>
      </c>
      <c r="E1253" s="72" t="s">
        <v>829</v>
      </c>
      <c r="F1253" s="73" t="str">
        <f t="shared" ref="F1253:F1269" si="110">TEXT(A1253,"00")&amp;TEXT(B1253,"00")&amp;TEXT(C1253,"00")</f>
        <v>610231</v>
      </c>
      <c r="G1253" s="72" t="str">
        <f t="shared" ref="G1253:G1269" si="111">TEXT(F1253,"000000")</f>
        <v>610231</v>
      </c>
      <c r="H1253" s="74" t="s">
        <v>4885</v>
      </c>
    </row>
    <row r="1254" spans="1:8" ht="18.75">
      <c r="A1254" s="70">
        <v>61</v>
      </c>
      <c r="B1254" s="70">
        <v>2</v>
      </c>
      <c r="C1254" s="70">
        <v>32</v>
      </c>
      <c r="D1254" s="71" t="s">
        <v>413</v>
      </c>
      <c r="E1254" s="72" t="s">
        <v>829</v>
      </c>
      <c r="F1254" s="73" t="str">
        <f t="shared" si="110"/>
        <v>610232</v>
      </c>
      <c r="G1254" s="72" t="str">
        <f t="shared" si="111"/>
        <v>610232</v>
      </c>
      <c r="H1254" s="74" t="s">
        <v>4886</v>
      </c>
    </row>
    <row r="1255" spans="1:8" ht="18.75">
      <c r="A1255" s="70">
        <v>61</v>
      </c>
      <c r="B1255" s="70">
        <v>2</v>
      </c>
      <c r="C1255" s="70">
        <v>33</v>
      </c>
      <c r="D1255" s="71" t="s">
        <v>5572</v>
      </c>
      <c r="E1255" s="72" t="s">
        <v>829</v>
      </c>
      <c r="F1255" s="73" t="str">
        <f t="shared" si="110"/>
        <v>610233</v>
      </c>
      <c r="G1255" s="72" t="str">
        <f t="shared" si="111"/>
        <v>610233</v>
      </c>
      <c r="H1255" s="74" t="s">
        <v>5573</v>
      </c>
    </row>
    <row r="1256" spans="1:8" ht="18.75">
      <c r="A1256" s="70">
        <v>61</v>
      </c>
      <c r="B1256" s="70">
        <v>2</v>
      </c>
      <c r="C1256" s="70">
        <v>34</v>
      </c>
      <c r="D1256" s="71" t="s">
        <v>5574</v>
      </c>
      <c r="E1256" s="72" t="s">
        <v>829</v>
      </c>
      <c r="F1256" s="73" t="str">
        <f t="shared" si="110"/>
        <v>610234</v>
      </c>
      <c r="G1256" s="72" t="str">
        <f t="shared" si="111"/>
        <v>610234</v>
      </c>
      <c r="H1256" s="74" t="s">
        <v>5575</v>
      </c>
    </row>
    <row r="1257" spans="1:8" ht="18.75">
      <c r="A1257" s="70">
        <v>61</v>
      </c>
      <c r="B1257" s="70">
        <v>2</v>
      </c>
      <c r="C1257" s="70">
        <v>35</v>
      </c>
      <c r="D1257" s="71" t="s">
        <v>5576</v>
      </c>
      <c r="E1257" s="72" t="s">
        <v>829</v>
      </c>
      <c r="F1257" s="73" t="str">
        <f t="shared" si="110"/>
        <v>610235</v>
      </c>
      <c r="G1257" s="72" t="str">
        <f t="shared" si="111"/>
        <v>610235</v>
      </c>
      <c r="H1257" s="74" t="s">
        <v>5577</v>
      </c>
    </row>
    <row r="1258" spans="1:8" ht="18.75">
      <c r="A1258" s="70">
        <v>61</v>
      </c>
      <c r="B1258" s="70">
        <v>2</v>
      </c>
      <c r="C1258" s="70">
        <v>36</v>
      </c>
      <c r="D1258" s="71" t="s">
        <v>5578</v>
      </c>
      <c r="E1258" s="72" t="s">
        <v>829</v>
      </c>
      <c r="F1258" s="73" t="str">
        <f t="shared" si="110"/>
        <v>610236</v>
      </c>
      <c r="G1258" s="72" t="str">
        <f t="shared" si="111"/>
        <v>610236</v>
      </c>
      <c r="H1258" s="74" t="s">
        <v>5579</v>
      </c>
    </row>
    <row r="1259" spans="1:8" ht="18.75">
      <c r="A1259" s="70">
        <v>61</v>
      </c>
      <c r="B1259" s="70">
        <v>2</v>
      </c>
      <c r="C1259" s="70">
        <v>37</v>
      </c>
      <c r="D1259" s="71" t="s">
        <v>5580</v>
      </c>
      <c r="E1259" s="72" t="s">
        <v>829</v>
      </c>
      <c r="F1259" s="73" t="str">
        <f t="shared" si="110"/>
        <v>610237</v>
      </c>
      <c r="G1259" s="72" t="str">
        <f t="shared" si="111"/>
        <v>610237</v>
      </c>
      <c r="H1259" s="74" t="s">
        <v>5581</v>
      </c>
    </row>
    <row r="1260" spans="1:8" ht="18.75">
      <c r="A1260" s="70">
        <v>61</v>
      </c>
      <c r="B1260" s="70">
        <v>2</v>
      </c>
      <c r="C1260" s="70">
        <v>38</v>
      </c>
      <c r="D1260" s="71" t="s">
        <v>5582</v>
      </c>
      <c r="E1260" s="72" t="s">
        <v>829</v>
      </c>
      <c r="F1260" s="73" t="str">
        <f t="shared" si="110"/>
        <v>610238</v>
      </c>
      <c r="G1260" s="72" t="str">
        <f t="shared" si="111"/>
        <v>610238</v>
      </c>
      <c r="H1260" s="74" t="s">
        <v>5583</v>
      </c>
    </row>
    <row r="1261" spans="1:8" ht="18.75">
      <c r="A1261" s="70">
        <v>61</v>
      </c>
      <c r="B1261" s="70">
        <v>2</v>
      </c>
      <c r="C1261" s="70">
        <v>39</v>
      </c>
      <c r="D1261" s="71" t="s">
        <v>5584</v>
      </c>
      <c r="E1261" s="72" t="s">
        <v>829</v>
      </c>
      <c r="F1261" s="73" t="str">
        <f t="shared" si="110"/>
        <v>610239</v>
      </c>
      <c r="G1261" s="72" t="str">
        <f t="shared" si="111"/>
        <v>610239</v>
      </c>
      <c r="H1261" s="74" t="s">
        <v>5585</v>
      </c>
    </row>
    <row r="1262" spans="1:8" ht="18.75">
      <c r="A1262" s="70">
        <v>62</v>
      </c>
      <c r="B1262" s="70">
        <v>2</v>
      </c>
      <c r="C1262" s="70">
        <v>10</v>
      </c>
      <c r="D1262" s="71" t="s">
        <v>3364</v>
      </c>
      <c r="E1262" s="72" t="s">
        <v>829</v>
      </c>
      <c r="F1262" s="73" t="str">
        <f t="shared" si="110"/>
        <v>620210</v>
      </c>
      <c r="G1262" s="72" t="str">
        <f t="shared" si="111"/>
        <v>620210</v>
      </c>
      <c r="H1262" s="74" t="s">
        <v>5784</v>
      </c>
    </row>
    <row r="1263" spans="1:8" ht="18.75">
      <c r="A1263" s="70">
        <v>62</v>
      </c>
      <c r="B1263" s="70">
        <v>2</v>
      </c>
      <c r="C1263" s="70">
        <v>11</v>
      </c>
      <c r="D1263" s="71" t="s">
        <v>3366</v>
      </c>
      <c r="E1263" s="72" t="s">
        <v>829</v>
      </c>
      <c r="F1263" s="73" t="str">
        <f t="shared" si="110"/>
        <v>620211</v>
      </c>
      <c r="G1263" s="72" t="str">
        <f t="shared" si="111"/>
        <v>620211</v>
      </c>
      <c r="H1263" s="74" t="s">
        <v>5785</v>
      </c>
    </row>
    <row r="1264" spans="1:8" ht="18.75">
      <c r="A1264" s="70">
        <v>62</v>
      </c>
      <c r="B1264" s="70">
        <v>2</v>
      </c>
      <c r="C1264" s="70">
        <v>12</v>
      </c>
      <c r="D1264" s="71" t="s">
        <v>3365</v>
      </c>
      <c r="E1264" s="72" t="s">
        <v>829</v>
      </c>
      <c r="F1264" s="73" t="str">
        <f t="shared" si="110"/>
        <v>620212</v>
      </c>
      <c r="G1264" s="72" t="str">
        <f t="shared" si="111"/>
        <v>620212</v>
      </c>
      <c r="H1264" s="74" t="s">
        <v>5786</v>
      </c>
    </row>
    <row r="1265" spans="1:8" ht="18.75">
      <c r="A1265" s="70">
        <v>62</v>
      </c>
      <c r="B1265" s="70">
        <v>2</v>
      </c>
      <c r="C1265" s="70">
        <v>13</v>
      </c>
      <c r="D1265" s="71" t="s">
        <v>3367</v>
      </c>
      <c r="E1265" s="72" t="s">
        <v>829</v>
      </c>
      <c r="F1265" s="73" t="str">
        <f t="shared" si="110"/>
        <v>620213</v>
      </c>
      <c r="G1265" s="72" t="str">
        <f t="shared" si="111"/>
        <v>620213</v>
      </c>
      <c r="H1265" s="74" t="s">
        <v>5787</v>
      </c>
    </row>
    <row r="1266" spans="1:8" ht="18.75">
      <c r="A1266" s="70">
        <v>62</v>
      </c>
      <c r="B1266" s="70">
        <v>2</v>
      </c>
      <c r="C1266" s="70">
        <v>14</v>
      </c>
      <c r="D1266" s="71" t="s">
        <v>3368</v>
      </c>
      <c r="E1266" s="72" t="s">
        <v>829</v>
      </c>
      <c r="F1266" s="73" t="str">
        <f t="shared" si="110"/>
        <v>620214</v>
      </c>
      <c r="G1266" s="72" t="str">
        <f t="shared" si="111"/>
        <v>620214</v>
      </c>
      <c r="H1266" s="74" t="s">
        <v>5788</v>
      </c>
    </row>
    <row r="1267" spans="1:8" ht="18.75">
      <c r="A1267" s="70">
        <v>62</v>
      </c>
      <c r="B1267" s="70">
        <v>2</v>
      </c>
      <c r="C1267" s="70">
        <v>15</v>
      </c>
      <c r="D1267" s="71" t="s">
        <v>3369</v>
      </c>
      <c r="E1267" s="72" t="s">
        <v>829</v>
      </c>
      <c r="F1267" s="73" t="str">
        <f t="shared" si="110"/>
        <v>620215</v>
      </c>
      <c r="G1267" s="72" t="str">
        <f t="shared" si="111"/>
        <v>620215</v>
      </c>
      <c r="H1267" s="74" t="s">
        <v>5789</v>
      </c>
    </row>
    <row r="1268" spans="1:8" ht="18.75">
      <c r="A1268" s="70">
        <v>62</v>
      </c>
      <c r="B1268" s="70">
        <v>2</v>
      </c>
      <c r="C1268" s="70">
        <v>16</v>
      </c>
      <c r="D1268" s="71" t="s">
        <v>3370</v>
      </c>
      <c r="E1268" s="72" t="s">
        <v>829</v>
      </c>
      <c r="F1268" s="73" t="str">
        <f t="shared" si="110"/>
        <v>620216</v>
      </c>
      <c r="G1268" s="72" t="str">
        <f t="shared" si="111"/>
        <v>620216</v>
      </c>
      <c r="H1268" s="74" t="s">
        <v>5790</v>
      </c>
    </row>
    <row r="1269" spans="1:8" ht="18.75">
      <c r="A1269" s="70">
        <v>62</v>
      </c>
      <c r="B1269" s="70">
        <v>2</v>
      </c>
      <c r="C1269" s="70">
        <v>17</v>
      </c>
      <c r="D1269" s="71" t="s">
        <v>4887</v>
      </c>
      <c r="E1269" s="72" t="s">
        <v>829</v>
      </c>
      <c r="F1269" s="73" t="str">
        <f t="shared" si="110"/>
        <v>620217</v>
      </c>
      <c r="G1269" s="72" t="str">
        <f t="shared" si="111"/>
        <v>620217</v>
      </c>
      <c r="H1269" s="74" t="s">
        <v>5791</v>
      </c>
    </row>
    <row r="1270" spans="1:8" ht="18.75">
      <c r="A1270" s="62">
        <v>65</v>
      </c>
      <c r="B1270" s="62">
        <v>0</v>
      </c>
      <c r="C1270" s="62">
        <v>0</v>
      </c>
      <c r="D1270" s="63" t="s">
        <v>2902</v>
      </c>
      <c r="E1270" s="64"/>
      <c r="F1270" s="75"/>
      <c r="G1270" s="76"/>
      <c r="H1270" s="77"/>
    </row>
    <row r="1271" spans="1:8" ht="18.75">
      <c r="A1271" s="66">
        <v>65</v>
      </c>
      <c r="B1271" s="66">
        <v>1</v>
      </c>
      <c r="C1271" s="66">
        <v>0</v>
      </c>
      <c r="D1271" s="67" t="s">
        <v>2932</v>
      </c>
      <c r="E1271" s="68"/>
      <c r="F1271" s="78"/>
      <c r="G1271" s="79"/>
      <c r="H1271" s="80"/>
    </row>
    <row r="1272" spans="1:8" ht="18.75">
      <c r="A1272" s="70">
        <v>65</v>
      </c>
      <c r="B1272" s="70">
        <v>1</v>
      </c>
      <c r="C1272" s="70">
        <v>31</v>
      </c>
      <c r="D1272" s="71" t="s">
        <v>6026</v>
      </c>
      <c r="E1272" s="72" t="s">
        <v>829</v>
      </c>
      <c r="F1272" s="73" t="str">
        <f>TEXT(A1272,"00")&amp;TEXT(B1272,"00")&amp;TEXT(C1272,"00")</f>
        <v>650131</v>
      </c>
      <c r="G1272" s="72" t="str">
        <f>TEXT(F1272,"000000")</f>
        <v>650131</v>
      </c>
      <c r="H1272" s="74" t="s">
        <v>4888</v>
      </c>
    </row>
    <row r="1273" spans="1:8" ht="18.75">
      <c r="A1273" s="70">
        <v>65</v>
      </c>
      <c r="B1273" s="70">
        <v>1</v>
      </c>
      <c r="C1273" s="70">
        <v>32</v>
      </c>
      <c r="D1273" s="71" t="s">
        <v>6027</v>
      </c>
      <c r="E1273" s="72" t="s">
        <v>829</v>
      </c>
      <c r="F1273" s="73" t="str">
        <f>TEXT(A1273,"00")&amp;TEXT(B1273,"00")&amp;TEXT(C1273,"00")</f>
        <v>650132</v>
      </c>
      <c r="G1273" s="72" t="str">
        <f>TEXT(F1273,"000000")</f>
        <v>650132</v>
      </c>
      <c r="H1273" s="74" t="s">
        <v>4889</v>
      </c>
    </row>
    <row r="1274" spans="1:8" ht="18.75">
      <c r="A1274" s="70">
        <v>65</v>
      </c>
      <c r="B1274" s="70">
        <v>1</v>
      </c>
      <c r="C1274" s="70">
        <v>33</v>
      </c>
      <c r="D1274" s="71" t="s">
        <v>6028</v>
      </c>
      <c r="E1274" s="72" t="s">
        <v>829</v>
      </c>
      <c r="F1274" s="73" t="str">
        <f>TEXT(A1274,"00")&amp;TEXT(B1274,"00")&amp;TEXT(C1274,"00")</f>
        <v>650133</v>
      </c>
      <c r="G1274" s="72" t="str">
        <f>TEXT(F1274,"000000")</f>
        <v>650133</v>
      </c>
      <c r="H1274" s="74" t="s">
        <v>5586</v>
      </c>
    </row>
    <row r="1275" spans="1:8" ht="18.75">
      <c r="A1275" s="70">
        <v>65</v>
      </c>
      <c r="B1275" s="70">
        <v>1</v>
      </c>
      <c r="C1275" s="70">
        <v>34</v>
      </c>
      <c r="D1275" s="71" t="s">
        <v>5792</v>
      </c>
      <c r="E1275" s="72" t="s">
        <v>829</v>
      </c>
      <c r="F1275" s="73" t="str">
        <f>TEXT(A1275,"00")&amp;TEXT(B1275,"00")&amp;TEXT(C1275,"00")</f>
        <v>650134</v>
      </c>
      <c r="G1275" s="72" t="str">
        <f>TEXT(F1275,"000000")</f>
        <v>650134</v>
      </c>
      <c r="H1275" s="74" t="s">
        <v>5587</v>
      </c>
    </row>
    <row r="1276" spans="1:8" ht="18.75">
      <c r="A1276" s="66">
        <v>65</v>
      </c>
      <c r="B1276" s="66">
        <v>2</v>
      </c>
      <c r="C1276" s="66">
        <v>0</v>
      </c>
      <c r="D1276" s="67" t="s">
        <v>2933</v>
      </c>
      <c r="E1276" s="68"/>
      <c r="F1276" s="78"/>
      <c r="G1276" s="79"/>
      <c r="H1276" s="80"/>
    </row>
    <row r="1277" spans="1:8" ht="18.75">
      <c r="A1277" s="70">
        <v>65</v>
      </c>
      <c r="B1277" s="70">
        <v>2</v>
      </c>
      <c r="C1277" s="70">
        <v>10</v>
      </c>
      <c r="D1277" s="71" t="s">
        <v>3482</v>
      </c>
      <c r="E1277" s="72" t="s">
        <v>829</v>
      </c>
      <c r="F1277" s="73" t="str">
        <f>TEXT(A1277,"00")&amp;TEXT(B1277,"00")&amp;TEXT(C1277,"00")</f>
        <v>650210</v>
      </c>
      <c r="G1277" s="72" t="str">
        <f>TEXT(F1277,"000000")</f>
        <v>650210</v>
      </c>
      <c r="H1277" s="74" t="s">
        <v>4890</v>
      </c>
    </row>
    <row r="1278" spans="1:8" ht="18.75">
      <c r="A1278" s="70">
        <v>65</v>
      </c>
      <c r="B1278" s="70">
        <v>2</v>
      </c>
      <c r="C1278" s="70">
        <v>11</v>
      </c>
      <c r="D1278" s="71" t="s">
        <v>3483</v>
      </c>
      <c r="E1278" s="72" t="s">
        <v>829</v>
      </c>
      <c r="F1278" s="73" t="str">
        <f>TEXT(A1278,"00")&amp;TEXT(B1278,"00")&amp;TEXT(C1278,"00")</f>
        <v>650211</v>
      </c>
      <c r="G1278" s="72" t="str">
        <f>TEXT(F1278,"000000")</f>
        <v>650211</v>
      </c>
      <c r="H1278" s="74" t="s">
        <v>4891</v>
      </c>
    </row>
    <row r="1279" spans="1:8" ht="18.75">
      <c r="A1279" s="66">
        <v>65</v>
      </c>
      <c r="B1279" s="66">
        <v>3</v>
      </c>
      <c r="C1279" s="66">
        <v>0</v>
      </c>
      <c r="D1279" s="67" t="s">
        <v>2932</v>
      </c>
      <c r="E1279" s="68"/>
      <c r="F1279" s="78"/>
      <c r="G1279" s="79"/>
      <c r="H1279" s="80"/>
    </row>
    <row r="1280" spans="1:8" ht="18.75">
      <c r="A1280" s="70">
        <v>65</v>
      </c>
      <c r="B1280" s="70">
        <v>3</v>
      </c>
      <c r="C1280" s="70">
        <v>11</v>
      </c>
      <c r="D1280" s="71" t="s">
        <v>492</v>
      </c>
      <c r="E1280" s="72" t="s">
        <v>829</v>
      </c>
      <c r="F1280" s="73" t="str">
        <f>TEXT(A1280,"00")&amp;TEXT(B1280,"00")&amp;TEXT(C1280,"00")</f>
        <v>650311</v>
      </c>
      <c r="G1280" s="72" t="str">
        <f>TEXT(F1280,"000000")</f>
        <v>650311</v>
      </c>
      <c r="H1280" s="74" t="s">
        <v>4892</v>
      </c>
    </row>
    <row r="1281" spans="1:8" ht="18.75">
      <c r="A1281" s="62">
        <v>71</v>
      </c>
      <c r="B1281" s="62">
        <v>0</v>
      </c>
      <c r="C1281" s="62">
        <v>0</v>
      </c>
      <c r="D1281" s="63" t="s">
        <v>2952</v>
      </c>
      <c r="E1281" s="64"/>
      <c r="F1281" s="75"/>
      <c r="G1281" s="76"/>
      <c r="H1281" s="77"/>
    </row>
    <row r="1282" spans="1:8" ht="18.75">
      <c r="A1282" s="66">
        <v>71</v>
      </c>
      <c r="B1282" s="66">
        <v>1</v>
      </c>
      <c r="C1282" s="66">
        <v>0</v>
      </c>
      <c r="D1282" s="67" t="s">
        <v>2953</v>
      </c>
      <c r="E1282" s="68"/>
      <c r="F1282" s="78"/>
      <c r="G1282" s="79"/>
      <c r="H1282" s="80"/>
    </row>
    <row r="1283" spans="1:8" ht="18.75">
      <c r="A1283" s="70">
        <v>71</v>
      </c>
      <c r="B1283" s="70">
        <v>1</v>
      </c>
      <c r="C1283" s="70">
        <v>12</v>
      </c>
      <c r="D1283" s="71" t="s">
        <v>4893</v>
      </c>
      <c r="E1283" s="72" t="s">
        <v>829</v>
      </c>
      <c r="F1283" s="73" t="str">
        <f>TEXT(A1283,"00")&amp;TEXT(B1283,"00")&amp;TEXT(C1283,"00")</f>
        <v>710112</v>
      </c>
      <c r="G1283" s="72" t="str">
        <f>TEXT(F1283,"000000")</f>
        <v>710112</v>
      </c>
      <c r="H1283" s="74" t="s">
        <v>4894</v>
      </c>
    </row>
    <row r="1284" spans="1:8" ht="18.75">
      <c r="A1284" s="62">
        <v>72</v>
      </c>
      <c r="B1284" s="62">
        <v>0</v>
      </c>
      <c r="C1284" s="62">
        <v>0</v>
      </c>
      <c r="D1284" s="63" t="s">
        <v>2903</v>
      </c>
      <c r="E1284" s="64"/>
      <c r="F1284" s="75"/>
      <c r="G1284" s="76"/>
      <c r="H1284" s="77"/>
    </row>
    <row r="1285" spans="1:8" ht="18.75">
      <c r="A1285" s="66">
        <v>72</v>
      </c>
      <c r="B1285" s="66">
        <v>1</v>
      </c>
      <c r="C1285" s="66">
        <v>0</v>
      </c>
      <c r="D1285" s="67" t="s">
        <v>2904</v>
      </c>
      <c r="E1285" s="68"/>
      <c r="F1285" s="78"/>
      <c r="G1285" s="79"/>
      <c r="H1285" s="80"/>
    </row>
    <row r="1286" spans="1:8" ht="18.75">
      <c r="A1286" s="70">
        <v>72</v>
      </c>
      <c r="B1286" s="70">
        <v>1</v>
      </c>
      <c r="C1286" s="70">
        <v>11</v>
      </c>
      <c r="D1286" s="71" t="s">
        <v>5588</v>
      </c>
      <c r="E1286" s="72" t="s">
        <v>829</v>
      </c>
      <c r="F1286" s="73" t="str">
        <f t="shared" ref="F1286:F1349" si="112">TEXT(A1286,"00")&amp;TEXT(B1286,"00")&amp;TEXT(C1286,"00")</f>
        <v>720111</v>
      </c>
      <c r="G1286" s="72" t="str">
        <f t="shared" ref="G1286:G1349" si="113">TEXT(F1286,"000000")</f>
        <v>720111</v>
      </c>
      <c r="H1286" s="74" t="s">
        <v>4895</v>
      </c>
    </row>
    <row r="1287" spans="1:8" ht="18.75">
      <c r="A1287" s="70">
        <v>72</v>
      </c>
      <c r="B1287" s="70">
        <v>1</v>
      </c>
      <c r="C1287" s="70">
        <v>12</v>
      </c>
      <c r="D1287" s="71" t="s">
        <v>5589</v>
      </c>
      <c r="E1287" s="72" t="s">
        <v>829</v>
      </c>
      <c r="F1287" s="73" t="str">
        <f t="shared" si="112"/>
        <v>720112</v>
      </c>
      <c r="G1287" s="72" t="str">
        <f t="shared" si="113"/>
        <v>720112</v>
      </c>
      <c r="H1287" s="74" t="s">
        <v>4896</v>
      </c>
    </row>
    <row r="1288" spans="1:8" ht="18.75">
      <c r="A1288" s="70">
        <v>72</v>
      </c>
      <c r="B1288" s="70">
        <v>1</v>
      </c>
      <c r="C1288" s="70">
        <v>21</v>
      </c>
      <c r="D1288" s="71" t="s">
        <v>446</v>
      </c>
      <c r="E1288" s="72" t="s">
        <v>829</v>
      </c>
      <c r="F1288" s="73" t="str">
        <f t="shared" si="112"/>
        <v>720121</v>
      </c>
      <c r="G1288" s="72" t="str">
        <f t="shared" si="113"/>
        <v>720121</v>
      </c>
      <c r="H1288" s="74" t="s">
        <v>4897</v>
      </c>
    </row>
    <row r="1289" spans="1:8" ht="18.75">
      <c r="A1289" s="70">
        <v>72</v>
      </c>
      <c r="B1289" s="70">
        <v>1</v>
      </c>
      <c r="C1289" s="70">
        <v>22</v>
      </c>
      <c r="D1289" s="71" t="s">
        <v>447</v>
      </c>
      <c r="E1289" s="72" t="s">
        <v>829</v>
      </c>
      <c r="F1289" s="73" t="str">
        <f t="shared" si="112"/>
        <v>720122</v>
      </c>
      <c r="G1289" s="72" t="str">
        <f t="shared" si="113"/>
        <v>720122</v>
      </c>
      <c r="H1289" s="74" t="s">
        <v>4898</v>
      </c>
    </row>
    <row r="1290" spans="1:8" ht="18.75">
      <c r="A1290" s="70">
        <v>72</v>
      </c>
      <c r="B1290" s="70">
        <v>1</v>
      </c>
      <c r="C1290" s="70">
        <v>23</v>
      </c>
      <c r="D1290" s="71" t="s">
        <v>3371</v>
      </c>
      <c r="E1290" s="72" t="s">
        <v>829</v>
      </c>
      <c r="F1290" s="73" t="str">
        <f t="shared" si="112"/>
        <v>720123</v>
      </c>
      <c r="G1290" s="72" t="str">
        <f t="shared" si="113"/>
        <v>720123</v>
      </c>
      <c r="H1290" s="74" t="s">
        <v>4899</v>
      </c>
    </row>
    <row r="1291" spans="1:8" ht="18.75">
      <c r="A1291" s="70">
        <v>72</v>
      </c>
      <c r="B1291" s="70">
        <v>1</v>
      </c>
      <c r="C1291" s="70">
        <v>24</v>
      </c>
      <c r="D1291" s="71" t="s">
        <v>449</v>
      </c>
      <c r="E1291" s="72" t="s">
        <v>829</v>
      </c>
      <c r="F1291" s="73" t="str">
        <f t="shared" si="112"/>
        <v>720124</v>
      </c>
      <c r="G1291" s="72" t="str">
        <f t="shared" si="113"/>
        <v>720124</v>
      </c>
      <c r="H1291" s="74" t="s">
        <v>4900</v>
      </c>
    </row>
    <row r="1292" spans="1:8" ht="18.75">
      <c r="A1292" s="70">
        <v>72</v>
      </c>
      <c r="B1292" s="70">
        <v>1</v>
      </c>
      <c r="C1292" s="70">
        <v>25</v>
      </c>
      <c r="D1292" s="71" t="s">
        <v>3376</v>
      </c>
      <c r="E1292" s="72" t="s">
        <v>829</v>
      </c>
      <c r="F1292" s="73" t="str">
        <f t="shared" si="112"/>
        <v>720125</v>
      </c>
      <c r="G1292" s="72" t="str">
        <f t="shared" si="113"/>
        <v>720125</v>
      </c>
      <c r="H1292" s="74" t="s">
        <v>4901</v>
      </c>
    </row>
    <row r="1293" spans="1:8" ht="18.75">
      <c r="A1293" s="70">
        <v>72</v>
      </c>
      <c r="B1293" s="70">
        <v>1</v>
      </c>
      <c r="C1293" s="70">
        <v>26</v>
      </c>
      <c r="D1293" s="71" t="s">
        <v>3377</v>
      </c>
      <c r="E1293" s="72" t="s">
        <v>829</v>
      </c>
      <c r="F1293" s="73" t="str">
        <f t="shared" si="112"/>
        <v>720126</v>
      </c>
      <c r="G1293" s="72" t="str">
        <f t="shared" si="113"/>
        <v>720126</v>
      </c>
      <c r="H1293" s="74" t="s">
        <v>4902</v>
      </c>
    </row>
    <row r="1294" spans="1:8" ht="18.75">
      <c r="A1294" s="70">
        <v>72</v>
      </c>
      <c r="B1294" s="70">
        <v>1</v>
      </c>
      <c r="C1294" s="70">
        <v>27</v>
      </c>
      <c r="D1294" s="71" t="s">
        <v>3378</v>
      </c>
      <c r="E1294" s="72" t="s">
        <v>829</v>
      </c>
      <c r="F1294" s="73" t="str">
        <f t="shared" si="112"/>
        <v>720127</v>
      </c>
      <c r="G1294" s="72" t="str">
        <f t="shared" si="113"/>
        <v>720127</v>
      </c>
      <c r="H1294" s="74" t="s">
        <v>4903</v>
      </c>
    </row>
    <row r="1295" spans="1:8" ht="18.75">
      <c r="A1295" s="70">
        <v>72</v>
      </c>
      <c r="B1295" s="70">
        <v>1</v>
      </c>
      <c r="C1295" s="70">
        <v>28</v>
      </c>
      <c r="D1295" s="71" t="s">
        <v>3379</v>
      </c>
      <c r="E1295" s="72" t="s">
        <v>829</v>
      </c>
      <c r="F1295" s="73" t="str">
        <f t="shared" si="112"/>
        <v>720128</v>
      </c>
      <c r="G1295" s="72" t="str">
        <f t="shared" si="113"/>
        <v>720128</v>
      </c>
      <c r="H1295" s="74" t="s">
        <v>4904</v>
      </c>
    </row>
    <row r="1296" spans="1:8" ht="18.75">
      <c r="A1296" s="70">
        <v>72</v>
      </c>
      <c r="B1296" s="70">
        <v>1</v>
      </c>
      <c r="C1296" s="70">
        <v>29</v>
      </c>
      <c r="D1296" s="71" t="s">
        <v>453</v>
      </c>
      <c r="E1296" s="72" t="s">
        <v>829</v>
      </c>
      <c r="F1296" s="73" t="str">
        <f t="shared" si="112"/>
        <v>720129</v>
      </c>
      <c r="G1296" s="72" t="str">
        <f t="shared" si="113"/>
        <v>720129</v>
      </c>
      <c r="H1296" s="74" t="s">
        <v>4905</v>
      </c>
    </row>
    <row r="1297" spans="1:8" ht="18.75">
      <c r="A1297" s="70">
        <v>72</v>
      </c>
      <c r="B1297" s="70">
        <v>1</v>
      </c>
      <c r="C1297" s="70">
        <v>30</v>
      </c>
      <c r="D1297" s="71" t="s">
        <v>454</v>
      </c>
      <c r="E1297" s="72" t="s">
        <v>829</v>
      </c>
      <c r="F1297" s="73" t="str">
        <f t="shared" si="112"/>
        <v>720130</v>
      </c>
      <c r="G1297" s="72" t="str">
        <f t="shared" si="113"/>
        <v>720130</v>
      </c>
      <c r="H1297" s="74" t="s">
        <v>4906</v>
      </c>
    </row>
    <row r="1298" spans="1:8" ht="18.75">
      <c r="A1298" s="70">
        <v>72</v>
      </c>
      <c r="B1298" s="70">
        <v>1</v>
      </c>
      <c r="C1298" s="70">
        <v>31</v>
      </c>
      <c r="D1298" s="71" t="s">
        <v>3380</v>
      </c>
      <c r="E1298" s="72" t="s">
        <v>829</v>
      </c>
      <c r="F1298" s="73" t="str">
        <f t="shared" si="112"/>
        <v>720131</v>
      </c>
      <c r="G1298" s="72" t="str">
        <f t="shared" si="113"/>
        <v>720131</v>
      </c>
      <c r="H1298" s="74" t="s">
        <v>4907</v>
      </c>
    </row>
    <row r="1299" spans="1:8" ht="18.75">
      <c r="A1299" s="70">
        <v>72</v>
      </c>
      <c r="B1299" s="70">
        <v>1</v>
      </c>
      <c r="C1299" s="70">
        <v>32</v>
      </c>
      <c r="D1299" s="71" t="s">
        <v>3373</v>
      </c>
      <c r="E1299" s="72" t="s">
        <v>829</v>
      </c>
      <c r="F1299" s="73" t="str">
        <f t="shared" si="112"/>
        <v>720132</v>
      </c>
      <c r="G1299" s="72" t="str">
        <f t="shared" si="113"/>
        <v>720132</v>
      </c>
      <c r="H1299" s="74" t="s">
        <v>4908</v>
      </c>
    </row>
    <row r="1300" spans="1:8" ht="18.75">
      <c r="A1300" s="70">
        <v>72</v>
      </c>
      <c r="B1300" s="70">
        <v>1</v>
      </c>
      <c r="C1300" s="70">
        <v>33</v>
      </c>
      <c r="D1300" s="71" t="s">
        <v>3374</v>
      </c>
      <c r="E1300" s="72" t="s">
        <v>829</v>
      </c>
      <c r="F1300" s="73" t="str">
        <f t="shared" si="112"/>
        <v>720133</v>
      </c>
      <c r="G1300" s="72" t="str">
        <f t="shared" si="113"/>
        <v>720133</v>
      </c>
      <c r="H1300" s="74" t="s">
        <v>4909</v>
      </c>
    </row>
    <row r="1301" spans="1:8" ht="18.75">
      <c r="A1301" s="70">
        <v>72</v>
      </c>
      <c r="B1301" s="70">
        <v>1</v>
      </c>
      <c r="C1301" s="70">
        <v>34</v>
      </c>
      <c r="D1301" s="71" t="s">
        <v>3375</v>
      </c>
      <c r="E1301" s="72" t="s">
        <v>829</v>
      </c>
      <c r="F1301" s="73" t="str">
        <f t="shared" si="112"/>
        <v>720134</v>
      </c>
      <c r="G1301" s="72" t="str">
        <f t="shared" si="113"/>
        <v>720134</v>
      </c>
      <c r="H1301" s="74" t="s">
        <v>4910</v>
      </c>
    </row>
    <row r="1302" spans="1:8" ht="18.75">
      <c r="A1302" s="70">
        <v>72</v>
      </c>
      <c r="B1302" s="70">
        <v>1</v>
      </c>
      <c r="C1302" s="70">
        <v>35</v>
      </c>
      <c r="D1302" s="71" t="s">
        <v>3372</v>
      </c>
      <c r="E1302" s="72" t="s">
        <v>829</v>
      </c>
      <c r="F1302" s="73" t="str">
        <f t="shared" si="112"/>
        <v>720135</v>
      </c>
      <c r="G1302" s="72" t="str">
        <f t="shared" si="113"/>
        <v>720135</v>
      </c>
      <c r="H1302" s="74" t="s">
        <v>4911</v>
      </c>
    </row>
    <row r="1303" spans="1:8" ht="18.75">
      <c r="A1303" s="70">
        <v>72</v>
      </c>
      <c r="B1303" s="70">
        <v>1</v>
      </c>
      <c r="C1303" s="70">
        <v>41</v>
      </c>
      <c r="D1303" s="71" t="s">
        <v>461</v>
      </c>
      <c r="E1303" s="72" t="s">
        <v>829</v>
      </c>
      <c r="F1303" s="73" t="str">
        <f t="shared" si="112"/>
        <v>720141</v>
      </c>
      <c r="G1303" s="72" t="str">
        <f t="shared" si="113"/>
        <v>720141</v>
      </c>
      <c r="H1303" s="74" t="s">
        <v>4912</v>
      </c>
    </row>
    <row r="1304" spans="1:8" ht="18.75">
      <c r="A1304" s="70">
        <v>72</v>
      </c>
      <c r="B1304" s="70">
        <v>1</v>
      </c>
      <c r="C1304" s="70">
        <v>42</v>
      </c>
      <c r="D1304" s="71" t="s">
        <v>462</v>
      </c>
      <c r="E1304" s="72" t="s">
        <v>829</v>
      </c>
      <c r="F1304" s="73" t="str">
        <f t="shared" si="112"/>
        <v>720142</v>
      </c>
      <c r="G1304" s="72" t="str">
        <f t="shared" si="113"/>
        <v>720142</v>
      </c>
      <c r="H1304" s="74" t="s">
        <v>4913</v>
      </c>
    </row>
    <row r="1305" spans="1:8" ht="18.75">
      <c r="A1305" s="70">
        <v>72</v>
      </c>
      <c r="B1305" s="70">
        <v>1</v>
      </c>
      <c r="C1305" s="70">
        <v>43</v>
      </c>
      <c r="D1305" s="71" t="s">
        <v>463</v>
      </c>
      <c r="E1305" s="72" t="s">
        <v>829</v>
      </c>
      <c r="F1305" s="73" t="str">
        <f t="shared" si="112"/>
        <v>720143</v>
      </c>
      <c r="G1305" s="72" t="str">
        <f t="shared" si="113"/>
        <v>720143</v>
      </c>
      <c r="H1305" s="74" t="s">
        <v>4914</v>
      </c>
    </row>
    <row r="1306" spans="1:8" ht="18.75">
      <c r="A1306" s="70">
        <v>72</v>
      </c>
      <c r="B1306" s="70">
        <v>1</v>
      </c>
      <c r="C1306" s="70">
        <v>46</v>
      </c>
      <c r="D1306" s="71" t="s">
        <v>670</v>
      </c>
      <c r="E1306" s="72" t="s">
        <v>829</v>
      </c>
      <c r="F1306" s="73" t="str">
        <f t="shared" si="112"/>
        <v>720146</v>
      </c>
      <c r="G1306" s="72" t="str">
        <f t="shared" si="113"/>
        <v>720146</v>
      </c>
      <c r="H1306" s="74" t="s">
        <v>4915</v>
      </c>
    </row>
    <row r="1307" spans="1:8" ht="18.75">
      <c r="A1307" s="70">
        <v>72</v>
      </c>
      <c r="B1307" s="70">
        <v>1</v>
      </c>
      <c r="C1307" s="70">
        <v>47</v>
      </c>
      <c r="D1307" s="71" t="s">
        <v>671</v>
      </c>
      <c r="E1307" s="72" t="s">
        <v>829</v>
      </c>
      <c r="F1307" s="73" t="str">
        <f t="shared" si="112"/>
        <v>720147</v>
      </c>
      <c r="G1307" s="72" t="str">
        <f t="shared" si="113"/>
        <v>720147</v>
      </c>
      <c r="H1307" s="74" t="s">
        <v>4916</v>
      </c>
    </row>
    <row r="1308" spans="1:8" ht="18.75">
      <c r="A1308" s="70">
        <v>72</v>
      </c>
      <c r="B1308" s="70">
        <v>1</v>
      </c>
      <c r="C1308" s="70">
        <v>48</v>
      </c>
      <c r="D1308" s="71" t="s">
        <v>672</v>
      </c>
      <c r="E1308" s="72" t="s">
        <v>829</v>
      </c>
      <c r="F1308" s="73" t="str">
        <f t="shared" si="112"/>
        <v>720148</v>
      </c>
      <c r="G1308" s="72" t="str">
        <f t="shared" si="113"/>
        <v>720148</v>
      </c>
      <c r="H1308" s="74" t="s">
        <v>4917</v>
      </c>
    </row>
    <row r="1309" spans="1:8" ht="18.75">
      <c r="A1309" s="70">
        <v>72</v>
      </c>
      <c r="B1309" s="70">
        <v>1</v>
      </c>
      <c r="C1309" s="70">
        <v>49</v>
      </c>
      <c r="D1309" s="71" t="s">
        <v>673</v>
      </c>
      <c r="E1309" s="72" t="s">
        <v>829</v>
      </c>
      <c r="F1309" s="73" t="str">
        <f t="shared" si="112"/>
        <v>720149</v>
      </c>
      <c r="G1309" s="72" t="str">
        <f t="shared" si="113"/>
        <v>720149</v>
      </c>
      <c r="H1309" s="74" t="s">
        <v>4918</v>
      </c>
    </row>
    <row r="1310" spans="1:8" ht="18.75">
      <c r="A1310" s="70">
        <v>72</v>
      </c>
      <c r="B1310" s="70">
        <v>1</v>
      </c>
      <c r="C1310" s="70">
        <v>51</v>
      </c>
      <c r="D1310" s="71" t="s">
        <v>5590</v>
      </c>
      <c r="E1310" s="72" t="s">
        <v>829</v>
      </c>
      <c r="F1310" s="73" t="str">
        <f t="shared" si="112"/>
        <v>720151</v>
      </c>
      <c r="G1310" s="72" t="str">
        <f t="shared" si="113"/>
        <v>720151</v>
      </c>
      <c r="H1310" s="74" t="s">
        <v>4919</v>
      </c>
    </row>
    <row r="1311" spans="1:8" ht="18.75">
      <c r="A1311" s="70">
        <v>72</v>
      </c>
      <c r="B1311" s="70">
        <v>1</v>
      </c>
      <c r="C1311" s="70">
        <v>52</v>
      </c>
      <c r="D1311" s="71" t="s">
        <v>3387</v>
      </c>
      <c r="E1311" s="72" t="s">
        <v>829</v>
      </c>
      <c r="F1311" s="73" t="str">
        <f t="shared" si="112"/>
        <v>720152</v>
      </c>
      <c r="G1311" s="72" t="str">
        <f t="shared" si="113"/>
        <v>720152</v>
      </c>
      <c r="H1311" s="74" t="s">
        <v>4920</v>
      </c>
    </row>
    <row r="1312" spans="1:8" ht="18.75">
      <c r="A1312" s="70">
        <v>72</v>
      </c>
      <c r="B1312" s="70">
        <v>1</v>
      </c>
      <c r="C1312" s="70">
        <v>53</v>
      </c>
      <c r="D1312" s="71" t="s">
        <v>467</v>
      </c>
      <c r="E1312" s="72" t="s">
        <v>829</v>
      </c>
      <c r="F1312" s="73" t="str">
        <f t="shared" si="112"/>
        <v>720153</v>
      </c>
      <c r="G1312" s="72" t="str">
        <f t="shared" si="113"/>
        <v>720153</v>
      </c>
      <c r="H1312" s="74" t="s">
        <v>4921</v>
      </c>
    </row>
    <row r="1313" spans="1:8" ht="18.75">
      <c r="A1313" s="70">
        <v>72</v>
      </c>
      <c r="B1313" s="70">
        <v>1</v>
      </c>
      <c r="C1313" s="70">
        <v>54</v>
      </c>
      <c r="D1313" s="71" t="s">
        <v>468</v>
      </c>
      <c r="E1313" s="72" t="s">
        <v>829</v>
      </c>
      <c r="F1313" s="73" t="str">
        <f t="shared" si="112"/>
        <v>720154</v>
      </c>
      <c r="G1313" s="72" t="str">
        <f t="shared" si="113"/>
        <v>720154</v>
      </c>
      <c r="H1313" s="74" t="s">
        <v>4922</v>
      </c>
    </row>
    <row r="1314" spans="1:8" ht="18.75">
      <c r="A1314" s="70">
        <v>72</v>
      </c>
      <c r="B1314" s="70">
        <v>1</v>
      </c>
      <c r="C1314" s="70">
        <v>55</v>
      </c>
      <c r="D1314" s="71" t="s">
        <v>469</v>
      </c>
      <c r="E1314" s="72" t="s">
        <v>829</v>
      </c>
      <c r="F1314" s="73" t="str">
        <f t="shared" si="112"/>
        <v>720155</v>
      </c>
      <c r="G1314" s="72" t="str">
        <f t="shared" si="113"/>
        <v>720155</v>
      </c>
      <c r="H1314" s="74" t="s">
        <v>4923</v>
      </c>
    </row>
    <row r="1315" spans="1:8" ht="18.75">
      <c r="A1315" s="70">
        <v>72</v>
      </c>
      <c r="B1315" s="70">
        <v>1</v>
      </c>
      <c r="C1315" s="70">
        <v>56</v>
      </c>
      <c r="D1315" s="71" t="s">
        <v>470</v>
      </c>
      <c r="E1315" s="72" t="s">
        <v>829</v>
      </c>
      <c r="F1315" s="73" t="str">
        <f t="shared" si="112"/>
        <v>720156</v>
      </c>
      <c r="G1315" s="72" t="str">
        <f t="shared" si="113"/>
        <v>720156</v>
      </c>
      <c r="H1315" s="74" t="s">
        <v>4924</v>
      </c>
    </row>
    <row r="1316" spans="1:8" ht="18.75">
      <c r="A1316" s="70">
        <v>72</v>
      </c>
      <c r="B1316" s="70">
        <v>1</v>
      </c>
      <c r="C1316" s="70">
        <v>57</v>
      </c>
      <c r="D1316" s="71" t="s">
        <v>3381</v>
      </c>
      <c r="E1316" s="72" t="s">
        <v>829</v>
      </c>
      <c r="F1316" s="73" t="str">
        <f t="shared" si="112"/>
        <v>720157</v>
      </c>
      <c r="G1316" s="72" t="str">
        <f t="shared" si="113"/>
        <v>720157</v>
      </c>
      <c r="H1316" s="74" t="s">
        <v>4925</v>
      </c>
    </row>
    <row r="1317" spans="1:8" ht="18.75">
      <c r="A1317" s="70">
        <v>72</v>
      </c>
      <c r="B1317" s="70">
        <v>1</v>
      </c>
      <c r="C1317" s="70">
        <v>58</v>
      </c>
      <c r="D1317" s="71" t="s">
        <v>3382</v>
      </c>
      <c r="E1317" s="72" t="s">
        <v>829</v>
      </c>
      <c r="F1317" s="73" t="str">
        <f t="shared" si="112"/>
        <v>720158</v>
      </c>
      <c r="G1317" s="72" t="str">
        <f t="shared" si="113"/>
        <v>720158</v>
      </c>
      <c r="H1317" s="74" t="s">
        <v>4926</v>
      </c>
    </row>
    <row r="1318" spans="1:8" ht="18.75">
      <c r="A1318" s="70">
        <v>72</v>
      </c>
      <c r="B1318" s="70">
        <v>1</v>
      </c>
      <c r="C1318" s="70">
        <v>59</v>
      </c>
      <c r="D1318" s="71" t="s">
        <v>471</v>
      </c>
      <c r="E1318" s="72" t="s">
        <v>829</v>
      </c>
      <c r="F1318" s="73" t="str">
        <f t="shared" si="112"/>
        <v>720159</v>
      </c>
      <c r="G1318" s="72" t="str">
        <f t="shared" si="113"/>
        <v>720159</v>
      </c>
      <c r="H1318" s="74" t="s">
        <v>4927</v>
      </c>
    </row>
    <row r="1319" spans="1:8" ht="18.75">
      <c r="A1319" s="70">
        <v>72</v>
      </c>
      <c r="B1319" s="70">
        <v>1</v>
      </c>
      <c r="C1319" s="70">
        <v>60</v>
      </c>
      <c r="D1319" s="71" t="s">
        <v>472</v>
      </c>
      <c r="E1319" s="72" t="s">
        <v>829</v>
      </c>
      <c r="F1319" s="73" t="str">
        <f t="shared" si="112"/>
        <v>720160</v>
      </c>
      <c r="G1319" s="72" t="str">
        <f t="shared" si="113"/>
        <v>720160</v>
      </c>
      <c r="H1319" s="74" t="s">
        <v>4928</v>
      </c>
    </row>
    <row r="1320" spans="1:8" ht="18.75">
      <c r="A1320" s="70">
        <v>72</v>
      </c>
      <c r="B1320" s="70">
        <v>1</v>
      </c>
      <c r="C1320" s="70">
        <v>61</v>
      </c>
      <c r="D1320" s="71" t="s">
        <v>3385</v>
      </c>
      <c r="E1320" s="72" t="s">
        <v>829</v>
      </c>
      <c r="F1320" s="73" t="str">
        <f t="shared" si="112"/>
        <v>720161</v>
      </c>
      <c r="G1320" s="72" t="str">
        <f t="shared" si="113"/>
        <v>720161</v>
      </c>
      <c r="H1320" s="74" t="s">
        <v>4929</v>
      </c>
    </row>
    <row r="1321" spans="1:8" ht="18.75">
      <c r="A1321" s="70">
        <v>72</v>
      </c>
      <c r="B1321" s="70">
        <v>1</v>
      </c>
      <c r="C1321" s="70">
        <v>62</v>
      </c>
      <c r="D1321" s="71" t="s">
        <v>3386</v>
      </c>
      <c r="E1321" s="72" t="s">
        <v>829</v>
      </c>
      <c r="F1321" s="73" t="str">
        <f t="shared" si="112"/>
        <v>720162</v>
      </c>
      <c r="G1321" s="72" t="str">
        <f t="shared" si="113"/>
        <v>720162</v>
      </c>
      <c r="H1321" s="74" t="s">
        <v>4930</v>
      </c>
    </row>
    <row r="1322" spans="1:8" ht="18.75">
      <c r="A1322" s="70">
        <v>72</v>
      </c>
      <c r="B1322" s="70">
        <v>1</v>
      </c>
      <c r="C1322" s="70">
        <v>63</v>
      </c>
      <c r="D1322" s="71" t="s">
        <v>488</v>
      </c>
      <c r="E1322" s="72" t="s">
        <v>829</v>
      </c>
      <c r="F1322" s="73" t="str">
        <f t="shared" si="112"/>
        <v>720163</v>
      </c>
      <c r="G1322" s="72" t="str">
        <f t="shared" si="113"/>
        <v>720163</v>
      </c>
      <c r="H1322" s="74" t="s">
        <v>4931</v>
      </c>
    </row>
    <row r="1323" spans="1:8" ht="18.75">
      <c r="A1323" s="70">
        <v>72</v>
      </c>
      <c r="B1323" s="70">
        <v>1</v>
      </c>
      <c r="C1323" s="70">
        <v>64</v>
      </c>
      <c r="D1323" s="71" t="s">
        <v>489</v>
      </c>
      <c r="E1323" s="72" t="s">
        <v>829</v>
      </c>
      <c r="F1323" s="73" t="str">
        <f t="shared" si="112"/>
        <v>720164</v>
      </c>
      <c r="G1323" s="72" t="str">
        <f t="shared" si="113"/>
        <v>720164</v>
      </c>
      <c r="H1323" s="74" t="s">
        <v>4932</v>
      </c>
    </row>
    <row r="1324" spans="1:8" ht="18.75">
      <c r="A1324" s="70">
        <v>72</v>
      </c>
      <c r="B1324" s="70">
        <v>1</v>
      </c>
      <c r="C1324" s="70">
        <v>65</v>
      </c>
      <c r="D1324" s="71" t="s">
        <v>490</v>
      </c>
      <c r="E1324" s="72" t="s">
        <v>829</v>
      </c>
      <c r="F1324" s="73" t="str">
        <f t="shared" si="112"/>
        <v>720165</v>
      </c>
      <c r="G1324" s="72" t="str">
        <f t="shared" si="113"/>
        <v>720165</v>
      </c>
      <c r="H1324" s="74" t="s">
        <v>4933</v>
      </c>
    </row>
    <row r="1325" spans="1:8" ht="18.75">
      <c r="A1325" s="70">
        <v>72</v>
      </c>
      <c r="B1325" s="70">
        <v>1</v>
      </c>
      <c r="C1325" s="70">
        <v>66</v>
      </c>
      <c r="D1325" s="71" t="s">
        <v>5459</v>
      </c>
      <c r="E1325" s="72" t="s">
        <v>829</v>
      </c>
      <c r="F1325" s="73" t="str">
        <f t="shared" si="112"/>
        <v>720166</v>
      </c>
      <c r="G1325" s="72" t="str">
        <f t="shared" si="113"/>
        <v>720166</v>
      </c>
      <c r="H1325" s="74" t="s">
        <v>5591</v>
      </c>
    </row>
    <row r="1326" spans="1:8" ht="18.75">
      <c r="A1326" s="70">
        <v>72</v>
      </c>
      <c r="B1326" s="70">
        <v>1</v>
      </c>
      <c r="C1326" s="70">
        <v>70</v>
      </c>
      <c r="D1326" s="71" t="s">
        <v>3460</v>
      </c>
      <c r="E1326" s="72" t="s">
        <v>829</v>
      </c>
      <c r="F1326" s="73" t="str">
        <f t="shared" si="112"/>
        <v>720170</v>
      </c>
      <c r="G1326" s="72" t="str">
        <f t="shared" si="113"/>
        <v>720170</v>
      </c>
      <c r="H1326" s="74" t="s">
        <v>4935</v>
      </c>
    </row>
    <row r="1327" spans="1:8" ht="18.75">
      <c r="A1327" s="70">
        <v>72</v>
      </c>
      <c r="B1327" s="70">
        <v>1</v>
      </c>
      <c r="C1327" s="70">
        <v>71</v>
      </c>
      <c r="D1327" s="71" t="s">
        <v>473</v>
      </c>
      <c r="E1327" s="72" t="s">
        <v>829</v>
      </c>
      <c r="F1327" s="73" t="str">
        <f t="shared" si="112"/>
        <v>720171</v>
      </c>
      <c r="G1327" s="72" t="str">
        <f t="shared" si="113"/>
        <v>720171</v>
      </c>
      <c r="H1327" s="74" t="s">
        <v>4936</v>
      </c>
    </row>
    <row r="1328" spans="1:8" ht="18.75">
      <c r="A1328" s="70">
        <v>72</v>
      </c>
      <c r="B1328" s="70">
        <v>1</v>
      </c>
      <c r="C1328" s="70">
        <v>72</v>
      </c>
      <c r="D1328" s="71" t="s">
        <v>474</v>
      </c>
      <c r="E1328" s="72" t="s">
        <v>829</v>
      </c>
      <c r="F1328" s="73" t="str">
        <f t="shared" si="112"/>
        <v>720172</v>
      </c>
      <c r="G1328" s="72" t="str">
        <f t="shared" si="113"/>
        <v>720172</v>
      </c>
      <c r="H1328" s="74" t="s">
        <v>4937</v>
      </c>
    </row>
    <row r="1329" spans="1:8" ht="18.75">
      <c r="A1329" s="70">
        <v>72</v>
      </c>
      <c r="B1329" s="70">
        <v>1</v>
      </c>
      <c r="C1329" s="70">
        <v>73</v>
      </c>
      <c r="D1329" s="71" t="s">
        <v>475</v>
      </c>
      <c r="E1329" s="72" t="s">
        <v>829</v>
      </c>
      <c r="F1329" s="73" t="str">
        <f t="shared" si="112"/>
        <v>720173</v>
      </c>
      <c r="G1329" s="72" t="str">
        <f t="shared" si="113"/>
        <v>720173</v>
      </c>
      <c r="H1329" s="74" t="s">
        <v>4938</v>
      </c>
    </row>
    <row r="1330" spans="1:8" ht="18.75">
      <c r="A1330" s="70">
        <v>72</v>
      </c>
      <c r="B1330" s="70">
        <v>1</v>
      </c>
      <c r="C1330" s="70">
        <v>74</v>
      </c>
      <c r="D1330" s="71" t="s">
        <v>476</v>
      </c>
      <c r="E1330" s="72" t="s">
        <v>829</v>
      </c>
      <c r="F1330" s="73" t="str">
        <f t="shared" si="112"/>
        <v>720174</v>
      </c>
      <c r="G1330" s="72" t="str">
        <f t="shared" si="113"/>
        <v>720174</v>
      </c>
      <c r="H1330" s="74" t="s">
        <v>4939</v>
      </c>
    </row>
    <row r="1331" spans="1:8" ht="18.75">
      <c r="A1331" s="70">
        <v>72</v>
      </c>
      <c r="B1331" s="70">
        <v>1</v>
      </c>
      <c r="C1331" s="70">
        <v>75</v>
      </c>
      <c r="D1331" s="71" t="s">
        <v>764</v>
      </c>
      <c r="E1331" s="72" t="s">
        <v>829</v>
      </c>
      <c r="F1331" s="73" t="str">
        <f t="shared" si="112"/>
        <v>720175</v>
      </c>
      <c r="G1331" s="72" t="str">
        <f t="shared" si="113"/>
        <v>720175</v>
      </c>
      <c r="H1331" s="74" t="s">
        <v>4940</v>
      </c>
    </row>
    <row r="1332" spans="1:8" ht="18.75">
      <c r="A1332" s="70">
        <v>72</v>
      </c>
      <c r="B1332" s="70">
        <v>1</v>
      </c>
      <c r="C1332" s="70">
        <v>81</v>
      </c>
      <c r="D1332" s="71" t="s">
        <v>479</v>
      </c>
      <c r="E1332" s="72" t="s">
        <v>829</v>
      </c>
      <c r="F1332" s="73" t="str">
        <f t="shared" si="112"/>
        <v>720181</v>
      </c>
      <c r="G1332" s="72" t="str">
        <f t="shared" si="113"/>
        <v>720181</v>
      </c>
      <c r="H1332" s="74" t="s">
        <v>4941</v>
      </c>
    </row>
    <row r="1333" spans="1:8" ht="18.75">
      <c r="A1333" s="70">
        <v>72</v>
      </c>
      <c r="B1333" s="70">
        <v>1</v>
      </c>
      <c r="C1333" s="70">
        <v>82</v>
      </c>
      <c r="D1333" s="71" t="s">
        <v>480</v>
      </c>
      <c r="E1333" s="72" t="s">
        <v>829</v>
      </c>
      <c r="F1333" s="73" t="str">
        <f t="shared" si="112"/>
        <v>720182</v>
      </c>
      <c r="G1333" s="72" t="str">
        <f t="shared" si="113"/>
        <v>720182</v>
      </c>
      <c r="H1333" s="74" t="s">
        <v>4942</v>
      </c>
    </row>
    <row r="1334" spans="1:8" ht="18.75">
      <c r="A1334" s="70">
        <v>72</v>
      </c>
      <c r="B1334" s="70">
        <v>1</v>
      </c>
      <c r="C1334" s="70">
        <v>83</v>
      </c>
      <c r="D1334" s="71" t="s">
        <v>2997</v>
      </c>
      <c r="E1334" s="72" t="s">
        <v>829</v>
      </c>
      <c r="F1334" s="73" t="str">
        <f t="shared" si="112"/>
        <v>720183</v>
      </c>
      <c r="G1334" s="72" t="str">
        <f t="shared" si="113"/>
        <v>720183</v>
      </c>
      <c r="H1334" s="74" t="s">
        <v>4943</v>
      </c>
    </row>
    <row r="1335" spans="1:8" ht="18.75">
      <c r="A1335" s="70">
        <v>72</v>
      </c>
      <c r="B1335" s="70">
        <v>1</v>
      </c>
      <c r="C1335" s="70">
        <v>84</v>
      </c>
      <c r="D1335" s="71" t="s">
        <v>482</v>
      </c>
      <c r="E1335" s="72" t="s">
        <v>829</v>
      </c>
      <c r="F1335" s="73" t="str">
        <f t="shared" si="112"/>
        <v>720184</v>
      </c>
      <c r="G1335" s="72" t="str">
        <f t="shared" si="113"/>
        <v>720184</v>
      </c>
      <c r="H1335" s="74" t="s">
        <v>4944</v>
      </c>
    </row>
    <row r="1336" spans="1:8" ht="18.75">
      <c r="A1336" s="70">
        <v>72</v>
      </c>
      <c r="B1336" s="70">
        <v>1</v>
      </c>
      <c r="C1336" s="70">
        <v>85</v>
      </c>
      <c r="D1336" s="71" t="s">
        <v>2998</v>
      </c>
      <c r="E1336" s="72" t="s">
        <v>829</v>
      </c>
      <c r="F1336" s="73" t="str">
        <f t="shared" si="112"/>
        <v>720185</v>
      </c>
      <c r="G1336" s="72" t="str">
        <f t="shared" si="113"/>
        <v>720185</v>
      </c>
      <c r="H1336" s="74" t="s">
        <v>4945</v>
      </c>
    </row>
    <row r="1337" spans="1:8" ht="18.75">
      <c r="A1337" s="70">
        <v>72</v>
      </c>
      <c r="B1337" s="70">
        <v>1</v>
      </c>
      <c r="C1337" s="70">
        <v>86</v>
      </c>
      <c r="D1337" s="71" t="s">
        <v>2999</v>
      </c>
      <c r="E1337" s="72" t="s">
        <v>829</v>
      </c>
      <c r="F1337" s="73" t="str">
        <f t="shared" si="112"/>
        <v>720186</v>
      </c>
      <c r="G1337" s="72" t="str">
        <f t="shared" si="113"/>
        <v>720186</v>
      </c>
      <c r="H1337" s="74" t="s">
        <v>4946</v>
      </c>
    </row>
    <row r="1338" spans="1:8" ht="18.75">
      <c r="A1338" s="70">
        <v>72</v>
      </c>
      <c r="B1338" s="70">
        <v>1</v>
      </c>
      <c r="C1338" s="70">
        <v>87</v>
      </c>
      <c r="D1338" s="71" t="s">
        <v>3000</v>
      </c>
      <c r="E1338" s="72" t="s">
        <v>829</v>
      </c>
      <c r="F1338" s="73" t="str">
        <f t="shared" si="112"/>
        <v>720187</v>
      </c>
      <c r="G1338" s="72" t="str">
        <f t="shared" si="113"/>
        <v>720187</v>
      </c>
      <c r="H1338" s="74" t="s">
        <v>4947</v>
      </c>
    </row>
    <row r="1339" spans="1:8" ht="18.75">
      <c r="A1339" s="70">
        <v>72</v>
      </c>
      <c r="B1339" s="70">
        <v>1</v>
      </c>
      <c r="C1339" s="70">
        <v>88</v>
      </c>
      <c r="D1339" s="71" t="s">
        <v>3383</v>
      </c>
      <c r="E1339" s="72" t="s">
        <v>829</v>
      </c>
      <c r="F1339" s="73" t="str">
        <f t="shared" si="112"/>
        <v>720188</v>
      </c>
      <c r="G1339" s="72" t="str">
        <f t="shared" si="113"/>
        <v>720188</v>
      </c>
      <c r="H1339" s="74" t="s">
        <v>4948</v>
      </c>
    </row>
    <row r="1340" spans="1:8" ht="18.75">
      <c r="A1340" s="70">
        <v>72</v>
      </c>
      <c r="B1340" s="70">
        <v>1</v>
      </c>
      <c r="C1340" s="70">
        <v>89</v>
      </c>
      <c r="D1340" s="71" t="s">
        <v>3384</v>
      </c>
      <c r="E1340" s="72" t="s">
        <v>829</v>
      </c>
      <c r="F1340" s="73" t="str">
        <f t="shared" si="112"/>
        <v>720189</v>
      </c>
      <c r="G1340" s="72" t="str">
        <f t="shared" si="113"/>
        <v>720189</v>
      </c>
      <c r="H1340" s="74" t="s">
        <v>4949</v>
      </c>
    </row>
    <row r="1341" spans="1:8" ht="18.75">
      <c r="A1341" s="70">
        <v>72</v>
      </c>
      <c r="B1341" s="70">
        <v>1</v>
      </c>
      <c r="C1341" s="70">
        <v>90</v>
      </c>
      <c r="D1341" s="71" t="s">
        <v>3658</v>
      </c>
      <c r="E1341" s="72" t="s">
        <v>829</v>
      </c>
      <c r="F1341" s="73" t="str">
        <f t="shared" si="112"/>
        <v>720190</v>
      </c>
      <c r="G1341" s="72" t="str">
        <f t="shared" si="113"/>
        <v>720190</v>
      </c>
      <c r="H1341" s="74" t="s">
        <v>4950</v>
      </c>
    </row>
    <row r="1342" spans="1:8" ht="18.75">
      <c r="A1342" s="70">
        <v>72</v>
      </c>
      <c r="B1342" s="70">
        <v>1</v>
      </c>
      <c r="C1342" s="70">
        <v>91</v>
      </c>
      <c r="D1342" s="71" t="s">
        <v>3659</v>
      </c>
      <c r="E1342" s="72" t="s">
        <v>829</v>
      </c>
      <c r="F1342" s="73" t="str">
        <f t="shared" si="112"/>
        <v>720191</v>
      </c>
      <c r="G1342" s="72" t="str">
        <f t="shared" si="113"/>
        <v>720191</v>
      </c>
      <c r="H1342" s="74" t="s">
        <v>4951</v>
      </c>
    </row>
    <row r="1343" spans="1:8" ht="18.75">
      <c r="A1343" s="70">
        <v>72</v>
      </c>
      <c r="B1343" s="70">
        <v>1</v>
      </c>
      <c r="C1343" s="70">
        <v>92</v>
      </c>
      <c r="D1343" s="71" t="s">
        <v>3802</v>
      </c>
      <c r="E1343" s="72" t="s">
        <v>829</v>
      </c>
      <c r="F1343" s="73" t="str">
        <f t="shared" si="112"/>
        <v>720192</v>
      </c>
      <c r="G1343" s="72" t="str">
        <f t="shared" si="113"/>
        <v>720192</v>
      </c>
      <c r="H1343" s="74" t="s">
        <v>4952</v>
      </c>
    </row>
    <row r="1344" spans="1:8" ht="18.75">
      <c r="A1344" s="70">
        <v>72</v>
      </c>
      <c r="B1344" s="70">
        <v>1</v>
      </c>
      <c r="C1344" s="70">
        <v>93</v>
      </c>
      <c r="D1344" s="71" t="s">
        <v>4953</v>
      </c>
      <c r="E1344" s="72" t="s">
        <v>829</v>
      </c>
      <c r="F1344" s="73" t="str">
        <f t="shared" si="112"/>
        <v>720193</v>
      </c>
      <c r="G1344" s="72" t="str">
        <f t="shared" si="113"/>
        <v>720193</v>
      </c>
      <c r="H1344" s="74" t="s">
        <v>5592</v>
      </c>
    </row>
    <row r="1345" spans="1:8" ht="18.75">
      <c r="A1345" s="70">
        <v>72</v>
      </c>
      <c r="B1345" s="70">
        <v>1</v>
      </c>
      <c r="C1345" s="70">
        <v>94</v>
      </c>
      <c r="D1345" s="71" t="s">
        <v>4954</v>
      </c>
      <c r="E1345" s="72" t="s">
        <v>829</v>
      </c>
      <c r="F1345" s="73" t="str">
        <f t="shared" si="112"/>
        <v>720194</v>
      </c>
      <c r="G1345" s="72" t="str">
        <f t="shared" si="113"/>
        <v>720194</v>
      </c>
      <c r="H1345" s="74" t="s">
        <v>5593</v>
      </c>
    </row>
    <row r="1346" spans="1:8" ht="18.75">
      <c r="A1346" s="70">
        <v>72</v>
      </c>
      <c r="B1346" s="70">
        <v>1</v>
      </c>
      <c r="C1346" s="70">
        <v>95</v>
      </c>
      <c r="D1346" s="71" t="s">
        <v>4955</v>
      </c>
      <c r="E1346" s="72" t="s">
        <v>829</v>
      </c>
      <c r="F1346" s="73" t="str">
        <f t="shared" si="112"/>
        <v>720195</v>
      </c>
      <c r="G1346" s="72" t="str">
        <f t="shared" si="113"/>
        <v>720195</v>
      </c>
      <c r="H1346" s="74" t="s">
        <v>5594</v>
      </c>
    </row>
    <row r="1347" spans="1:8" ht="18.75">
      <c r="A1347" s="70">
        <v>72</v>
      </c>
      <c r="B1347" s="70">
        <v>1</v>
      </c>
      <c r="C1347" s="70">
        <v>96</v>
      </c>
      <c r="D1347" s="71" t="s">
        <v>5443</v>
      </c>
      <c r="E1347" s="72" t="s">
        <v>829</v>
      </c>
      <c r="F1347" s="73" t="str">
        <f t="shared" si="112"/>
        <v>720196</v>
      </c>
      <c r="G1347" s="72" t="str">
        <f t="shared" si="113"/>
        <v>720196</v>
      </c>
      <c r="H1347" s="74" t="s">
        <v>5595</v>
      </c>
    </row>
    <row r="1348" spans="1:8" ht="18.75">
      <c r="A1348" s="70">
        <v>72</v>
      </c>
      <c r="B1348" s="70">
        <v>1</v>
      </c>
      <c r="C1348" s="70">
        <v>97</v>
      </c>
      <c r="D1348" s="71" t="s">
        <v>5596</v>
      </c>
      <c r="E1348" s="72" t="s">
        <v>829</v>
      </c>
      <c r="F1348" s="73" t="str">
        <f t="shared" si="112"/>
        <v>720197</v>
      </c>
      <c r="G1348" s="72" t="str">
        <f t="shared" si="113"/>
        <v>720197</v>
      </c>
      <c r="H1348" s="74" t="s">
        <v>5597</v>
      </c>
    </row>
    <row r="1349" spans="1:8" ht="18.75">
      <c r="A1349" s="70">
        <v>72</v>
      </c>
      <c r="B1349" s="70">
        <v>1</v>
      </c>
      <c r="C1349" s="70">
        <v>98</v>
      </c>
      <c r="D1349" s="71" t="s">
        <v>5598</v>
      </c>
      <c r="E1349" s="72" t="s">
        <v>829</v>
      </c>
      <c r="F1349" s="73" t="str">
        <f t="shared" si="112"/>
        <v>720198</v>
      </c>
      <c r="G1349" s="72" t="str">
        <f t="shared" si="113"/>
        <v>720198</v>
      </c>
      <c r="H1349" s="74" t="s">
        <v>5599</v>
      </c>
    </row>
    <row r="1350" spans="1:8" ht="18.75">
      <c r="A1350" s="70">
        <v>72</v>
      </c>
      <c r="B1350" s="70">
        <v>1</v>
      </c>
      <c r="C1350" s="70">
        <v>99</v>
      </c>
      <c r="D1350" s="71" t="s">
        <v>5793</v>
      </c>
      <c r="E1350" s="72" t="s">
        <v>829</v>
      </c>
      <c r="F1350" s="73" t="str">
        <f t="shared" ref="F1350" si="114">TEXT(A1350,"00")&amp;TEXT(B1350,"00")&amp;TEXT(C1350,"00")</f>
        <v>720199</v>
      </c>
      <c r="G1350" s="72" t="str">
        <f t="shared" ref="G1350" si="115">TEXT(F1350,"000000")</f>
        <v>720199</v>
      </c>
      <c r="H1350" s="74" t="s">
        <v>5794</v>
      </c>
    </row>
    <row r="1351" spans="1:8" ht="18.75">
      <c r="A1351" s="66">
        <v>72</v>
      </c>
      <c r="B1351" s="66">
        <v>2</v>
      </c>
      <c r="C1351" s="66">
        <v>0</v>
      </c>
      <c r="D1351" s="67" t="s">
        <v>2905</v>
      </c>
      <c r="E1351" s="68"/>
      <c r="F1351" s="78"/>
      <c r="G1351" s="79"/>
      <c r="H1351" s="80"/>
    </row>
    <row r="1352" spans="1:8" ht="18.75">
      <c r="A1352" s="70">
        <v>72</v>
      </c>
      <c r="B1352" s="70">
        <v>2</v>
      </c>
      <c r="C1352" s="70">
        <v>11</v>
      </c>
      <c r="D1352" s="71" t="s">
        <v>534</v>
      </c>
      <c r="E1352" s="72" t="s">
        <v>829</v>
      </c>
      <c r="F1352" s="73" t="str">
        <f t="shared" ref="F1352:F1371" si="116">TEXT(A1352,"00")&amp;TEXT(B1352,"00")&amp;TEXT(C1352,"00")</f>
        <v>720211</v>
      </c>
      <c r="G1352" s="72" t="str">
        <f t="shared" ref="G1352:G1371" si="117">TEXT(F1352,"000000")</f>
        <v>720211</v>
      </c>
      <c r="H1352" s="74" t="s">
        <v>4956</v>
      </c>
    </row>
    <row r="1353" spans="1:8" ht="18.75">
      <c r="A1353" s="70">
        <v>72</v>
      </c>
      <c r="B1353" s="70">
        <v>2</v>
      </c>
      <c r="C1353" s="70">
        <v>12</v>
      </c>
      <c r="D1353" s="71" t="s">
        <v>533</v>
      </c>
      <c r="E1353" s="72" t="s">
        <v>829</v>
      </c>
      <c r="F1353" s="73" t="str">
        <f t="shared" si="116"/>
        <v>720212</v>
      </c>
      <c r="G1353" s="72" t="str">
        <f t="shared" si="117"/>
        <v>720212</v>
      </c>
      <c r="H1353" s="74" t="s">
        <v>4957</v>
      </c>
    </row>
    <row r="1354" spans="1:8" ht="18.75">
      <c r="A1354" s="70">
        <v>72</v>
      </c>
      <c r="B1354" s="70">
        <v>2</v>
      </c>
      <c r="C1354" s="70">
        <v>13</v>
      </c>
      <c r="D1354" s="71" t="s">
        <v>535</v>
      </c>
      <c r="E1354" s="72" t="s">
        <v>829</v>
      </c>
      <c r="F1354" s="73" t="str">
        <f t="shared" si="116"/>
        <v>720213</v>
      </c>
      <c r="G1354" s="72" t="str">
        <f t="shared" si="117"/>
        <v>720213</v>
      </c>
      <c r="H1354" s="74" t="s">
        <v>4958</v>
      </c>
    </row>
    <row r="1355" spans="1:8" ht="18.75">
      <c r="A1355" s="70">
        <v>72</v>
      </c>
      <c r="B1355" s="70">
        <v>2</v>
      </c>
      <c r="C1355" s="70">
        <v>14</v>
      </c>
      <c r="D1355" s="71" t="s">
        <v>3388</v>
      </c>
      <c r="E1355" s="72" t="s">
        <v>829</v>
      </c>
      <c r="F1355" s="73" t="str">
        <f t="shared" si="116"/>
        <v>720214</v>
      </c>
      <c r="G1355" s="72" t="str">
        <f t="shared" si="117"/>
        <v>720214</v>
      </c>
      <c r="H1355" s="74" t="s">
        <v>4959</v>
      </c>
    </row>
    <row r="1356" spans="1:8" ht="18.75">
      <c r="A1356" s="70">
        <v>72</v>
      </c>
      <c r="B1356" s="70">
        <v>2</v>
      </c>
      <c r="C1356" s="70">
        <v>15</v>
      </c>
      <c r="D1356" s="71" t="s">
        <v>3389</v>
      </c>
      <c r="E1356" s="72" t="s">
        <v>829</v>
      </c>
      <c r="F1356" s="73" t="str">
        <f t="shared" si="116"/>
        <v>720215</v>
      </c>
      <c r="G1356" s="72" t="str">
        <f t="shared" si="117"/>
        <v>720215</v>
      </c>
      <c r="H1356" s="74" t="s">
        <v>4960</v>
      </c>
    </row>
    <row r="1357" spans="1:8" ht="18.75">
      <c r="A1357" s="70">
        <v>72</v>
      </c>
      <c r="B1357" s="70">
        <v>2</v>
      </c>
      <c r="C1357" s="70">
        <v>31</v>
      </c>
      <c r="D1357" s="71" t="s">
        <v>538</v>
      </c>
      <c r="E1357" s="72" t="s">
        <v>829</v>
      </c>
      <c r="F1357" s="73" t="str">
        <f t="shared" si="116"/>
        <v>720231</v>
      </c>
      <c r="G1357" s="72" t="str">
        <f t="shared" si="117"/>
        <v>720231</v>
      </c>
      <c r="H1357" s="74" t="s">
        <v>4961</v>
      </c>
    </row>
    <row r="1358" spans="1:8" ht="18.75">
      <c r="A1358" s="70">
        <v>72</v>
      </c>
      <c r="B1358" s="70">
        <v>2</v>
      </c>
      <c r="C1358" s="70">
        <v>32</v>
      </c>
      <c r="D1358" s="71" t="s">
        <v>537</v>
      </c>
      <c r="E1358" s="72" t="s">
        <v>829</v>
      </c>
      <c r="F1358" s="73" t="str">
        <f t="shared" si="116"/>
        <v>720232</v>
      </c>
      <c r="G1358" s="72" t="str">
        <f t="shared" si="117"/>
        <v>720232</v>
      </c>
      <c r="H1358" s="74" t="s">
        <v>4962</v>
      </c>
    </row>
    <row r="1359" spans="1:8" ht="18.75">
      <c r="A1359" s="70">
        <v>72</v>
      </c>
      <c r="B1359" s="70">
        <v>2</v>
      </c>
      <c r="C1359" s="70">
        <v>33</v>
      </c>
      <c r="D1359" s="71" t="s">
        <v>3392</v>
      </c>
      <c r="E1359" s="72" t="s">
        <v>829</v>
      </c>
      <c r="F1359" s="73" t="str">
        <f t="shared" si="116"/>
        <v>720233</v>
      </c>
      <c r="G1359" s="72" t="str">
        <f t="shared" si="117"/>
        <v>720233</v>
      </c>
      <c r="H1359" s="74" t="s">
        <v>4963</v>
      </c>
    </row>
    <row r="1360" spans="1:8" ht="18.75">
      <c r="A1360" s="70">
        <v>72</v>
      </c>
      <c r="B1360" s="70">
        <v>2</v>
      </c>
      <c r="C1360" s="70">
        <v>34</v>
      </c>
      <c r="D1360" s="71" t="s">
        <v>3391</v>
      </c>
      <c r="E1360" s="72" t="s">
        <v>829</v>
      </c>
      <c r="F1360" s="73" t="str">
        <f t="shared" si="116"/>
        <v>720234</v>
      </c>
      <c r="G1360" s="72" t="str">
        <f t="shared" si="117"/>
        <v>720234</v>
      </c>
      <c r="H1360" s="74" t="s">
        <v>4964</v>
      </c>
    </row>
    <row r="1361" spans="1:8" ht="18.75">
      <c r="A1361" s="70">
        <v>72</v>
      </c>
      <c r="B1361" s="70">
        <v>2</v>
      </c>
      <c r="C1361" s="70">
        <v>35</v>
      </c>
      <c r="D1361" s="71" t="s">
        <v>3390</v>
      </c>
      <c r="E1361" s="72" t="s">
        <v>829</v>
      </c>
      <c r="F1361" s="73" t="str">
        <f t="shared" si="116"/>
        <v>720235</v>
      </c>
      <c r="G1361" s="72" t="str">
        <f t="shared" si="117"/>
        <v>720235</v>
      </c>
      <c r="H1361" s="74" t="s">
        <v>4965</v>
      </c>
    </row>
    <row r="1362" spans="1:8" ht="18.75">
      <c r="A1362" s="70">
        <v>72</v>
      </c>
      <c r="B1362" s="70">
        <v>2</v>
      </c>
      <c r="C1362" s="70">
        <v>51</v>
      </c>
      <c r="D1362" s="71" t="s">
        <v>596</v>
      </c>
      <c r="E1362" s="72" t="s">
        <v>829</v>
      </c>
      <c r="F1362" s="73" t="str">
        <f t="shared" si="116"/>
        <v>720251</v>
      </c>
      <c r="G1362" s="72" t="str">
        <f t="shared" si="117"/>
        <v>720251</v>
      </c>
      <c r="H1362" s="74" t="s">
        <v>4966</v>
      </c>
    </row>
    <row r="1363" spans="1:8" ht="18.75">
      <c r="A1363" s="70">
        <v>72</v>
      </c>
      <c r="B1363" s="70">
        <v>2</v>
      </c>
      <c r="C1363" s="70">
        <v>52</v>
      </c>
      <c r="D1363" s="71" t="s">
        <v>595</v>
      </c>
      <c r="E1363" s="72" t="s">
        <v>829</v>
      </c>
      <c r="F1363" s="73" t="str">
        <f t="shared" si="116"/>
        <v>720252</v>
      </c>
      <c r="G1363" s="72" t="str">
        <f t="shared" si="117"/>
        <v>720252</v>
      </c>
      <c r="H1363" s="74" t="s">
        <v>4967</v>
      </c>
    </row>
    <row r="1364" spans="1:8" ht="18.75">
      <c r="A1364" s="70">
        <v>72</v>
      </c>
      <c r="B1364" s="70">
        <v>2</v>
      </c>
      <c r="C1364" s="70">
        <v>53</v>
      </c>
      <c r="D1364" s="71" t="s">
        <v>597</v>
      </c>
      <c r="E1364" s="72" t="s">
        <v>829</v>
      </c>
      <c r="F1364" s="73" t="str">
        <f t="shared" si="116"/>
        <v>720253</v>
      </c>
      <c r="G1364" s="72" t="str">
        <f t="shared" si="117"/>
        <v>720253</v>
      </c>
      <c r="H1364" s="74" t="s">
        <v>4968</v>
      </c>
    </row>
    <row r="1365" spans="1:8" ht="18.75">
      <c r="A1365" s="70">
        <v>72</v>
      </c>
      <c r="B1365" s="70">
        <v>2</v>
      </c>
      <c r="C1365" s="70">
        <v>54</v>
      </c>
      <c r="D1365" s="71" t="s">
        <v>598</v>
      </c>
      <c r="E1365" s="72" t="s">
        <v>829</v>
      </c>
      <c r="F1365" s="73" t="str">
        <f t="shared" si="116"/>
        <v>720254</v>
      </c>
      <c r="G1365" s="72" t="str">
        <f t="shared" si="117"/>
        <v>720254</v>
      </c>
      <c r="H1365" s="74" t="s">
        <v>4969</v>
      </c>
    </row>
    <row r="1366" spans="1:8" ht="18.75">
      <c r="A1366" s="70">
        <v>72</v>
      </c>
      <c r="B1366" s="70">
        <v>2</v>
      </c>
      <c r="C1366" s="70">
        <v>55</v>
      </c>
      <c r="D1366" s="71" t="s">
        <v>3393</v>
      </c>
      <c r="E1366" s="72" t="s">
        <v>829</v>
      </c>
      <c r="F1366" s="73" t="str">
        <f t="shared" si="116"/>
        <v>720255</v>
      </c>
      <c r="G1366" s="72" t="str">
        <f t="shared" si="117"/>
        <v>720255</v>
      </c>
      <c r="H1366" s="74" t="s">
        <v>4970</v>
      </c>
    </row>
    <row r="1367" spans="1:8" ht="18.75">
      <c r="A1367" s="70">
        <v>72</v>
      </c>
      <c r="B1367" s="70">
        <v>2</v>
      </c>
      <c r="C1367" s="70">
        <v>71</v>
      </c>
      <c r="D1367" s="71" t="s">
        <v>584</v>
      </c>
      <c r="E1367" s="72" t="s">
        <v>829</v>
      </c>
      <c r="F1367" s="73" t="str">
        <f t="shared" si="116"/>
        <v>720271</v>
      </c>
      <c r="G1367" s="72" t="str">
        <f t="shared" si="117"/>
        <v>720271</v>
      </c>
      <c r="H1367" s="74" t="s">
        <v>4971</v>
      </c>
    </row>
    <row r="1368" spans="1:8" ht="18.75">
      <c r="A1368" s="70">
        <v>72</v>
      </c>
      <c r="B1368" s="70">
        <v>2</v>
      </c>
      <c r="C1368" s="70">
        <v>72</v>
      </c>
      <c r="D1368" s="71" t="s">
        <v>583</v>
      </c>
      <c r="E1368" s="72" t="s">
        <v>829</v>
      </c>
      <c r="F1368" s="73" t="str">
        <f t="shared" si="116"/>
        <v>720272</v>
      </c>
      <c r="G1368" s="72" t="str">
        <f t="shared" si="117"/>
        <v>720272</v>
      </c>
      <c r="H1368" s="74" t="s">
        <v>4972</v>
      </c>
    </row>
    <row r="1369" spans="1:8" ht="18.75">
      <c r="A1369" s="70">
        <v>72</v>
      </c>
      <c r="B1369" s="70">
        <v>2</v>
      </c>
      <c r="C1369" s="70">
        <v>73</v>
      </c>
      <c r="D1369" s="71" t="s">
        <v>585</v>
      </c>
      <c r="E1369" s="72" t="s">
        <v>829</v>
      </c>
      <c r="F1369" s="73" t="str">
        <f t="shared" si="116"/>
        <v>720273</v>
      </c>
      <c r="G1369" s="72" t="str">
        <f t="shared" si="117"/>
        <v>720273</v>
      </c>
      <c r="H1369" s="74" t="s">
        <v>4973</v>
      </c>
    </row>
    <row r="1370" spans="1:8" ht="18.75">
      <c r="A1370" s="70">
        <v>72</v>
      </c>
      <c r="B1370" s="70">
        <v>2</v>
      </c>
      <c r="C1370" s="70">
        <v>74</v>
      </c>
      <c r="D1370" s="71" t="s">
        <v>586</v>
      </c>
      <c r="E1370" s="72" t="s">
        <v>829</v>
      </c>
      <c r="F1370" s="73" t="str">
        <f t="shared" si="116"/>
        <v>720274</v>
      </c>
      <c r="G1370" s="72" t="str">
        <f t="shared" si="117"/>
        <v>720274</v>
      </c>
      <c r="H1370" s="74" t="s">
        <v>4974</v>
      </c>
    </row>
    <row r="1371" spans="1:8" ht="18.75">
      <c r="A1371" s="70">
        <v>72</v>
      </c>
      <c r="B1371" s="70">
        <v>2</v>
      </c>
      <c r="C1371" s="70">
        <v>75</v>
      </c>
      <c r="D1371" s="71" t="s">
        <v>3394</v>
      </c>
      <c r="E1371" s="72" t="s">
        <v>829</v>
      </c>
      <c r="F1371" s="73" t="str">
        <f t="shared" si="116"/>
        <v>720275</v>
      </c>
      <c r="G1371" s="72" t="str">
        <f t="shared" si="117"/>
        <v>720275</v>
      </c>
      <c r="H1371" s="74" t="s">
        <v>4975</v>
      </c>
    </row>
    <row r="1372" spans="1:8" ht="18.75">
      <c r="A1372" s="66">
        <v>72</v>
      </c>
      <c r="B1372" s="66">
        <v>3</v>
      </c>
      <c r="C1372" s="66">
        <v>0</v>
      </c>
      <c r="D1372" s="67" t="s">
        <v>2906</v>
      </c>
      <c r="E1372" s="68"/>
      <c r="F1372" s="78"/>
      <c r="G1372" s="79"/>
      <c r="H1372" s="80"/>
    </row>
    <row r="1373" spans="1:8" ht="18.75">
      <c r="A1373" s="70">
        <v>72</v>
      </c>
      <c r="B1373" s="70">
        <v>3</v>
      </c>
      <c r="C1373" s="70">
        <v>11</v>
      </c>
      <c r="D1373" s="71" t="s">
        <v>735</v>
      </c>
      <c r="E1373" s="72" t="s">
        <v>4049</v>
      </c>
      <c r="F1373" s="73" t="str">
        <f t="shared" ref="F1373:F1384" si="118">TEXT(A1373,"00")&amp;TEXT(B1373,"00")&amp;TEXT(C1373,"00")</f>
        <v>720311</v>
      </c>
      <c r="G1373" s="72" t="str">
        <f t="shared" ref="G1373:G1384" si="119">TEXT(F1373,"000000")</f>
        <v>720311</v>
      </c>
      <c r="H1373" s="74" t="s">
        <v>4976</v>
      </c>
    </row>
    <row r="1374" spans="1:8" ht="18.75">
      <c r="A1374" s="70">
        <v>72</v>
      </c>
      <c r="B1374" s="70">
        <v>3</v>
      </c>
      <c r="C1374" s="70">
        <v>23</v>
      </c>
      <c r="D1374" s="71" t="s">
        <v>693</v>
      </c>
      <c r="E1374" s="72" t="s">
        <v>829</v>
      </c>
      <c r="F1374" s="73" t="str">
        <f t="shared" si="118"/>
        <v>720323</v>
      </c>
      <c r="G1374" s="72" t="str">
        <f t="shared" si="119"/>
        <v>720323</v>
      </c>
      <c r="H1374" s="74" t="s">
        <v>4977</v>
      </c>
    </row>
    <row r="1375" spans="1:8" ht="18.75">
      <c r="A1375" s="70">
        <v>72</v>
      </c>
      <c r="B1375" s="70">
        <v>3</v>
      </c>
      <c r="C1375" s="70">
        <v>25</v>
      </c>
      <c r="D1375" s="71" t="s">
        <v>3753</v>
      </c>
      <c r="E1375" s="72" t="s">
        <v>829</v>
      </c>
      <c r="F1375" s="73" t="str">
        <f t="shared" si="118"/>
        <v>720325</v>
      </c>
      <c r="G1375" s="72" t="str">
        <f t="shared" si="119"/>
        <v>720325</v>
      </c>
      <c r="H1375" s="74" t="s">
        <v>4978</v>
      </c>
    </row>
    <row r="1376" spans="1:8" ht="18.75">
      <c r="A1376" s="70">
        <v>72</v>
      </c>
      <c r="B1376" s="70">
        <v>3</v>
      </c>
      <c r="C1376" s="70">
        <v>31</v>
      </c>
      <c r="D1376" s="71" t="s">
        <v>637</v>
      </c>
      <c r="E1376" s="72" t="s">
        <v>829</v>
      </c>
      <c r="F1376" s="73" t="str">
        <f t="shared" si="118"/>
        <v>720331</v>
      </c>
      <c r="G1376" s="72" t="str">
        <f t="shared" si="119"/>
        <v>720331</v>
      </c>
      <c r="H1376" s="74" t="s">
        <v>4979</v>
      </c>
    </row>
    <row r="1377" spans="1:8" ht="18.75">
      <c r="A1377" s="70">
        <v>72</v>
      </c>
      <c r="B1377" s="70">
        <v>3</v>
      </c>
      <c r="C1377" s="70">
        <v>51</v>
      </c>
      <c r="D1377" s="71" t="s">
        <v>5883</v>
      </c>
      <c r="E1377" s="72" t="s">
        <v>829</v>
      </c>
      <c r="F1377" s="73" t="str">
        <f t="shared" si="118"/>
        <v>720351</v>
      </c>
      <c r="G1377" s="72" t="str">
        <f t="shared" si="119"/>
        <v>720351</v>
      </c>
      <c r="H1377" s="74" t="s">
        <v>4980</v>
      </c>
    </row>
    <row r="1378" spans="1:8" ht="18.75">
      <c r="A1378" s="70">
        <v>72</v>
      </c>
      <c r="B1378" s="70">
        <v>3</v>
      </c>
      <c r="C1378" s="70">
        <v>52</v>
      </c>
      <c r="D1378" s="71" t="s">
        <v>5884</v>
      </c>
      <c r="E1378" s="72" t="s">
        <v>829</v>
      </c>
      <c r="F1378" s="73" t="str">
        <f t="shared" si="118"/>
        <v>720352</v>
      </c>
      <c r="G1378" s="72" t="str">
        <f t="shared" si="119"/>
        <v>720352</v>
      </c>
      <c r="H1378" s="74" t="s">
        <v>4981</v>
      </c>
    </row>
    <row r="1379" spans="1:8" ht="18.75">
      <c r="A1379" s="70">
        <v>72</v>
      </c>
      <c r="B1379" s="70">
        <v>3</v>
      </c>
      <c r="C1379" s="70">
        <v>53</v>
      </c>
      <c r="D1379" s="71" t="s">
        <v>3661</v>
      </c>
      <c r="E1379" s="72" t="s">
        <v>4049</v>
      </c>
      <c r="F1379" s="73" t="str">
        <f t="shared" si="118"/>
        <v>720353</v>
      </c>
      <c r="G1379" s="72" t="str">
        <f t="shared" si="119"/>
        <v>720353</v>
      </c>
      <c r="H1379" s="74" t="s">
        <v>4982</v>
      </c>
    </row>
    <row r="1380" spans="1:8" ht="18.75">
      <c r="A1380" s="70">
        <v>72</v>
      </c>
      <c r="B1380" s="70">
        <v>3</v>
      </c>
      <c r="C1380" s="70">
        <v>54</v>
      </c>
      <c r="D1380" s="71" t="s">
        <v>3662</v>
      </c>
      <c r="E1380" s="72" t="s">
        <v>4049</v>
      </c>
      <c r="F1380" s="73" t="str">
        <f t="shared" si="118"/>
        <v>720354</v>
      </c>
      <c r="G1380" s="72" t="str">
        <f t="shared" si="119"/>
        <v>720354</v>
      </c>
      <c r="H1380" s="74" t="s">
        <v>5600</v>
      </c>
    </row>
    <row r="1381" spans="1:8" ht="18.75">
      <c r="A1381" s="70">
        <v>72</v>
      </c>
      <c r="B1381" s="70">
        <v>3</v>
      </c>
      <c r="C1381" s="70">
        <v>55</v>
      </c>
      <c r="D1381" s="71" t="s">
        <v>3746</v>
      </c>
      <c r="E1381" s="72" t="s">
        <v>4049</v>
      </c>
      <c r="F1381" s="73" t="str">
        <f t="shared" si="118"/>
        <v>720355</v>
      </c>
      <c r="G1381" s="72" t="str">
        <f t="shared" si="119"/>
        <v>720355</v>
      </c>
      <c r="H1381" s="74" t="s">
        <v>4983</v>
      </c>
    </row>
    <row r="1382" spans="1:8" ht="18.75">
      <c r="A1382" s="70">
        <v>72</v>
      </c>
      <c r="B1382" s="70">
        <v>3</v>
      </c>
      <c r="C1382" s="70">
        <v>56</v>
      </c>
      <c r="D1382" s="71" t="s">
        <v>4984</v>
      </c>
      <c r="E1382" s="72" t="s">
        <v>829</v>
      </c>
      <c r="F1382" s="73" t="str">
        <f t="shared" si="118"/>
        <v>720356</v>
      </c>
      <c r="G1382" s="72" t="str">
        <f t="shared" si="119"/>
        <v>720356</v>
      </c>
      <c r="H1382" s="74" t="s">
        <v>5601</v>
      </c>
    </row>
    <row r="1383" spans="1:8" ht="18.75">
      <c r="A1383" s="70">
        <v>72</v>
      </c>
      <c r="B1383" s="70">
        <v>3</v>
      </c>
      <c r="C1383" s="70">
        <v>57</v>
      </c>
      <c r="D1383" s="71" t="s">
        <v>5745</v>
      </c>
      <c r="E1383" s="72" t="s">
        <v>4049</v>
      </c>
      <c r="F1383" s="73" t="str">
        <f t="shared" si="118"/>
        <v>720357</v>
      </c>
      <c r="G1383" s="72" t="str">
        <f t="shared" si="119"/>
        <v>720357</v>
      </c>
      <c r="H1383" s="74" t="s">
        <v>5746</v>
      </c>
    </row>
    <row r="1384" spans="1:8" ht="18.75">
      <c r="A1384" s="70">
        <v>72</v>
      </c>
      <c r="B1384" s="70">
        <v>3</v>
      </c>
      <c r="C1384" s="70">
        <v>58</v>
      </c>
      <c r="D1384" s="71" t="s">
        <v>5885</v>
      </c>
      <c r="E1384" s="72" t="s">
        <v>4049</v>
      </c>
      <c r="F1384" s="73" t="str">
        <f t="shared" si="118"/>
        <v>720358</v>
      </c>
      <c r="G1384" s="72" t="str">
        <f t="shared" si="119"/>
        <v>720358</v>
      </c>
      <c r="H1384" s="74" t="s">
        <v>5886</v>
      </c>
    </row>
    <row r="1385" spans="1:8" ht="18.75">
      <c r="A1385" s="66">
        <v>72</v>
      </c>
      <c r="B1385" s="66">
        <v>4</v>
      </c>
      <c r="C1385" s="66">
        <v>0</v>
      </c>
      <c r="D1385" s="67" t="s">
        <v>5452</v>
      </c>
      <c r="E1385" s="68"/>
      <c r="F1385" s="78"/>
      <c r="G1385" s="79"/>
      <c r="H1385" s="80"/>
    </row>
    <row r="1386" spans="1:8" ht="18.75">
      <c r="A1386" s="70">
        <v>72</v>
      </c>
      <c r="B1386" s="70">
        <v>4</v>
      </c>
      <c r="C1386" s="70">
        <v>10</v>
      </c>
      <c r="D1386" s="71" t="s">
        <v>5453</v>
      </c>
      <c r="E1386" s="72" t="s">
        <v>829</v>
      </c>
      <c r="F1386" s="73" t="str">
        <f t="shared" ref="F1386:F1392" si="120">TEXT(A1386,"00")&amp;TEXT(B1386,"00")&amp;TEXT(C1386,"00")</f>
        <v>720410</v>
      </c>
      <c r="G1386" s="72" t="str">
        <f t="shared" ref="G1386:G1392" si="121">TEXT(F1386,"000000")</f>
        <v>720410</v>
      </c>
      <c r="H1386" s="74" t="s">
        <v>5602</v>
      </c>
    </row>
    <row r="1387" spans="1:8" ht="18.75">
      <c r="A1387" s="70">
        <v>72</v>
      </c>
      <c r="B1387" s="70">
        <v>4</v>
      </c>
      <c r="C1387" s="70">
        <v>11</v>
      </c>
      <c r="D1387" s="71" t="s">
        <v>5454</v>
      </c>
      <c r="E1387" s="72" t="s">
        <v>829</v>
      </c>
      <c r="F1387" s="73" t="str">
        <f t="shared" si="120"/>
        <v>720411</v>
      </c>
      <c r="G1387" s="72" t="str">
        <f t="shared" si="121"/>
        <v>720411</v>
      </c>
      <c r="H1387" s="74" t="s">
        <v>5603</v>
      </c>
    </row>
    <row r="1388" spans="1:8" ht="18.75">
      <c r="A1388" s="70">
        <v>72</v>
      </c>
      <c r="B1388" s="70">
        <v>4</v>
      </c>
      <c r="C1388" s="70">
        <v>12</v>
      </c>
      <c r="D1388" s="71" t="s">
        <v>5455</v>
      </c>
      <c r="E1388" s="72" t="s">
        <v>829</v>
      </c>
      <c r="F1388" s="73" t="str">
        <f t="shared" si="120"/>
        <v>720412</v>
      </c>
      <c r="G1388" s="72" t="str">
        <f t="shared" si="121"/>
        <v>720412</v>
      </c>
      <c r="H1388" s="74" t="s">
        <v>5604</v>
      </c>
    </row>
    <row r="1389" spans="1:8" ht="18.75">
      <c r="A1389" s="70">
        <v>72</v>
      </c>
      <c r="B1389" s="70">
        <v>4</v>
      </c>
      <c r="C1389" s="70">
        <v>13</v>
      </c>
      <c r="D1389" s="71" t="s">
        <v>5456</v>
      </c>
      <c r="E1389" s="72" t="s">
        <v>829</v>
      </c>
      <c r="F1389" s="73" t="str">
        <f t="shared" si="120"/>
        <v>720413</v>
      </c>
      <c r="G1389" s="72" t="str">
        <f t="shared" si="121"/>
        <v>720413</v>
      </c>
      <c r="H1389" s="74" t="s">
        <v>5605</v>
      </c>
    </row>
    <row r="1390" spans="1:8" ht="18.75">
      <c r="A1390" s="70">
        <v>72</v>
      </c>
      <c r="B1390" s="70">
        <v>4</v>
      </c>
      <c r="C1390" s="70">
        <v>14</v>
      </c>
      <c r="D1390" s="71" t="s">
        <v>5457</v>
      </c>
      <c r="E1390" s="72" t="s">
        <v>829</v>
      </c>
      <c r="F1390" s="73" t="str">
        <f t="shared" si="120"/>
        <v>720414</v>
      </c>
      <c r="G1390" s="72" t="str">
        <f t="shared" si="121"/>
        <v>720414</v>
      </c>
      <c r="H1390" s="74" t="s">
        <v>5606</v>
      </c>
    </row>
    <row r="1391" spans="1:8" ht="18.75">
      <c r="A1391" s="70">
        <v>72</v>
      </c>
      <c r="B1391" s="70">
        <v>4</v>
      </c>
      <c r="C1391" s="70">
        <v>15</v>
      </c>
      <c r="D1391" s="71" t="s">
        <v>5458</v>
      </c>
      <c r="E1391" s="72" t="s">
        <v>829</v>
      </c>
      <c r="F1391" s="73" t="str">
        <f t="shared" si="120"/>
        <v>720415</v>
      </c>
      <c r="G1391" s="72" t="str">
        <f t="shared" si="121"/>
        <v>720415</v>
      </c>
      <c r="H1391" s="74" t="s">
        <v>5607</v>
      </c>
    </row>
    <row r="1392" spans="1:8" ht="18.75">
      <c r="A1392" s="70">
        <v>72</v>
      </c>
      <c r="B1392" s="70">
        <v>4</v>
      </c>
      <c r="C1392" s="70">
        <v>16</v>
      </c>
      <c r="D1392" s="71" t="s">
        <v>4934</v>
      </c>
      <c r="E1392" s="72" t="s">
        <v>829</v>
      </c>
      <c r="F1392" s="73" t="str">
        <f t="shared" si="120"/>
        <v>720416</v>
      </c>
      <c r="G1392" s="72" t="str">
        <f t="shared" si="121"/>
        <v>720416</v>
      </c>
      <c r="H1392" s="74" t="s">
        <v>5608</v>
      </c>
    </row>
    <row r="1393" spans="1:8" ht="18.75">
      <c r="A1393" s="66">
        <v>73</v>
      </c>
      <c r="B1393" s="66">
        <v>1</v>
      </c>
      <c r="C1393" s="66">
        <v>0</v>
      </c>
      <c r="D1393" s="67" t="s">
        <v>4985</v>
      </c>
      <c r="E1393" s="68"/>
      <c r="F1393" s="78"/>
      <c r="G1393" s="79"/>
      <c r="H1393" s="80"/>
    </row>
    <row r="1394" spans="1:8" ht="18.75">
      <c r="A1394" s="70">
        <v>73</v>
      </c>
      <c r="B1394" s="70">
        <v>1</v>
      </c>
      <c r="C1394" s="70">
        <v>10</v>
      </c>
      <c r="D1394" s="71" t="s">
        <v>4986</v>
      </c>
      <c r="E1394" s="72" t="s">
        <v>829</v>
      </c>
      <c r="F1394" s="73" t="str">
        <f t="shared" ref="F1394:F1412" si="122">TEXT(A1394,"00")&amp;TEXT(B1394,"00")&amp;TEXT(C1394,"00")</f>
        <v>730110</v>
      </c>
      <c r="G1394" s="72" t="str">
        <f t="shared" ref="G1394:G1412" si="123">TEXT(F1394,"000000")</f>
        <v>730110</v>
      </c>
      <c r="H1394" s="74" t="s">
        <v>5609</v>
      </c>
    </row>
    <row r="1395" spans="1:8" ht="18.75">
      <c r="A1395" s="70">
        <v>73</v>
      </c>
      <c r="B1395" s="70">
        <v>1</v>
      </c>
      <c r="C1395" s="70">
        <v>11</v>
      </c>
      <c r="D1395" s="71" t="s">
        <v>4987</v>
      </c>
      <c r="E1395" s="72" t="s">
        <v>829</v>
      </c>
      <c r="F1395" s="73" t="str">
        <f t="shared" si="122"/>
        <v>730111</v>
      </c>
      <c r="G1395" s="72" t="str">
        <f t="shared" si="123"/>
        <v>730111</v>
      </c>
      <c r="H1395" s="74" t="s">
        <v>5610</v>
      </c>
    </row>
    <row r="1396" spans="1:8" ht="18.75">
      <c r="A1396" s="70">
        <v>73</v>
      </c>
      <c r="B1396" s="70">
        <v>1</v>
      </c>
      <c r="C1396" s="70">
        <v>12</v>
      </c>
      <c r="D1396" s="71" t="s">
        <v>4988</v>
      </c>
      <c r="E1396" s="72" t="s">
        <v>829</v>
      </c>
      <c r="F1396" s="73" t="str">
        <f t="shared" si="122"/>
        <v>730112</v>
      </c>
      <c r="G1396" s="72" t="str">
        <f t="shared" si="123"/>
        <v>730112</v>
      </c>
      <c r="H1396" s="74" t="s">
        <v>5611</v>
      </c>
    </row>
    <row r="1397" spans="1:8" ht="18.75">
      <c r="A1397" s="70">
        <v>73</v>
      </c>
      <c r="B1397" s="70">
        <v>1</v>
      </c>
      <c r="C1397" s="70">
        <v>13</v>
      </c>
      <c r="D1397" s="71" t="s">
        <v>4989</v>
      </c>
      <c r="E1397" s="72" t="s">
        <v>829</v>
      </c>
      <c r="F1397" s="73" t="str">
        <f t="shared" si="122"/>
        <v>730113</v>
      </c>
      <c r="G1397" s="72" t="str">
        <f t="shared" si="123"/>
        <v>730113</v>
      </c>
      <c r="H1397" s="74" t="s">
        <v>5612</v>
      </c>
    </row>
    <row r="1398" spans="1:8" ht="18.75">
      <c r="A1398" s="70">
        <v>73</v>
      </c>
      <c r="B1398" s="70">
        <v>1</v>
      </c>
      <c r="C1398" s="70">
        <v>14</v>
      </c>
      <c r="D1398" s="71" t="s">
        <v>4990</v>
      </c>
      <c r="E1398" s="72" t="s">
        <v>829</v>
      </c>
      <c r="F1398" s="73" t="str">
        <f t="shared" si="122"/>
        <v>730114</v>
      </c>
      <c r="G1398" s="72" t="str">
        <f t="shared" si="123"/>
        <v>730114</v>
      </c>
      <c r="H1398" s="74" t="s">
        <v>5613</v>
      </c>
    </row>
    <row r="1399" spans="1:8" ht="18.75">
      <c r="A1399" s="70">
        <v>73</v>
      </c>
      <c r="B1399" s="70">
        <v>1</v>
      </c>
      <c r="C1399" s="70">
        <v>15</v>
      </c>
      <c r="D1399" s="71" t="s">
        <v>4991</v>
      </c>
      <c r="E1399" s="72" t="s">
        <v>829</v>
      </c>
      <c r="F1399" s="73" t="str">
        <f t="shared" si="122"/>
        <v>730115</v>
      </c>
      <c r="G1399" s="72" t="str">
        <f t="shared" si="123"/>
        <v>730115</v>
      </c>
      <c r="H1399" s="74" t="s">
        <v>5614</v>
      </c>
    </row>
    <row r="1400" spans="1:8" ht="18.75">
      <c r="A1400" s="70">
        <v>73</v>
      </c>
      <c r="B1400" s="70">
        <v>1</v>
      </c>
      <c r="C1400" s="70">
        <v>16</v>
      </c>
      <c r="D1400" s="71" t="s">
        <v>5747</v>
      </c>
      <c r="E1400" s="72" t="s">
        <v>829</v>
      </c>
      <c r="F1400" s="73" t="str">
        <f t="shared" si="122"/>
        <v>730116</v>
      </c>
      <c r="G1400" s="72" t="str">
        <f t="shared" si="123"/>
        <v>730116</v>
      </c>
      <c r="H1400" s="74" t="s">
        <v>5615</v>
      </c>
    </row>
    <row r="1401" spans="1:8" ht="18.75">
      <c r="A1401" s="70">
        <v>73</v>
      </c>
      <c r="B1401" s="70">
        <v>1</v>
      </c>
      <c r="C1401" s="70">
        <v>17</v>
      </c>
      <c r="D1401" s="71" t="s">
        <v>5748</v>
      </c>
      <c r="E1401" s="72" t="s">
        <v>829</v>
      </c>
      <c r="F1401" s="73" t="str">
        <f t="shared" si="122"/>
        <v>730117</v>
      </c>
      <c r="G1401" s="72" t="str">
        <f t="shared" si="123"/>
        <v>730117</v>
      </c>
      <c r="H1401" s="74" t="s">
        <v>5616</v>
      </c>
    </row>
    <row r="1402" spans="1:8" ht="18.75">
      <c r="A1402" s="70">
        <v>73</v>
      </c>
      <c r="B1402" s="70">
        <v>1</v>
      </c>
      <c r="C1402" s="70">
        <v>18</v>
      </c>
      <c r="D1402" s="71" t="s">
        <v>4992</v>
      </c>
      <c r="E1402" s="72" t="s">
        <v>829</v>
      </c>
      <c r="F1402" s="73" t="str">
        <f t="shared" si="122"/>
        <v>730118</v>
      </c>
      <c r="G1402" s="72" t="str">
        <f t="shared" si="123"/>
        <v>730118</v>
      </c>
      <c r="H1402" s="74" t="s">
        <v>5617</v>
      </c>
    </row>
    <row r="1403" spans="1:8" ht="18.75">
      <c r="A1403" s="70">
        <v>73</v>
      </c>
      <c r="B1403" s="70">
        <v>1</v>
      </c>
      <c r="C1403" s="70">
        <v>19</v>
      </c>
      <c r="D1403" s="71" t="s">
        <v>4993</v>
      </c>
      <c r="E1403" s="72" t="s">
        <v>829</v>
      </c>
      <c r="F1403" s="73" t="str">
        <f t="shared" si="122"/>
        <v>730119</v>
      </c>
      <c r="G1403" s="72" t="str">
        <f t="shared" si="123"/>
        <v>730119</v>
      </c>
      <c r="H1403" s="74" t="s">
        <v>5618</v>
      </c>
    </row>
    <row r="1404" spans="1:8" ht="18.75">
      <c r="A1404" s="70">
        <v>73</v>
      </c>
      <c r="B1404" s="70">
        <v>1</v>
      </c>
      <c r="C1404" s="70">
        <v>20</v>
      </c>
      <c r="D1404" s="71" t="s">
        <v>5749</v>
      </c>
      <c r="E1404" s="72" t="s">
        <v>829</v>
      </c>
      <c r="F1404" s="73" t="str">
        <f t="shared" si="122"/>
        <v>730120</v>
      </c>
      <c r="G1404" s="72" t="str">
        <f t="shared" si="123"/>
        <v>730120</v>
      </c>
      <c r="H1404" s="74" t="s">
        <v>5619</v>
      </c>
    </row>
    <row r="1405" spans="1:8" ht="18.75">
      <c r="A1405" s="70">
        <v>73</v>
      </c>
      <c r="B1405" s="70">
        <v>1</v>
      </c>
      <c r="C1405" s="70">
        <v>21</v>
      </c>
      <c r="D1405" s="71" t="s">
        <v>5750</v>
      </c>
      <c r="E1405" s="72" t="s">
        <v>829</v>
      </c>
      <c r="F1405" s="73" t="str">
        <f t="shared" si="122"/>
        <v>730121</v>
      </c>
      <c r="G1405" s="72" t="str">
        <f t="shared" si="123"/>
        <v>730121</v>
      </c>
      <c r="H1405" s="74" t="s">
        <v>5620</v>
      </c>
    </row>
    <row r="1406" spans="1:8" ht="18.75">
      <c r="A1406" s="70">
        <v>73</v>
      </c>
      <c r="B1406" s="70">
        <v>1</v>
      </c>
      <c r="C1406" s="70">
        <v>22</v>
      </c>
      <c r="D1406" s="71" t="s">
        <v>5751</v>
      </c>
      <c r="E1406" s="72" t="s">
        <v>829</v>
      </c>
      <c r="F1406" s="73" t="str">
        <f t="shared" si="122"/>
        <v>730122</v>
      </c>
      <c r="G1406" s="72" t="str">
        <f t="shared" si="123"/>
        <v>730122</v>
      </c>
      <c r="H1406" s="74" t="s">
        <v>5621</v>
      </c>
    </row>
    <row r="1407" spans="1:8" ht="18.75">
      <c r="A1407" s="70">
        <v>73</v>
      </c>
      <c r="B1407" s="70">
        <v>1</v>
      </c>
      <c r="C1407" s="70">
        <v>23</v>
      </c>
      <c r="D1407" s="71" t="s">
        <v>5752</v>
      </c>
      <c r="E1407" s="72" t="s">
        <v>829</v>
      </c>
      <c r="F1407" s="73" t="str">
        <f t="shared" si="122"/>
        <v>730123</v>
      </c>
      <c r="G1407" s="72" t="str">
        <f t="shared" si="123"/>
        <v>730123</v>
      </c>
      <c r="H1407" s="74" t="s">
        <v>5622</v>
      </c>
    </row>
    <row r="1408" spans="1:8" ht="18.75">
      <c r="A1408" s="70">
        <v>73</v>
      </c>
      <c r="B1408" s="70">
        <v>1</v>
      </c>
      <c r="C1408" s="70">
        <v>24</v>
      </c>
      <c r="D1408" s="71" t="s">
        <v>5753</v>
      </c>
      <c r="E1408" s="72" t="s">
        <v>829</v>
      </c>
      <c r="F1408" s="73" t="str">
        <f t="shared" si="122"/>
        <v>730124</v>
      </c>
      <c r="G1408" s="72" t="str">
        <f t="shared" si="123"/>
        <v>730124</v>
      </c>
      <c r="H1408" s="74" t="s">
        <v>5623</v>
      </c>
    </row>
    <row r="1409" spans="1:8" ht="18.75">
      <c r="A1409" s="70">
        <v>73</v>
      </c>
      <c r="B1409" s="70">
        <v>1</v>
      </c>
      <c r="C1409" s="70">
        <v>25</v>
      </c>
      <c r="D1409" s="71" t="s">
        <v>5754</v>
      </c>
      <c r="E1409" s="72" t="s">
        <v>829</v>
      </c>
      <c r="F1409" s="73" t="str">
        <f t="shared" si="122"/>
        <v>730125</v>
      </c>
      <c r="G1409" s="72" t="str">
        <f t="shared" si="123"/>
        <v>730125</v>
      </c>
      <c r="H1409" s="74" t="s">
        <v>5755</v>
      </c>
    </row>
    <row r="1410" spans="1:8" ht="18.75">
      <c r="A1410" s="70">
        <v>73</v>
      </c>
      <c r="B1410" s="70">
        <v>1</v>
      </c>
      <c r="C1410" s="70">
        <v>26</v>
      </c>
      <c r="D1410" s="71" t="s">
        <v>5756</v>
      </c>
      <c r="E1410" s="72" t="s">
        <v>829</v>
      </c>
      <c r="F1410" s="73" t="str">
        <f t="shared" si="122"/>
        <v>730126</v>
      </c>
      <c r="G1410" s="72" t="str">
        <f t="shared" si="123"/>
        <v>730126</v>
      </c>
      <c r="H1410" s="74" t="s">
        <v>5757</v>
      </c>
    </row>
    <row r="1411" spans="1:8" ht="18.75">
      <c r="A1411" s="70">
        <v>73</v>
      </c>
      <c r="B1411" s="70">
        <v>1</v>
      </c>
      <c r="C1411" s="70">
        <v>27</v>
      </c>
      <c r="D1411" s="71" t="s">
        <v>5887</v>
      </c>
      <c r="E1411" s="72" t="s">
        <v>829</v>
      </c>
      <c r="F1411" s="73" t="str">
        <f t="shared" si="122"/>
        <v>730127</v>
      </c>
      <c r="G1411" s="72" t="str">
        <f t="shared" si="123"/>
        <v>730127</v>
      </c>
      <c r="H1411" s="74" t="s">
        <v>5888</v>
      </c>
    </row>
    <row r="1412" spans="1:8" ht="18.75">
      <c r="A1412" s="70">
        <v>73</v>
      </c>
      <c r="B1412" s="70">
        <v>1</v>
      </c>
      <c r="C1412" s="70">
        <v>28</v>
      </c>
      <c r="D1412" s="71" t="s">
        <v>5889</v>
      </c>
      <c r="E1412" s="72" t="s">
        <v>829</v>
      </c>
      <c r="F1412" s="73" t="str">
        <f t="shared" si="122"/>
        <v>730128</v>
      </c>
      <c r="G1412" s="72" t="str">
        <f t="shared" si="123"/>
        <v>730128</v>
      </c>
      <c r="H1412" s="74" t="s">
        <v>5890</v>
      </c>
    </row>
    <row r="1413" spans="1:8" ht="18.75">
      <c r="A1413" s="62">
        <v>77</v>
      </c>
      <c r="B1413" s="62">
        <v>0</v>
      </c>
      <c r="C1413" s="62">
        <v>0</v>
      </c>
      <c r="D1413" s="63" t="s">
        <v>2907</v>
      </c>
      <c r="E1413" s="64"/>
      <c r="F1413" s="75"/>
      <c r="G1413" s="76"/>
      <c r="H1413" s="77"/>
    </row>
    <row r="1414" spans="1:8" ht="18.75">
      <c r="A1414" s="66">
        <v>77</v>
      </c>
      <c r="B1414" s="66">
        <v>1</v>
      </c>
      <c r="C1414" s="66">
        <v>0</v>
      </c>
      <c r="D1414" s="67" t="s">
        <v>3001</v>
      </c>
      <c r="E1414" s="68"/>
      <c r="F1414" s="78"/>
      <c r="G1414" s="79"/>
      <c r="H1414" s="80"/>
    </row>
    <row r="1415" spans="1:8" ht="18.75">
      <c r="A1415" s="70">
        <v>77</v>
      </c>
      <c r="B1415" s="70">
        <v>1</v>
      </c>
      <c r="C1415" s="70">
        <v>11</v>
      </c>
      <c r="D1415" s="71" t="s">
        <v>4994</v>
      </c>
      <c r="E1415" s="72" t="s">
        <v>829</v>
      </c>
      <c r="F1415" s="73" t="str">
        <f>TEXT(A1415,"00")&amp;TEXT(B1415,"00")&amp;TEXT(C1415,"00")</f>
        <v>770111</v>
      </c>
      <c r="G1415" s="72" t="str">
        <f>TEXT(F1415,"000000")</f>
        <v>770111</v>
      </c>
      <c r="H1415" s="74" t="s">
        <v>4995</v>
      </c>
    </row>
    <row r="1416" spans="1:8" ht="18.75">
      <c r="A1416" s="70">
        <v>77</v>
      </c>
      <c r="B1416" s="70">
        <v>1</v>
      </c>
      <c r="C1416" s="70">
        <v>21</v>
      </c>
      <c r="D1416" s="71" t="s">
        <v>4996</v>
      </c>
      <c r="E1416" s="72" t="s">
        <v>829</v>
      </c>
      <c r="F1416" s="73" t="str">
        <f>TEXT(A1416,"00")&amp;TEXT(B1416,"00")&amp;TEXT(C1416,"00")</f>
        <v>770121</v>
      </c>
      <c r="G1416" s="72" t="str">
        <f>TEXT(F1416,"000000")</f>
        <v>770121</v>
      </c>
      <c r="H1416" s="74" t="s">
        <v>4997</v>
      </c>
    </row>
    <row r="1417" spans="1:8" ht="18.75">
      <c r="A1417" s="70">
        <v>77</v>
      </c>
      <c r="B1417" s="70">
        <v>1</v>
      </c>
      <c r="C1417" s="70">
        <v>31</v>
      </c>
      <c r="D1417" s="71" t="s">
        <v>4998</v>
      </c>
      <c r="E1417" s="72" t="s">
        <v>829</v>
      </c>
      <c r="F1417" s="73" t="str">
        <f>TEXT(A1417,"00")&amp;TEXT(B1417,"00")&amp;TEXT(C1417,"00")</f>
        <v>770131</v>
      </c>
      <c r="G1417" s="72" t="str">
        <f>TEXT(F1417,"000000")</f>
        <v>770131</v>
      </c>
      <c r="H1417" s="74" t="s">
        <v>4999</v>
      </c>
    </row>
    <row r="1418" spans="1:8" ht="18.75">
      <c r="A1418" s="70">
        <v>77</v>
      </c>
      <c r="B1418" s="70">
        <v>1</v>
      </c>
      <c r="C1418" s="70">
        <v>33</v>
      </c>
      <c r="D1418" s="71" t="s">
        <v>5624</v>
      </c>
      <c r="E1418" s="72" t="s">
        <v>829</v>
      </c>
      <c r="F1418" s="73" t="str">
        <f>TEXT(A1418,"00")&amp;TEXT(B1418,"00")&amp;TEXT(C1418,"00")</f>
        <v>770133</v>
      </c>
      <c r="G1418" s="72" t="str">
        <f>TEXT(F1418,"000000")</f>
        <v>770133</v>
      </c>
      <c r="H1418" s="74" t="s">
        <v>5625</v>
      </c>
    </row>
    <row r="1419" spans="1:8" ht="18.75">
      <c r="A1419" s="70">
        <v>77</v>
      </c>
      <c r="B1419" s="70">
        <v>1</v>
      </c>
      <c r="C1419" s="70">
        <v>34</v>
      </c>
      <c r="D1419" s="71" t="s">
        <v>5626</v>
      </c>
      <c r="E1419" s="72" t="s">
        <v>829</v>
      </c>
      <c r="F1419" s="73" t="str">
        <f>TEXT(A1419,"00")&amp;TEXT(B1419,"00")&amp;TEXT(C1419,"00")</f>
        <v>770134</v>
      </c>
      <c r="G1419" s="72" t="str">
        <f>TEXT(F1419,"000000")</f>
        <v>770134</v>
      </c>
      <c r="H1419" s="74" t="s">
        <v>5627</v>
      </c>
    </row>
    <row r="1420" spans="1:8" ht="18.75">
      <c r="A1420" s="62">
        <v>79</v>
      </c>
      <c r="B1420" s="62">
        <v>0</v>
      </c>
      <c r="C1420" s="62">
        <v>0</v>
      </c>
      <c r="D1420" s="63" t="s">
        <v>2908</v>
      </c>
      <c r="E1420" s="64"/>
      <c r="F1420" s="75"/>
      <c r="G1420" s="76"/>
      <c r="H1420" s="77"/>
    </row>
    <row r="1421" spans="1:8" ht="18.75">
      <c r="A1421" s="66">
        <v>79</v>
      </c>
      <c r="B1421" s="66">
        <v>1</v>
      </c>
      <c r="C1421" s="66">
        <v>0</v>
      </c>
      <c r="D1421" s="67" t="s">
        <v>3002</v>
      </c>
      <c r="E1421" s="68"/>
      <c r="F1421" s="78"/>
      <c r="G1421" s="79"/>
      <c r="H1421" s="80"/>
    </row>
    <row r="1422" spans="1:8" ht="18.75">
      <c r="A1422" s="70">
        <v>79</v>
      </c>
      <c r="B1422" s="70">
        <v>1</v>
      </c>
      <c r="C1422" s="70">
        <v>11</v>
      </c>
      <c r="D1422" s="71" t="s">
        <v>3485</v>
      </c>
      <c r="E1422" s="72" t="s">
        <v>829</v>
      </c>
      <c r="F1422" s="73" t="str">
        <f>TEXT(A1422,"00")&amp;TEXT(B1422,"00")&amp;TEXT(C1422,"00")</f>
        <v>790111</v>
      </c>
      <c r="G1422" s="72" t="str">
        <f>TEXT(F1422,"000000")</f>
        <v>790111</v>
      </c>
      <c r="H1422" s="74" t="s">
        <v>5000</v>
      </c>
    </row>
    <row r="1423" spans="1:8" ht="18.75">
      <c r="A1423" s="70">
        <v>79</v>
      </c>
      <c r="B1423" s="70">
        <v>1</v>
      </c>
      <c r="C1423" s="70">
        <v>12</v>
      </c>
      <c r="D1423" s="71" t="s">
        <v>3486</v>
      </c>
      <c r="E1423" s="72" t="s">
        <v>829</v>
      </c>
      <c r="F1423" s="73" t="str">
        <f>TEXT(A1423,"00")&amp;TEXT(B1423,"00")&amp;TEXT(C1423,"00")</f>
        <v>790112</v>
      </c>
      <c r="G1423" s="72" t="str">
        <f>TEXT(F1423,"000000")</f>
        <v>790112</v>
      </c>
      <c r="H1423" s="74" t="s">
        <v>5001</v>
      </c>
    </row>
    <row r="1424" spans="1:8" ht="18.75">
      <c r="A1424" s="70">
        <v>79</v>
      </c>
      <c r="B1424" s="70">
        <v>1</v>
      </c>
      <c r="C1424" s="70">
        <v>13</v>
      </c>
      <c r="D1424" s="71" t="s">
        <v>3488</v>
      </c>
      <c r="E1424" s="72" t="s">
        <v>829</v>
      </c>
      <c r="F1424" s="73" t="str">
        <f>TEXT(A1424,"00")&amp;TEXT(B1424,"00")&amp;TEXT(C1424,"00")</f>
        <v>790113</v>
      </c>
      <c r="G1424" s="72" t="str">
        <f>TEXT(F1424,"000000")</f>
        <v>790113</v>
      </c>
      <c r="H1424" s="74" t="s">
        <v>5002</v>
      </c>
    </row>
    <row r="1425" spans="1:8" ht="18.75">
      <c r="A1425" s="70">
        <v>79</v>
      </c>
      <c r="B1425" s="70">
        <v>1</v>
      </c>
      <c r="C1425" s="70">
        <v>14</v>
      </c>
      <c r="D1425" s="71" t="s">
        <v>3487</v>
      </c>
      <c r="E1425" s="72" t="s">
        <v>829</v>
      </c>
      <c r="F1425" s="73" t="str">
        <f>TEXT(A1425,"00")&amp;TEXT(B1425,"00")&amp;TEXT(C1425,"00")</f>
        <v>790114</v>
      </c>
      <c r="G1425" s="72" t="str">
        <f>TEXT(F1425,"000000")</f>
        <v>790114</v>
      </c>
      <c r="H1425" s="74" t="s">
        <v>5003</v>
      </c>
    </row>
    <row r="1426" spans="1:8" ht="18.75">
      <c r="A1426" s="66">
        <v>79</v>
      </c>
      <c r="B1426" s="66">
        <v>2</v>
      </c>
      <c r="C1426" s="66">
        <v>0</v>
      </c>
      <c r="D1426" s="67" t="s">
        <v>3003</v>
      </c>
      <c r="E1426" s="68"/>
      <c r="F1426" s="78"/>
      <c r="G1426" s="79"/>
      <c r="H1426" s="80"/>
    </row>
    <row r="1427" spans="1:8" ht="18.75">
      <c r="A1427" s="70">
        <v>79</v>
      </c>
      <c r="B1427" s="70">
        <v>2</v>
      </c>
      <c r="C1427" s="70">
        <v>11</v>
      </c>
      <c r="D1427" s="71" t="s">
        <v>3489</v>
      </c>
      <c r="E1427" s="72" t="s">
        <v>829</v>
      </c>
      <c r="F1427" s="73" t="str">
        <f>TEXT(A1427,"00")&amp;TEXT(B1427,"00")&amp;TEXT(C1427,"00")</f>
        <v>790211</v>
      </c>
      <c r="G1427" s="72" t="str">
        <f>TEXT(F1427,"000000")</f>
        <v>790211</v>
      </c>
      <c r="H1427" s="74" t="s">
        <v>5091</v>
      </c>
    </row>
    <row r="1428" spans="1:8" ht="18.75">
      <c r="A1428" s="66">
        <v>79</v>
      </c>
      <c r="B1428" s="66">
        <v>3</v>
      </c>
      <c r="C1428" s="66">
        <v>0</v>
      </c>
      <c r="D1428" s="67" t="s">
        <v>3004</v>
      </c>
      <c r="E1428" s="68"/>
      <c r="F1428" s="78"/>
      <c r="G1428" s="79"/>
      <c r="H1428" s="80"/>
    </row>
    <row r="1429" spans="1:8" ht="18.75">
      <c r="A1429" s="70">
        <v>79</v>
      </c>
      <c r="B1429" s="70">
        <v>3</v>
      </c>
      <c r="C1429" s="70">
        <v>10</v>
      </c>
      <c r="D1429" s="71" t="s">
        <v>3484</v>
      </c>
      <c r="E1429" s="72" t="s">
        <v>829</v>
      </c>
      <c r="F1429" s="73" t="str">
        <f>TEXT(A1429,"00")&amp;TEXT(B1429,"00")&amp;TEXT(C1429,"00")</f>
        <v>790310</v>
      </c>
      <c r="G1429" s="72" t="str">
        <f>TEXT(F1429,"000000")</f>
        <v>790310</v>
      </c>
      <c r="H1429" s="74" t="s">
        <v>5004</v>
      </c>
    </row>
    <row r="1430" spans="1:8" ht="18.75">
      <c r="A1430" s="70">
        <v>79</v>
      </c>
      <c r="B1430" s="70">
        <v>3</v>
      </c>
      <c r="C1430" s="70">
        <v>11</v>
      </c>
      <c r="D1430" s="71" t="s">
        <v>404</v>
      </c>
      <c r="E1430" s="72" t="s">
        <v>829</v>
      </c>
      <c r="F1430" s="73" t="str">
        <f>TEXT(A1430,"00")&amp;TEXT(B1430,"00")&amp;TEXT(C1430,"00")</f>
        <v>790311</v>
      </c>
      <c r="G1430" s="72" t="str">
        <f>TEXT(F1430,"000000")</f>
        <v>790311</v>
      </c>
      <c r="H1430" s="74" t="s">
        <v>5005</v>
      </c>
    </row>
    <row r="1431" spans="1:8" ht="18.75">
      <c r="A1431" s="70">
        <v>79</v>
      </c>
      <c r="B1431" s="70">
        <v>3</v>
      </c>
      <c r="C1431" s="70">
        <v>21</v>
      </c>
      <c r="D1431" s="71" t="s">
        <v>324</v>
      </c>
      <c r="E1431" s="72" t="s">
        <v>829</v>
      </c>
      <c r="F1431" s="73" t="str">
        <f>TEXT(A1431,"00")&amp;TEXT(B1431,"00")&amp;TEXT(C1431,"00")</f>
        <v>790321</v>
      </c>
      <c r="G1431" s="72" t="str">
        <f>TEXT(F1431,"000000")</f>
        <v>790321</v>
      </c>
      <c r="H1431" s="74" t="s">
        <v>5006</v>
      </c>
    </row>
    <row r="1432" spans="1:8" ht="18.75">
      <c r="A1432" s="70">
        <v>79</v>
      </c>
      <c r="B1432" s="70">
        <v>3</v>
      </c>
      <c r="C1432" s="70">
        <v>31</v>
      </c>
      <c r="D1432" s="71" t="s">
        <v>325</v>
      </c>
      <c r="E1432" s="72" t="s">
        <v>829</v>
      </c>
      <c r="F1432" s="73" t="str">
        <f>TEXT(A1432,"00")&amp;TEXT(B1432,"00")&amp;TEXT(C1432,"00")</f>
        <v>790331</v>
      </c>
      <c r="G1432" s="72" t="str">
        <f>TEXT(F1432,"000000")</f>
        <v>790331</v>
      </c>
      <c r="H1432" s="74" t="s">
        <v>5007</v>
      </c>
    </row>
    <row r="1433" spans="1:8" ht="18.75">
      <c r="A1433" s="66">
        <v>79</v>
      </c>
      <c r="B1433" s="66">
        <v>4</v>
      </c>
      <c r="C1433" s="66">
        <v>0</v>
      </c>
      <c r="D1433" s="67" t="s">
        <v>3005</v>
      </c>
      <c r="E1433" s="68"/>
      <c r="F1433" s="78"/>
      <c r="G1433" s="79"/>
      <c r="H1433" s="80"/>
    </row>
    <row r="1434" spans="1:8" ht="18.75">
      <c r="A1434" s="70">
        <v>79</v>
      </c>
      <c r="B1434" s="70">
        <v>4</v>
      </c>
      <c r="C1434" s="70">
        <v>11</v>
      </c>
      <c r="D1434" s="71" t="s">
        <v>717</v>
      </c>
      <c r="E1434" s="72" t="s">
        <v>829</v>
      </c>
      <c r="F1434" s="73" t="str">
        <f>TEXT(A1434,"00")&amp;TEXT(B1434,"00")&amp;TEXT(C1434,"00")</f>
        <v>790411</v>
      </c>
      <c r="G1434" s="72" t="str">
        <f>TEXT(F1434,"000000")</f>
        <v>790411</v>
      </c>
      <c r="H1434" s="74" t="s">
        <v>5008</v>
      </c>
    </row>
    <row r="1435" spans="1:8" ht="18.75">
      <c r="A1435" s="62">
        <v>81</v>
      </c>
      <c r="B1435" s="62">
        <v>0</v>
      </c>
      <c r="C1435" s="62">
        <v>0</v>
      </c>
      <c r="D1435" s="63" t="s">
        <v>2909</v>
      </c>
      <c r="E1435" s="64"/>
      <c r="F1435" s="75"/>
      <c r="G1435" s="76"/>
      <c r="H1435" s="77"/>
    </row>
    <row r="1436" spans="1:8" ht="18.75">
      <c r="A1436" s="66">
        <v>81</v>
      </c>
      <c r="B1436" s="66">
        <v>1</v>
      </c>
      <c r="C1436" s="66">
        <v>0</v>
      </c>
      <c r="D1436" s="67" t="s">
        <v>2910</v>
      </c>
      <c r="E1436" s="68"/>
      <c r="F1436" s="78"/>
      <c r="G1436" s="79"/>
      <c r="H1436" s="80"/>
    </row>
    <row r="1437" spans="1:8" ht="18.75">
      <c r="A1437" s="70">
        <v>81</v>
      </c>
      <c r="B1437" s="70">
        <v>1</v>
      </c>
      <c r="C1437" s="70">
        <v>11</v>
      </c>
      <c r="D1437" s="71" t="s">
        <v>2975</v>
      </c>
      <c r="E1437" s="72" t="s">
        <v>829</v>
      </c>
      <c r="F1437" s="73" t="str">
        <f t="shared" ref="F1437:F1444" si="124">TEXT(A1437,"00")&amp;TEXT(B1437,"00")&amp;TEXT(C1437,"00")</f>
        <v>810111</v>
      </c>
      <c r="G1437" s="72" t="str">
        <f t="shared" ref="G1437:G1444" si="125">TEXT(F1437,"000000")</f>
        <v>810111</v>
      </c>
      <c r="H1437" s="74" t="s">
        <v>5009</v>
      </c>
    </row>
    <row r="1438" spans="1:8" ht="18.75">
      <c r="A1438" s="70">
        <v>81</v>
      </c>
      <c r="B1438" s="70">
        <v>1</v>
      </c>
      <c r="C1438" s="70">
        <v>21</v>
      </c>
      <c r="D1438" s="71" t="s">
        <v>2974</v>
      </c>
      <c r="E1438" s="72" t="s">
        <v>829</v>
      </c>
      <c r="F1438" s="73" t="str">
        <f t="shared" si="124"/>
        <v>810121</v>
      </c>
      <c r="G1438" s="72" t="str">
        <f t="shared" si="125"/>
        <v>810121</v>
      </c>
      <c r="H1438" s="74" t="s">
        <v>5010</v>
      </c>
    </row>
    <row r="1439" spans="1:8" ht="18.75">
      <c r="A1439" s="70">
        <v>81</v>
      </c>
      <c r="B1439" s="70">
        <v>1</v>
      </c>
      <c r="C1439" s="70">
        <v>22</v>
      </c>
      <c r="D1439" s="71" t="s">
        <v>354</v>
      </c>
      <c r="E1439" s="72" t="s">
        <v>829</v>
      </c>
      <c r="F1439" s="73" t="str">
        <f t="shared" si="124"/>
        <v>810122</v>
      </c>
      <c r="G1439" s="72" t="str">
        <f t="shared" si="125"/>
        <v>810122</v>
      </c>
      <c r="H1439" s="74" t="s">
        <v>5011</v>
      </c>
    </row>
    <row r="1440" spans="1:8" ht="18.75">
      <c r="A1440" s="70">
        <v>81</v>
      </c>
      <c r="B1440" s="70">
        <v>1</v>
      </c>
      <c r="C1440" s="70">
        <v>31</v>
      </c>
      <c r="D1440" s="71" t="s">
        <v>3007</v>
      </c>
      <c r="E1440" s="72" t="s">
        <v>4489</v>
      </c>
      <c r="F1440" s="73" t="str">
        <f t="shared" si="124"/>
        <v>810131</v>
      </c>
      <c r="G1440" s="72" t="str">
        <f t="shared" si="125"/>
        <v>810131</v>
      </c>
      <c r="H1440" s="74" t="s">
        <v>5012</v>
      </c>
    </row>
    <row r="1441" spans="1:8" ht="18.75">
      <c r="A1441" s="70">
        <v>81</v>
      </c>
      <c r="B1441" s="70">
        <v>1</v>
      </c>
      <c r="C1441" s="70">
        <v>32</v>
      </c>
      <c r="D1441" s="71" t="s">
        <v>707</v>
      </c>
      <c r="E1441" s="72" t="s">
        <v>3901</v>
      </c>
      <c r="F1441" s="73" t="str">
        <f t="shared" si="124"/>
        <v>810132</v>
      </c>
      <c r="G1441" s="72" t="str">
        <f t="shared" si="125"/>
        <v>810132</v>
      </c>
      <c r="H1441" s="74" t="s">
        <v>5013</v>
      </c>
    </row>
    <row r="1442" spans="1:8" ht="18.75">
      <c r="A1442" s="70">
        <v>81</v>
      </c>
      <c r="B1442" s="70">
        <v>1</v>
      </c>
      <c r="C1442" s="70">
        <v>40</v>
      </c>
      <c r="D1442" s="71" t="s">
        <v>3624</v>
      </c>
      <c r="E1442" s="72" t="s">
        <v>829</v>
      </c>
      <c r="F1442" s="73" t="str">
        <f t="shared" si="124"/>
        <v>810140</v>
      </c>
      <c r="G1442" s="72" t="str">
        <f t="shared" si="125"/>
        <v>810140</v>
      </c>
      <c r="H1442" s="74" t="s">
        <v>5014</v>
      </c>
    </row>
    <row r="1443" spans="1:8" ht="18.75">
      <c r="A1443" s="70">
        <v>81</v>
      </c>
      <c r="B1443" s="70">
        <v>1</v>
      </c>
      <c r="C1443" s="70">
        <v>41</v>
      </c>
      <c r="D1443" s="71" t="s">
        <v>3643</v>
      </c>
      <c r="E1443" s="72" t="s">
        <v>3642</v>
      </c>
      <c r="F1443" s="73" t="str">
        <f t="shared" si="124"/>
        <v>810141</v>
      </c>
      <c r="G1443" s="72" t="str">
        <f t="shared" si="125"/>
        <v>810141</v>
      </c>
      <c r="H1443" s="74" t="s">
        <v>5015</v>
      </c>
    </row>
    <row r="1444" spans="1:8" ht="18.75">
      <c r="A1444" s="70">
        <v>81</v>
      </c>
      <c r="B1444" s="70">
        <v>1</v>
      </c>
      <c r="C1444" s="70">
        <v>42</v>
      </c>
      <c r="D1444" s="71" t="s">
        <v>5016</v>
      </c>
      <c r="E1444" s="72" t="s">
        <v>3642</v>
      </c>
      <c r="F1444" s="73" t="str">
        <f t="shared" si="124"/>
        <v>810142</v>
      </c>
      <c r="G1444" s="72" t="str">
        <f t="shared" si="125"/>
        <v>810142</v>
      </c>
      <c r="H1444" s="74" t="s">
        <v>5628</v>
      </c>
    </row>
    <row r="1445" spans="1:8" ht="18.75">
      <c r="A1445" s="66">
        <v>81</v>
      </c>
      <c r="B1445" s="66">
        <v>2</v>
      </c>
      <c r="C1445" s="66">
        <v>0</v>
      </c>
      <c r="D1445" s="67" t="s">
        <v>3006</v>
      </c>
      <c r="E1445" s="68"/>
      <c r="F1445" s="78"/>
      <c r="G1445" s="79"/>
      <c r="H1445" s="80"/>
    </row>
    <row r="1446" spans="1:8" ht="18.75">
      <c r="A1446" s="70">
        <v>81</v>
      </c>
      <c r="B1446" s="70">
        <v>2</v>
      </c>
      <c r="C1446" s="70">
        <v>11</v>
      </c>
      <c r="D1446" s="71" t="s">
        <v>5629</v>
      </c>
      <c r="E1446" s="72" t="s">
        <v>829</v>
      </c>
      <c r="F1446" s="73" t="str">
        <f t="shared" ref="F1446:F1452" si="126">TEXT(A1446,"00")&amp;TEXT(B1446,"00")&amp;TEXT(C1446,"00")</f>
        <v>810211</v>
      </c>
      <c r="G1446" s="72" t="str">
        <f t="shared" ref="G1446:G1452" si="127">TEXT(F1446,"000000")</f>
        <v>810211</v>
      </c>
      <c r="H1446" s="74" t="s">
        <v>5017</v>
      </c>
    </row>
    <row r="1447" spans="1:8" ht="18.75">
      <c r="A1447" s="70">
        <v>81</v>
      </c>
      <c r="B1447" s="70">
        <v>2</v>
      </c>
      <c r="C1447" s="70">
        <v>12</v>
      </c>
      <c r="D1447" s="71" t="s">
        <v>5630</v>
      </c>
      <c r="E1447" s="72" t="s">
        <v>829</v>
      </c>
      <c r="F1447" s="73" t="str">
        <f t="shared" si="126"/>
        <v>810212</v>
      </c>
      <c r="G1447" s="72" t="str">
        <f t="shared" si="127"/>
        <v>810212</v>
      </c>
      <c r="H1447" s="74" t="s">
        <v>5018</v>
      </c>
    </row>
    <row r="1448" spans="1:8" ht="18.75">
      <c r="A1448" s="70">
        <v>81</v>
      </c>
      <c r="B1448" s="70">
        <v>2</v>
      </c>
      <c r="C1448" s="70">
        <v>13</v>
      </c>
      <c r="D1448" s="71" t="s">
        <v>5631</v>
      </c>
      <c r="E1448" s="72" t="s">
        <v>829</v>
      </c>
      <c r="F1448" s="73" t="str">
        <f t="shared" si="126"/>
        <v>810213</v>
      </c>
      <c r="G1448" s="72" t="str">
        <f t="shared" si="127"/>
        <v>810213</v>
      </c>
      <c r="H1448" s="74" t="s">
        <v>5019</v>
      </c>
    </row>
    <row r="1449" spans="1:8" ht="18.75">
      <c r="A1449" s="70">
        <v>81</v>
      </c>
      <c r="B1449" s="70">
        <v>2</v>
      </c>
      <c r="C1449" s="70">
        <v>31</v>
      </c>
      <c r="D1449" s="71" t="s">
        <v>356</v>
      </c>
      <c r="E1449" s="72" t="s">
        <v>829</v>
      </c>
      <c r="F1449" s="73" t="str">
        <f t="shared" si="126"/>
        <v>810231</v>
      </c>
      <c r="G1449" s="72" t="str">
        <f t="shared" si="127"/>
        <v>810231</v>
      </c>
      <c r="H1449" s="74" t="s">
        <v>5020</v>
      </c>
    </row>
    <row r="1450" spans="1:8" ht="18.75">
      <c r="A1450" s="70">
        <v>81</v>
      </c>
      <c r="B1450" s="70">
        <v>2</v>
      </c>
      <c r="C1450" s="70">
        <v>32</v>
      </c>
      <c r="D1450" s="71" t="s">
        <v>5021</v>
      </c>
      <c r="E1450" s="72" t="s">
        <v>829</v>
      </c>
      <c r="F1450" s="73" t="str">
        <f t="shared" si="126"/>
        <v>810232</v>
      </c>
      <c r="G1450" s="72" t="str">
        <f t="shared" si="127"/>
        <v>810232</v>
      </c>
      <c r="H1450" s="74" t="s">
        <v>5632</v>
      </c>
    </row>
    <row r="1451" spans="1:8" ht="18.75">
      <c r="A1451" s="70">
        <v>81</v>
      </c>
      <c r="B1451" s="70">
        <v>2</v>
      </c>
      <c r="C1451" s="70">
        <v>33</v>
      </c>
      <c r="D1451" s="71" t="s">
        <v>5633</v>
      </c>
      <c r="E1451" s="72" t="s">
        <v>829</v>
      </c>
      <c r="F1451" s="73" t="str">
        <f t="shared" si="126"/>
        <v>810233</v>
      </c>
      <c r="G1451" s="72" t="str">
        <f t="shared" si="127"/>
        <v>810233</v>
      </c>
      <c r="H1451" s="74" t="s">
        <v>5634</v>
      </c>
    </row>
    <row r="1452" spans="1:8" ht="18.75">
      <c r="A1452" s="70">
        <v>81</v>
      </c>
      <c r="B1452" s="70">
        <v>2</v>
      </c>
      <c r="C1452" s="70">
        <v>34</v>
      </c>
      <c r="D1452" s="71" t="s">
        <v>5635</v>
      </c>
      <c r="E1452" s="72" t="s">
        <v>829</v>
      </c>
      <c r="F1452" s="73" t="str">
        <f t="shared" si="126"/>
        <v>810234</v>
      </c>
      <c r="G1452" s="72" t="str">
        <f t="shared" si="127"/>
        <v>810234</v>
      </c>
      <c r="H1452" s="74" t="s">
        <v>5636</v>
      </c>
    </row>
    <row r="1453" spans="1:8" ht="18.75">
      <c r="A1453" s="66">
        <v>81</v>
      </c>
      <c r="B1453" s="66">
        <v>3</v>
      </c>
      <c r="C1453" s="66">
        <v>0</v>
      </c>
      <c r="D1453" s="67" t="s">
        <v>3008</v>
      </c>
      <c r="E1453" s="68"/>
      <c r="F1453" s="78"/>
      <c r="G1453" s="79"/>
      <c r="H1453" s="80"/>
    </row>
    <row r="1454" spans="1:8" ht="18.75">
      <c r="A1454" s="70">
        <v>81</v>
      </c>
      <c r="B1454" s="70">
        <v>3</v>
      </c>
      <c r="C1454" s="70">
        <v>11</v>
      </c>
      <c r="D1454" s="71" t="s">
        <v>345</v>
      </c>
      <c r="E1454" s="72" t="s">
        <v>829</v>
      </c>
      <c r="F1454" s="73" t="str">
        <f>TEXT(A1454,"00")&amp;TEXT(B1454,"00")&amp;TEXT(C1454,"00")</f>
        <v>810311</v>
      </c>
      <c r="G1454" s="72" t="str">
        <f>TEXT(F1454,"000000")</f>
        <v>810311</v>
      </c>
      <c r="H1454" s="74" t="s">
        <v>5022</v>
      </c>
    </row>
    <row r="1455" spans="1:8" ht="18.75">
      <c r="A1455" s="70">
        <v>81</v>
      </c>
      <c r="B1455" s="70">
        <v>3</v>
      </c>
      <c r="C1455" s="70">
        <v>20</v>
      </c>
      <c r="D1455" s="71" t="s">
        <v>3359</v>
      </c>
      <c r="E1455" s="72" t="s">
        <v>829</v>
      </c>
      <c r="F1455" s="73" t="str">
        <f>TEXT(A1455,"00")&amp;TEXT(B1455,"00")&amp;TEXT(C1455,"00")</f>
        <v>810320</v>
      </c>
      <c r="G1455" s="72" t="str">
        <f>TEXT(F1455,"000000")</f>
        <v>810320</v>
      </c>
      <c r="H1455" s="74" t="s">
        <v>5023</v>
      </c>
    </row>
    <row r="1456" spans="1:8" ht="18.75">
      <c r="A1456" s="70">
        <v>81</v>
      </c>
      <c r="B1456" s="70">
        <v>3</v>
      </c>
      <c r="C1456" s="70">
        <v>21</v>
      </c>
      <c r="D1456" s="71" t="s">
        <v>3360</v>
      </c>
      <c r="E1456" s="72" t="s">
        <v>829</v>
      </c>
      <c r="F1456" s="73" t="str">
        <f>TEXT(A1456,"00")&amp;TEXT(B1456,"00")&amp;TEXT(C1456,"00")</f>
        <v>810321</v>
      </c>
      <c r="G1456" s="72" t="str">
        <f>TEXT(F1456,"000000")</f>
        <v>810321</v>
      </c>
      <c r="H1456" s="74" t="s">
        <v>5024</v>
      </c>
    </row>
    <row r="1457" spans="1:8" ht="18.75">
      <c r="A1457" s="66">
        <v>81</v>
      </c>
      <c r="B1457" s="66">
        <v>4</v>
      </c>
      <c r="C1457" s="66">
        <v>0</v>
      </c>
      <c r="D1457" s="67" t="s">
        <v>3006</v>
      </c>
      <c r="E1457" s="68"/>
      <c r="F1457" s="78"/>
      <c r="G1457" s="79"/>
      <c r="H1457" s="80"/>
    </row>
    <row r="1458" spans="1:8" ht="18.75">
      <c r="A1458" s="70">
        <v>81</v>
      </c>
      <c r="B1458" s="70">
        <v>4</v>
      </c>
      <c r="C1458" s="70">
        <v>11</v>
      </c>
      <c r="D1458" s="71" t="s">
        <v>2976</v>
      </c>
      <c r="E1458" s="72" t="s">
        <v>829</v>
      </c>
      <c r="F1458" s="73" t="str">
        <f>TEXT(A1458,"00")&amp;TEXT(B1458,"00")&amp;TEXT(C1458,"00")</f>
        <v>810411</v>
      </c>
      <c r="G1458" s="72" t="str">
        <f>TEXT(F1458,"000000")</f>
        <v>810411</v>
      </c>
      <c r="H1458" s="74" t="s">
        <v>5025</v>
      </c>
    </row>
    <row r="1459" spans="1:8" ht="18.75">
      <c r="A1459" s="70">
        <v>81</v>
      </c>
      <c r="B1459" s="70">
        <v>4</v>
      </c>
      <c r="C1459" s="70">
        <v>13</v>
      </c>
      <c r="D1459" s="71" t="s">
        <v>574</v>
      </c>
      <c r="E1459" s="72" t="s">
        <v>829</v>
      </c>
      <c r="F1459" s="73" t="str">
        <f>TEXT(A1459,"00")&amp;TEXT(B1459,"00")&amp;TEXT(C1459,"00")</f>
        <v>810413</v>
      </c>
      <c r="G1459" s="72" t="str">
        <f>TEXT(F1459,"000000")</f>
        <v>810413</v>
      </c>
      <c r="H1459" s="74" t="s">
        <v>5026</v>
      </c>
    </row>
    <row r="1460" spans="1:8" ht="18.75">
      <c r="A1460" s="66">
        <v>81</v>
      </c>
      <c r="B1460" s="66">
        <v>5</v>
      </c>
      <c r="C1460" s="66">
        <v>0</v>
      </c>
      <c r="D1460" s="67" t="s">
        <v>2911</v>
      </c>
      <c r="E1460" s="68"/>
      <c r="F1460" s="78"/>
      <c r="G1460" s="79"/>
      <c r="H1460" s="80"/>
    </row>
    <row r="1461" spans="1:8" ht="18.75">
      <c r="A1461" s="70">
        <v>81</v>
      </c>
      <c r="B1461" s="70">
        <v>5</v>
      </c>
      <c r="C1461" s="70">
        <v>11</v>
      </c>
      <c r="D1461" s="71" t="s">
        <v>3615</v>
      </c>
      <c r="E1461" s="72" t="s">
        <v>829</v>
      </c>
      <c r="F1461" s="73" t="str">
        <f t="shared" ref="F1461:F1469" si="128">TEXT(A1461,"00")&amp;TEXT(B1461,"00")&amp;TEXT(C1461,"00")</f>
        <v>810511</v>
      </c>
      <c r="G1461" s="72" t="str">
        <f t="shared" ref="G1461:G1469" si="129">TEXT(F1461,"000000")</f>
        <v>810511</v>
      </c>
      <c r="H1461" s="74" t="s">
        <v>5027</v>
      </c>
    </row>
    <row r="1462" spans="1:8" ht="18.75">
      <c r="A1462" s="70">
        <v>81</v>
      </c>
      <c r="B1462" s="70">
        <v>5</v>
      </c>
      <c r="C1462" s="70">
        <v>12</v>
      </c>
      <c r="D1462" s="71" t="s">
        <v>3616</v>
      </c>
      <c r="E1462" s="72" t="s">
        <v>829</v>
      </c>
      <c r="F1462" s="73" t="str">
        <f t="shared" si="128"/>
        <v>810512</v>
      </c>
      <c r="G1462" s="72" t="str">
        <f t="shared" si="129"/>
        <v>810512</v>
      </c>
      <c r="H1462" s="74" t="s">
        <v>5028</v>
      </c>
    </row>
    <row r="1463" spans="1:8" ht="18.75">
      <c r="A1463" s="70">
        <v>81</v>
      </c>
      <c r="B1463" s="70">
        <v>5</v>
      </c>
      <c r="C1463" s="70">
        <v>13</v>
      </c>
      <c r="D1463" s="71" t="s">
        <v>5758</v>
      </c>
      <c r="E1463" s="72" t="s">
        <v>829</v>
      </c>
      <c r="F1463" s="73" t="str">
        <f t="shared" si="128"/>
        <v>810513</v>
      </c>
      <c r="G1463" s="72" t="str">
        <f t="shared" si="129"/>
        <v>810513</v>
      </c>
      <c r="H1463" s="74" t="s">
        <v>5029</v>
      </c>
    </row>
    <row r="1464" spans="1:8" ht="18.75">
      <c r="A1464" s="70">
        <v>81</v>
      </c>
      <c r="B1464" s="70">
        <v>5</v>
      </c>
      <c r="C1464" s="70">
        <v>50</v>
      </c>
      <c r="D1464" s="71" t="s">
        <v>3361</v>
      </c>
      <c r="E1464" s="72" t="s">
        <v>829</v>
      </c>
      <c r="F1464" s="73" t="str">
        <f t="shared" si="128"/>
        <v>810550</v>
      </c>
      <c r="G1464" s="72" t="str">
        <f t="shared" si="129"/>
        <v>810550</v>
      </c>
      <c r="H1464" s="74" t="s">
        <v>5030</v>
      </c>
    </row>
    <row r="1465" spans="1:8" ht="18.75">
      <c r="A1465" s="70">
        <v>81</v>
      </c>
      <c r="B1465" s="70">
        <v>5</v>
      </c>
      <c r="C1465" s="70">
        <v>51</v>
      </c>
      <c r="D1465" s="71" t="s">
        <v>3363</v>
      </c>
      <c r="E1465" s="72" t="s">
        <v>4049</v>
      </c>
      <c r="F1465" s="73" t="str">
        <f t="shared" si="128"/>
        <v>810551</v>
      </c>
      <c r="G1465" s="72" t="str">
        <f t="shared" si="129"/>
        <v>810551</v>
      </c>
      <c r="H1465" s="74" t="s">
        <v>5031</v>
      </c>
    </row>
    <row r="1466" spans="1:8" ht="18.75">
      <c r="A1466" s="70">
        <v>81</v>
      </c>
      <c r="B1466" s="70">
        <v>5</v>
      </c>
      <c r="C1466" s="70">
        <v>52</v>
      </c>
      <c r="D1466" s="71" t="s">
        <v>410</v>
      </c>
      <c r="E1466" s="72" t="s">
        <v>829</v>
      </c>
      <c r="F1466" s="73" t="str">
        <f t="shared" si="128"/>
        <v>810552</v>
      </c>
      <c r="G1466" s="72" t="str">
        <f t="shared" si="129"/>
        <v>810552</v>
      </c>
      <c r="H1466" s="74" t="s">
        <v>5032</v>
      </c>
    </row>
    <row r="1467" spans="1:8" ht="18.75">
      <c r="A1467" s="70">
        <v>81</v>
      </c>
      <c r="B1467" s="70">
        <v>5</v>
      </c>
      <c r="C1467" s="70">
        <v>14</v>
      </c>
      <c r="D1467" s="71" t="s">
        <v>3797</v>
      </c>
      <c r="E1467" s="72" t="s">
        <v>829</v>
      </c>
      <c r="F1467" s="73" t="str">
        <f t="shared" si="128"/>
        <v>810514</v>
      </c>
      <c r="G1467" s="72" t="str">
        <f t="shared" si="129"/>
        <v>810514</v>
      </c>
      <c r="H1467" s="74" t="s">
        <v>5033</v>
      </c>
    </row>
    <row r="1468" spans="1:8" ht="18.75">
      <c r="A1468" s="70">
        <v>81</v>
      </c>
      <c r="B1468" s="70">
        <v>5</v>
      </c>
      <c r="C1468" s="70">
        <v>15</v>
      </c>
      <c r="D1468" s="71" t="s">
        <v>5034</v>
      </c>
      <c r="E1468" s="72" t="s">
        <v>829</v>
      </c>
      <c r="F1468" s="73" t="str">
        <f t="shared" si="128"/>
        <v>810515</v>
      </c>
      <c r="G1468" s="72" t="str">
        <f t="shared" si="129"/>
        <v>810515</v>
      </c>
      <c r="H1468" s="74" t="s">
        <v>5637</v>
      </c>
    </row>
    <row r="1469" spans="1:8" ht="18.75">
      <c r="A1469" s="70">
        <v>81</v>
      </c>
      <c r="B1469" s="70">
        <v>5</v>
      </c>
      <c r="C1469" s="70">
        <v>16</v>
      </c>
      <c r="D1469" s="71" t="s">
        <v>5035</v>
      </c>
      <c r="E1469" s="72" t="s">
        <v>829</v>
      </c>
      <c r="F1469" s="73" t="str">
        <f t="shared" si="128"/>
        <v>810516</v>
      </c>
      <c r="G1469" s="72" t="str">
        <f t="shared" si="129"/>
        <v>810516</v>
      </c>
      <c r="H1469" s="74" t="s">
        <v>5638</v>
      </c>
    </row>
    <row r="1470" spans="1:8" ht="18.75">
      <c r="A1470" s="66">
        <v>81</v>
      </c>
      <c r="B1470" s="66">
        <v>6</v>
      </c>
      <c r="C1470" s="66">
        <v>0</v>
      </c>
      <c r="D1470" s="67" t="s">
        <v>3009</v>
      </c>
      <c r="E1470" s="68"/>
      <c r="F1470" s="78"/>
      <c r="G1470" s="79"/>
      <c r="H1470" s="80"/>
    </row>
    <row r="1471" spans="1:8" ht="18.75">
      <c r="A1471" s="70">
        <v>81</v>
      </c>
      <c r="B1471" s="70">
        <v>6</v>
      </c>
      <c r="C1471" s="70">
        <v>11</v>
      </c>
      <c r="D1471" s="71" t="s">
        <v>353</v>
      </c>
      <c r="E1471" s="72" t="s">
        <v>829</v>
      </c>
      <c r="F1471" s="73" t="str">
        <f t="shared" ref="F1471:F1478" si="130">TEXT(A1471,"00")&amp;TEXT(B1471,"00")&amp;TEXT(C1471,"00")</f>
        <v>810611</v>
      </c>
      <c r="G1471" s="72" t="str">
        <f t="shared" ref="G1471:G1478" si="131">TEXT(F1471,"000000")</f>
        <v>810611</v>
      </c>
      <c r="H1471" s="74" t="s">
        <v>5036</v>
      </c>
    </row>
    <row r="1472" spans="1:8" ht="18.75">
      <c r="A1472" s="70">
        <v>81</v>
      </c>
      <c r="B1472" s="70">
        <v>6</v>
      </c>
      <c r="C1472" s="70">
        <v>12</v>
      </c>
      <c r="D1472" s="71" t="s">
        <v>3362</v>
      </c>
      <c r="E1472" s="72" t="s">
        <v>829</v>
      </c>
      <c r="F1472" s="73" t="str">
        <f t="shared" si="130"/>
        <v>810612</v>
      </c>
      <c r="G1472" s="72" t="str">
        <f t="shared" si="131"/>
        <v>810612</v>
      </c>
      <c r="H1472" s="74" t="s">
        <v>5037</v>
      </c>
    </row>
    <row r="1473" spans="1:8" ht="18.75">
      <c r="A1473" s="70">
        <v>81</v>
      </c>
      <c r="B1473" s="70">
        <v>6</v>
      </c>
      <c r="C1473" s="70">
        <v>21</v>
      </c>
      <c r="D1473" s="71" t="s">
        <v>355</v>
      </c>
      <c r="E1473" s="72" t="s">
        <v>829</v>
      </c>
      <c r="F1473" s="73" t="str">
        <f t="shared" si="130"/>
        <v>810621</v>
      </c>
      <c r="G1473" s="72" t="str">
        <f t="shared" si="131"/>
        <v>810621</v>
      </c>
      <c r="H1473" s="74" t="s">
        <v>5038</v>
      </c>
    </row>
    <row r="1474" spans="1:8" ht="18.75">
      <c r="A1474" s="70">
        <v>81</v>
      </c>
      <c r="B1474" s="70">
        <v>6</v>
      </c>
      <c r="C1474" s="70">
        <v>31</v>
      </c>
      <c r="D1474" s="71" t="s">
        <v>3649</v>
      </c>
      <c r="E1474" s="72" t="s">
        <v>829</v>
      </c>
      <c r="F1474" s="73" t="str">
        <f t="shared" si="130"/>
        <v>810631</v>
      </c>
      <c r="G1474" s="72" t="str">
        <f t="shared" si="131"/>
        <v>810631</v>
      </c>
      <c r="H1474" s="74" t="s">
        <v>5039</v>
      </c>
    </row>
    <row r="1475" spans="1:8" ht="18.75">
      <c r="A1475" s="70">
        <v>81</v>
      </c>
      <c r="B1475" s="70">
        <v>6</v>
      </c>
      <c r="C1475" s="70">
        <v>32</v>
      </c>
      <c r="D1475" s="71" t="s">
        <v>3648</v>
      </c>
      <c r="E1475" s="72" t="s">
        <v>829</v>
      </c>
      <c r="F1475" s="73" t="str">
        <f t="shared" si="130"/>
        <v>810632</v>
      </c>
      <c r="G1475" s="72" t="str">
        <f t="shared" si="131"/>
        <v>810632</v>
      </c>
      <c r="H1475" s="74" t="s">
        <v>5040</v>
      </c>
    </row>
    <row r="1476" spans="1:8" ht="18.75">
      <c r="A1476" s="70">
        <v>81</v>
      </c>
      <c r="B1476" s="70">
        <v>6</v>
      </c>
      <c r="C1476" s="70">
        <v>41</v>
      </c>
      <c r="D1476" s="71" t="s">
        <v>358</v>
      </c>
      <c r="E1476" s="72" t="s">
        <v>829</v>
      </c>
      <c r="F1476" s="73" t="str">
        <f t="shared" si="130"/>
        <v>810641</v>
      </c>
      <c r="G1476" s="72" t="str">
        <f t="shared" si="131"/>
        <v>810641</v>
      </c>
      <c r="H1476" s="74" t="s">
        <v>5041</v>
      </c>
    </row>
    <row r="1477" spans="1:8" ht="18.75">
      <c r="A1477" s="70">
        <v>81</v>
      </c>
      <c r="B1477" s="70">
        <v>6</v>
      </c>
      <c r="C1477" s="70">
        <v>42</v>
      </c>
      <c r="D1477" s="71" t="s">
        <v>5891</v>
      </c>
      <c r="E1477" s="72" t="s">
        <v>829</v>
      </c>
      <c r="F1477" s="73" t="str">
        <f t="shared" si="130"/>
        <v>810642</v>
      </c>
      <c r="G1477" s="72" t="str">
        <f t="shared" si="131"/>
        <v>810642</v>
      </c>
      <c r="H1477" s="74" t="s">
        <v>5892</v>
      </c>
    </row>
    <row r="1478" spans="1:8" ht="18.75">
      <c r="A1478" s="70">
        <v>81</v>
      </c>
      <c r="B1478" s="70">
        <v>6</v>
      </c>
      <c r="C1478" s="70">
        <v>43</v>
      </c>
      <c r="D1478" s="71" t="s">
        <v>6029</v>
      </c>
      <c r="E1478" s="72" t="s">
        <v>829</v>
      </c>
      <c r="F1478" s="73" t="str">
        <f t="shared" si="130"/>
        <v>810643</v>
      </c>
      <c r="G1478" s="72" t="str">
        <f t="shared" si="131"/>
        <v>810643</v>
      </c>
      <c r="H1478" s="74" t="s">
        <v>6030</v>
      </c>
    </row>
    <row r="1479" spans="1:8" ht="18.75">
      <c r="A1479" s="66">
        <v>81</v>
      </c>
      <c r="B1479" s="66">
        <v>7</v>
      </c>
      <c r="C1479" s="66">
        <v>0</v>
      </c>
      <c r="D1479" s="67" t="s">
        <v>2929</v>
      </c>
      <c r="E1479" s="68"/>
      <c r="F1479" s="78"/>
      <c r="G1479" s="79"/>
      <c r="H1479" s="80"/>
    </row>
    <row r="1480" spans="1:8" ht="18.75">
      <c r="A1480" s="70">
        <v>81</v>
      </c>
      <c r="B1480" s="70">
        <v>7</v>
      </c>
      <c r="C1480" s="70">
        <v>11</v>
      </c>
      <c r="D1480" s="71" t="s">
        <v>5639</v>
      </c>
      <c r="E1480" s="72" t="s">
        <v>829</v>
      </c>
      <c r="F1480" s="73" t="str">
        <f t="shared" ref="F1480:F1490" si="132">TEXT(A1480,"00")&amp;TEXT(B1480,"00")&amp;TEXT(C1480,"00")</f>
        <v>810711</v>
      </c>
      <c r="G1480" s="72" t="str">
        <f t="shared" ref="G1480:G1490" si="133">TEXT(F1480,"000000")</f>
        <v>810711</v>
      </c>
      <c r="H1480" s="74" t="s">
        <v>5042</v>
      </c>
    </row>
    <row r="1481" spans="1:8" ht="18.75">
      <c r="A1481" s="70">
        <v>81</v>
      </c>
      <c r="B1481" s="70">
        <v>7</v>
      </c>
      <c r="C1481" s="70">
        <v>12</v>
      </c>
      <c r="D1481" s="71" t="s">
        <v>5640</v>
      </c>
      <c r="E1481" s="72" t="s">
        <v>829</v>
      </c>
      <c r="F1481" s="73" t="str">
        <f t="shared" si="132"/>
        <v>810712</v>
      </c>
      <c r="G1481" s="72" t="str">
        <f t="shared" si="133"/>
        <v>810712</v>
      </c>
      <c r="H1481" s="74" t="s">
        <v>5043</v>
      </c>
    </row>
    <row r="1482" spans="1:8" ht="18.75">
      <c r="A1482" s="70">
        <v>81</v>
      </c>
      <c r="B1482" s="70">
        <v>7</v>
      </c>
      <c r="C1482" s="70">
        <v>50</v>
      </c>
      <c r="D1482" s="71" t="s">
        <v>93</v>
      </c>
      <c r="E1482" s="72" t="s">
        <v>829</v>
      </c>
      <c r="F1482" s="73" t="str">
        <f t="shared" si="132"/>
        <v>810750</v>
      </c>
      <c r="G1482" s="72" t="str">
        <f t="shared" si="133"/>
        <v>810750</v>
      </c>
      <c r="H1482" s="74" t="s">
        <v>5044</v>
      </c>
    </row>
    <row r="1483" spans="1:8" ht="18.75">
      <c r="A1483" s="70">
        <v>81</v>
      </c>
      <c r="B1483" s="70">
        <v>7</v>
      </c>
      <c r="C1483" s="70">
        <v>51</v>
      </c>
      <c r="D1483" s="71" t="s">
        <v>3398</v>
      </c>
      <c r="E1483" s="72" t="s">
        <v>829</v>
      </c>
      <c r="F1483" s="73" t="str">
        <f t="shared" si="132"/>
        <v>810751</v>
      </c>
      <c r="G1483" s="72" t="str">
        <f t="shared" si="133"/>
        <v>810751</v>
      </c>
      <c r="H1483" s="74" t="s">
        <v>5045</v>
      </c>
    </row>
    <row r="1484" spans="1:8" ht="18.75">
      <c r="A1484" s="70">
        <v>81</v>
      </c>
      <c r="B1484" s="70">
        <v>7</v>
      </c>
      <c r="C1484" s="70">
        <v>52</v>
      </c>
      <c r="D1484" s="71" t="s">
        <v>92</v>
      </c>
      <c r="E1484" s="72" t="s">
        <v>829</v>
      </c>
      <c r="F1484" s="73" t="str">
        <f t="shared" si="132"/>
        <v>810752</v>
      </c>
      <c r="G1484" s="72" t="str">
        <f t="shared" si="133"/>
        <v>810752</v>
      </c>
      <c r="H1484" s="74" t="s">
        <v>5046</v>
      </c>
    </row>
    <row r="1485" spans="1:8" ht="18.75">
      <c r="A1485" s="70">
        <v>81</v>
      </c>
      <c r="B1485" s="70">
        <v>7</v>
      </c>
      <c r="C1485" s="70">
        <v>53</v>
      </c>
      <c r="D1485" s="71" t="s">
        <v>3399</v>
      </c>
      <c r="E1485" s="72" t="s">
        <v>829</v>
      </c>
      <c r="F1485" s="73" t="str">
        <f t="shared" si="132"/>
        <v>810753</v>
      </c>
      <c r="G1485" s="72" t="str">
        <f t="shared" si="133"/>
        <v>810753</v>
      </c>
      <c r="H1485" s="74" t="s">
        <v>5047</v>
      </c>
    </row>
    <row r="1486" spans="1:8" ht="18.75">
      <c r="A1486" s="70">
        <v>81</v>
      </c>
      <c r="B1486" s="70">
        <v>7</v>
      </c>
      <c r="C1486" s="70">
        <v>54</v>
      </c>
      <c r="D1486" s="71" t="s">
        <v>3400</v>
      </c>
      <c r="E1486" s="72" t="s">
        <v>829</v>
      </c>
      <c r="F1486" s="73" t="str">
        <f t="shared" si="132"/>
        <v>810754</v>
      </c>
      <c r="G1486" s="72" t="str">
        <f t="shared" si="133"/>
        <v>810754</v>
      </c>
      <c r="H1486" s="74" t="s">
        <v>5048</v>
      </c>
    </row>
    <row r="1487" spans="1:8" ht="18.75">
      <c r="A1487" s="70">
        <v>81</v>
      </c>
      <c r="B1487" s="70">
        <v>7</v>
      </c>
      <c r="C1487" s="70">
        <v>55</v>
      </c>
      <c r="D1487" s="71" t="s">
        <v>91</v>
      </c>
      <c r="E1487" s="72" t="s">
        <v>829</v>
      </c>
      <c r="F1487" s="73" t="str">
        <f t="shared" si="132"/>
        <v>810755</v>
      </c>
      <c r="G1487" s="72" t="str">
        <f t="shared" si="133"/>
        <v>810755</v>
      </c>
      <c r="H1487" s="74" t="s">
        <v>5049</v>
      </c>
    </row>
    <row r="1488" spans="1:8" ht="18.75">
      <c r="A1488" s="70">
        <v>81</v>
      </c>
      <c r="B1488" s="70">
        <v>7</v>
      </c>
      <c r="C1488" s="70">
        <v>56</v>
      </c>
      <c r="D1488" s="71" t="s">
        <v>3397</v>
      </c>
      <c r="E1488" s="72" t="s">
        <v>829</v>
      </c>
      <c r="F1488" s="73" t="str">
        <f t="shared" si="132"/>
        <v>810756</v>
      </c>
      <c r="G1488" s="72" t="str">
        <f t="shared" si="133"/>
        <v>810756</v>
      </c>
      <c r="H1488" s="74" t="s">
        <v>5050</v>
      </c>
    </row>
    <row r="1489" spans="1:8" ht="18.75">
      <c r="A1489" s="70">
        <v>81</v>
      </c>
      <c r="B1489" s="70">
        <v>7</v>
      </c>
      <c r="C1489" s="70">
        <v>57</v>
      </c>
      <c r="D1489" s="71" t="s">
        <v>3401</v>
      </c>
      <c r="E1489" s="72" t="s">
        <v>829</v>
      </c>
      <c r="F1489" s="73" t="str">
        <f t="shared" si="132"/>
        <v>810757</v>
      </c>
      <c r="G1489" s="72" t="str">
        <f t="shared" si="133"/>
        <v>810757</v>
      </c>
      <c r="H1489" s="74" t="s">
        <v>5051</v>
      </c>
    </row>
    <row r="1490" spans="1:8" ht="18.75">
      <c r="A1490" s="70">
        <v>81</v>
      </c>
      <c r="B1490" s="70">
        <v>7</v>
      </c>
      <c r="C1490" s="70">
        <v>58</v>
      </c>
      <c r="D1490" s="71" t="s">
        <v>6031</v>
      </c>
      <c r="E1490" s="72" t="s">
        <v>829</v>
      </c>
      <c r="F1490" s="73" t="str">
        <f t="shared" si="132"/>
        <v>810758</v>
      </c>
      <c r="G1490" s="72" t="str">
        <f t="shared" si="133"/>
        <v>810758</v>
      </c>
      <c r="H1490" s="74" t="s">
        <v>6032</v>
      </c>
    </row>
    <row r="1491" spans="1:8" ht="18.75">
      <c r="A1491" s="66">
        <v>81</v>
      </c>
      <c r="B1491" s="66">
        <v>8</v>
      </c>
      <c r="C1491" s="66">
        <v>0</v>
      </c>
      <c r="D1491" s="67" t="s">
        <v>2930</v>
      </c>
      <c r="E1491" s="68"/>
      <c r="F1491" s="78"/>
      <c r="G1491" s="79"/>
      <c r="H1491" s="80"/>
    </row>
    <row r="1492" spans="1:8" ht="18.75">
      <c r="A1492" s="70">
        <v>81</v>
      </c>
      <c r="B1492" s="70">
        <v>8</v>
      </c>
      <c r="C1492" s="70">
        <v>12</v>
      </c>
      <c r="D1492" s="71" t="s">
        <v>3403</v>
      </c>
      <c r="E1492" s="72" t="s">
        <v>3901</v>
      </c>
      <c r="F1492" s="73" t="str">
        <f t="shared" ref="F1492:F1523" si="134">TEXT(A1492,"00")&amp;TEXT(B1492,"00")&amp;TEXT(C1492,"00")</f>
        <v>810812</v>
      </c>
      <c r="G1492" s="72" t="str">
        <f t="shared" ref="G1492:G1523" si="135">TEXT(F1492,"000000")</f>
        <v>810812</v>
      </c>
      <c r="H1492" s="74" t="s">
        <v>5053</v>
      </c>
    </row>
    <row r="1493" spans="1:8" ht="18.75">
      <c r="A1493" s="70">
        <v>81</v>
      </c>
      <c r="B1493" s="70">
        <v>8</v>
      </c>
      <c r="C1493" s="70">
        <v>13</v>
      </c>
      <c r="D1493" s="71" t="s">
        <v>3404</v>
      </c>
      <c r="E1493" s="72" t="s">
        <v>3901</v>
      </c>
      <c r="F1493" s="73" t="str">
        <f t="shared" si="134"/>
        <v>810813</v>
      </c>
      <c r="G1493" s="72" t="str">
        <f t="shared" si="135"/>
        <v>810813</v>
      </c>
      <c r="H1493" s="74" t="s">
        <v>5054</v>
      </c>
    </row>
    <row r="1494" spans="1:8" ht="18.75">
      <c r="A1494" s="70">
        <v>81</v>
      </c>
      <c r="B1494" s="70">
        <v>8</v>
      </c>
      <c r="C1494" s="70">
        <v>14</v>
      </c>
      <c r="D1494" s="71" t="s">
        <v>3405</v>
      </c>
      <c r="E1494" s="72" t="s">
        <v>3901</v>
      </c>
      <c r="F1494" s="73" t="str">
        <f t="shared" si="134"/>
        <v>810814</v>
      </c>
      <c r="G1494" s="72" t="str">
        <f t="shared" si="135"/>
        <v>810814</v>
      </c>
      <c r="H1494" s="74" t="s">
        <v>5055</v>
      </c>
    </row>
    <row r="1495" spans="1:8" ht="18.75">
      <c r="A1495" s="70">
        <v>81</v>
      </c>
      <c r="B1495" s="70">
        <v>8</v>
      </c>
      <c r="C1495" s="70">
        <v>15</v>
      </c>
      <c r="D1495" s="71" t="s">
        <v>3406</v>
      </c>
      <c r="E1495" s="72" t="s">
        <v>3901</v>
      </c>
      <c r="F1495" s="73" t="str">
        <f t="shared" si="134"/>
        <v>810815</v>
      </c>
      <c r="G1495" s="72" t="str">
        <f t="shared" si="135"/>
        <v>810815</v>
      </c>
      <c r="H1495" s="74" t="s">
        <v>5056</v>
      </c>
    </row>
    <row r="1496" spans="1:8" ht="18.75">
      <c r="A1496" s="70">
        <v>81</v>
      </c>
      <c r="B1496" s="70">
        <v>8</v>
      </c>
      <c r="C1496" s="70">
        <v>16</v>
      </c>
      <c r="D1496" s="71" t="s">
        <v>3407</v>
      </c>
      <c r="E1496" s="72" t="s">
        <v>3901</v>
      </c>
      <c r="F1496" s="73" t="str">
        <f t="shared" si="134"/>
        <v>810816</v>
      </c>
      <c r="G1496" s="72" t="str">
        <f t="shared" si="135"/>
        <v>810816</v>
      </c>
      <c r="H1496" s="74" t="s">
        <v>5057</v>
      </c>
    </row>
    <row r="1497" spans="1:8" ht="18.75">
      <c r="A1497" s="70">
        <v>81</v>
      </c>
      <c r="B1497" s="70">
        <v>8</v>
      </c>
      <c r="C1497" s="70">
        <v>17</v>
      </c>
      <c r="D1497" s="71" t="s">
        <v>3408</v>
      </c>
      <c r="E1497" s="72" t="s">
        <v>3901</v>
      </c>
      <c r="F1497" s="73" t="str">
        <f t="shared" si="134"/>
        <v>810817</v>
      </c>
      <c r="G1497" s="72" t="str">
        <f t="shared" si="135"/>
        <v>810817</v>
      </c>
      <c r="H1497" s="74" t="s">
        <v>5058</v>
      </c>
    </row>
    <row r="1498" spans="1:8" ht="18.75">
      <c r="A1498" s="70">
        <v>81</v>
      </c>
      <c r="B1498" s="70">
        <v>8</v>
      </c>
      <c r="C1498" s="70">
        <v>18</v>
      </c>
      <c r="D1498" s="71" t="s">
        <v>3409</v>
      </c>
      <c r="E1498" s="72" t="s">
        <v>3901</v>
      </c>
      <c r="F1498" s="73" t="str">
        <f t="shared" si="134"/>
        <v>810818</v>
      </c>
      <c r="G1498" s="72" t="str">
        <f t="shared" si="135"/>
        <v>810818</v>
      </c>
      <c r="H1498" s="74" t="s">
        <v>5059</v>
      </c>
    </row>
    <row r="1499" spans="1:8" ht="18.75">
      <c r="A1499" s="70">
        <v>81</v>
      </c>
      <c r="B1499" s="70">
        <v>8</v>
      </c>
      <c r="C1499" s="70">
        <v>19</v>
      </c>
      <c r="D1499" s="71" t="s">
        <v>3410</v>
      </c>
      <c r="E1499" s="72" t="s">
        <v>3901</v>
      </c>
      <c r="F1499" s="73" t="str">
        <f t="shared" si="134"/>
        <v>810819</v>
      </c>
      <c r="G1499" s="72" t="str">
        <f t="shared" si="135"/>
        <v>810819</v>
      </c>
      <c r="H1499" s="74" t="s">
        <v>5060</v>
      </c>
    </row>
    <row r="1500" spans="1:8" ht="18.75">
      <c r="A1500" s="70">
        <v>81</v>
      </c>
      <c r="B1500" s="70">
        <v>8</v>
      </c>
      <c r="C1500" s="70">
        <v>20</v>
      </c>
      <c r="D1500" s="71" t="s">
        <v>3411</v>
      </c>
      <c r="E1500" s="72" t="s">
        <v>3901</v>
      </c>
      <c r="F1500" s="73" t="str">
        <f t="shared" si="134"/>
        <v>810820</v>
      </c>
      <c r="G1500" s="72" t="str">
        <f t="shared" si="135"/>
        <v>810820</v>
      </c>
      <c r="H1500" s="74" t="s">
        <v>5061</v>
      </c>
    </row>
    <row r="1501" spans="1:8" ht="18.75">
      <c r="A1501" s="70">
        <v>81</v>
      </c>
      <c r="B1501" s="70">
        <v>8</v>
      </c>
      <c r="C1501" s="70">
        <v>21</v>
      </c>
      <c r="D1501" s="71" t="s">
        <v>3412</v>
      </c>
      <c r="E1501" s="72" t="s">
        <v>3901</v>
      </c>
      <c r="F1501" s="73" t="str">
        <f t="shared" si="134"/>
        <v>810821</v>
      </c>
      <c r="G1501" s="72" t="str">
        <f t="shared" si="135"/>
        <v>810821</v>
      </c>
      <c r="H1501" s="74" t="s">
        <v>5062</v>
      </c>
    </row>
    <row r="1502" spans="1:8" ht="18.75">
      <c r="A1502" s="70">
        <v>81</v>
      </c>
      <c r="B1502" s="70">
        <v>8</v>
      </c>
      <c r="C1502" s="70">
        <v>22</v>
      </c>
      <c r="D1502" s="71" t="s">
        <v>3413</v>
      </c>
      <c r="E1502" s="72" t="s">
        <v>3901</v>
      </c>
      <c r="F1502" s="73" t="str">
        <f t="shared" si="134"/>
        <v>810822</v>
      </c>
      <c r="G1502" s="72" t="str">
        <f t="shared" si="135"/>
        <v>810822</v>
      </c>
      <c r="H1502" s="74" t="s">
        <v>5063</v>
      </c>
    </row>
    <row r="1503" spans="1:8" ht="18.75">
      <c r="A1503" s="70">
        <v>81</v>
      </c>
      <c r="B1503" s="70">
        <v>8</v>
      </c>
      <c r="C1503" s="70">
        <v>23</v>
      </c>
      <c r="D1503" s="71" t="s">
        <v>3414</v>
      </c>
      <c r="E1503" s="72" t="s">
        <v>3901</v>
      </c>
      <c r="F1503" s="73" t="str">
        <f t="shared" si="134"/>
        <v>810823</v>
      </c>
      <c r="G1503" s="72" t="str">
        <f t="shared" si="135"/>
        <v>810823</v>
      </c>
      <c r="H1503" s="74" t="s">
        <v>5064</v>
      </c>
    </row>
    <row r="1504" spans="1:8" ht="18.75">
      <c r="A1504" s="70">
        <v>81</v>
      </c>
      <c r="B1504" s="70">
        <v>8</v>
      </c>
      <c r="C1504" s="70">
        <v>24</v>
      </c>
      <c r="D1504" s="71" t="s">
        <v>3415</v>
      </c>
      <c r="E1504" s="72" t="s">
        <v>3901</v>
      </c>
      <c r="F1504" s="73" t="str">
        <f t="shared" si="134"/>
        <v>810824</v>
      </c>
      <c r="G1504" s="72" t="str">
        <f t="shared" si="135"/>
        <v>810824</v>
      </c>
      <c r="H1504" s="74" t="s">
        <v>5065</v>
      </c>
    </row>
    <row r="1505" spans="1:8" ht="18.75">
      <c r="A1505" s="70">
        <v>81</v>
      </c>
      <c r="B1505" s="70">
        <v>8</v>
      </c>
      <c r="C1505" s="70">
        <v>25</v>
      </c>
      <c r="D1505" s="71" t="s">
        <v>3419</v>
      </c>
      <c r="E1505" s="72" t="s">
        <v>3901</v>
      </c>
      <c r="F1505" s="73" t="str">
        <f t="shared" si="134"/>
        <v>810825</v>
      </c>
      <c r="G1505" s="72" t="str">
        <f t="shared" si="135"/>
        <v>810825</v>
      </c>
      <c r="H1505" s="74" t="s">
        <v>5066</v>
      </c>
    </row>
    <row r="1506" spans="1:8" ht="18.75">
      <c r="A1506" s="70">
        <v>81</v>
      </c>
      <c r="B1506" s="70">
        <v>8</v>
      </c>
      <c r="C1506" s="70">
        <v>26</v>
      </c>
      <c r="D1506" s="71" t="s">
        <v>3420</v>
      </c>
      <c r="E1506" s="72" t="s">
        <v>3901</v>
      </c>
      <c r="F1506" s="73" t="str">
        <f t="shared" si="134"/>
        <v>810826</v>
      </c>
      <c r="G1506" s="72" t="str">
        <f t="shared" si="135"/>
        <v>810826</v>
      </c>
      <c r="H1506" s="74" t="s">
        <v>5067</v>
      </c>
    </row>
    <row r="1507" spans="1:8" ht="18.75">
      <c r="A1507" s="70">
        <v>81</v>
      </c>
      <c r="B1507" s="70">
        <v>8</v>
      </c>
      <c r="C1507" s="70">
        <v>27</v>
      </c>
      <c r="D1507" s="71" t="s">
        <v>3421</v>
      </c>
      <c r="E1507" s="72" t="s">
        <v>3901</v>
      </c>
      <c r="F1507" s="73" t="str">
        <f t="shared" si="134"/>
        <v>810827</v>
      </c>
      <c r="G1507" s="72" t="str">
        <f t="shared" si="135"/>
        <v>810827</v>
      </c>
      <c r="H1507" s="74" t="s">
        <v>5068</v>
      </c>
    </row>
    <row r="1508" spans="1:8" ht="18.75">
      <c r="A1508" s="70">
        <v>81</v>
      </c>
      <c r="B1508" s="70">
        <v>8</v>
      </c>
      <c r="C1508" s="70">
        <v>28</v>
      </c>
      <c r="D1508" s="71" t="s">
        <v>3422</v>
      </c>
      <c r="E1508" s="72" t="s">
        <v>3901</v>
      </c>
      <c r="F1508" s="73" t="str">
        <f t="shared" si="134"/>
        <v>810828</v>
      </c>
      <c r="G1508" s="72" t="str">
        <f t="shared" si="135"/>
        <v>810828</v>
      </c>
      <c r="H1508" s="74" t="s">
        <v>5069</v>
      </c>
    </row>
    <row r="1509" spans="1:8" ht="18.75">
      <c r="A1509" s="70">
        <v>81</v>
      </c>
      <c r="B1509" s="70">
        <v>8</v>
      </c>
      <c r="C1509" s="70">
        <v>29</v>
      </c>
      <c r="D1509" s="71" t="s">
        <v>6033</v>
      </c>
      <c r="E1509" s="72" t="s">
        <v>3901</v>
      </c>
      <c r="F1509" s="73" t="str">
        <f t="shared" si="134"/>
        <v>810829</v>
      </c>
      <c r="G1509" s="72" t="str">
        <f t="shared" si="135"/>
        <v>810829</v>
      </c>
      <c r="H1509" s="74" t="s">
        <v>5070</v>
      </c>
    </row>
    <row r="1510" spans="1:8" ht="18.75">
      <c r="A1510" s="70">
        <v>81</v>
      </c>
      <c r="B1510" s="70">
        <v>8</v>
      </c>
      <c r="C1510" s="70">
        <v>30</v>
      </c>
      <c r="D1510" s="71" t="s">
        <v>3416</v>
      </c>
      <c r="E1510" s="72" t="s">
        <v>3901</v>
      </c>
      <c r="F1510" s="73" t="str">
        <f t="shared" si="134"/>
        <v>810830</v>
      </c>
      <c r="G1510" s="72" t="str">
        <f t="shared" si="135"/>
        <v>810830</v>
      </c>
      <c r="H1510" s="74" t="s">
        <v>5071</v>
      </c>
    </row>
    <row r="1511" spans="1:8" ht="18.75">
      <c r="A1511" s="70">
        <v>81</v>
      </c>
      <c r="B1511" s="70">
        <v>8</v>
      </c>
      <c r="C1511" s="70">
        <v>31</v>
      </c>
      <c r="D1511" s="71" t="s">
        <v>3417</v>
      </c>
      <c r="E1511" s="72" t="s">
        <v>3901</v>
      </c>
      <c r="F1511" s="73" t="str">
        <f t="shared" si="134"/>
        <v>810831</v>
      </c>
      <c r="G1511" s="72" t="str">
        <f t="shared" si="135"/>
        <v>810831</v>
      </c>
      <c r="H1511" s="74" t="s">
        <v>5072</v>
      </c>
    </row>
    <row r="1512" spans="1:8" ht="18.75">
      <c r="A1512" s="70">
        <v>81</v>
      </c>
      <c r="B1512" s="70">
        <v>8</v>
      </c>
      <c r="C1512" s="70">
        <v>32</v>
      </c>
      <c r="D1512" s="71" t="s">
        <v>3418</v>
      </c>
      <c r="E1512" s="72" t="s">
        <v>3901</v>
      </c>
      <c r="F1512" s="73" t="str">
        <f t="shared" si="134"/>
        <v>810832</v>
      </c>
      <c r="G1512" s="72" t="str">
        <f t="shared" si="135"/>
        <v>810832</v>
      </c>
      <c r="H1512" s="74" t="s">
        <v>5073</v>
      </c>
    </row>
    <row r="1513" spans="1:8" ht="18.75">
      <c r="A1513" s="70">
        <v>81</v>
      </c>
      <c r="B1513" s="70">
        <v>8</v>
      </c>
      <c r="C1513" s="70">
        <v>51</v>
      </c>
      <c r="D1513" s="71" t="s">
        <v>3423</v>
      </c>
      <c r="E1513" s="72" t="s">
        <v>3901</v>
      </c>
      <c r="F1513" s="73" t="str">
        <f t="shared" si="134"/>
        <v>810851</v>
      </c>
      <c r="G1513" s="72" t="str">
        <f t="shared" si="135"/>
        <v>810851</v>
      </c>
      <c r="H1513" s="74" t="s">
        <v>5074</v>
      </c>
    </row>
    <row r="1514" spans="1:8" ht="18.75">
      <c r="A1514" s="70">
        <v>81</v>
      </c>
      <c r="B1514" s="70">
        <v>8</v>
      </c>
      <c r="C1514" s="70">
        <v>11</v>
      </c>
      <c r="D1514" s="71" t="s">
        <v>3402</v>
      </c>
      <c r="E1514" s="72" t="s">
        <v>3901</v>
      </c>
      <c r="F1514" s="73" t="str">
        <f t="shared" si="134"/>
        <v>810811</v>
      </c>
      <c r="G1514" s="72" t="str">
        <f t="shared" si="135"/>
        <v>810811</v>
      </c>
      <c r="H1514" s="74" t="s">
        <v>4047</v>
      </c>
    </row>
    <row r="1515" spans="1:8" ht="18.75">
      <c r="A1515" s="70">
        <v>81</v>
      </c>
      <c r="B1515" s="70">
        <v>8</v>
      </c>
      <c r="C1515" s="70">
        <v>52</v>
      </c>
      <c r="D1515" s="71" t="s">
        <v>5641</v>
      </c>
      <c r="E1515" s="72" t="s">
        <v>3901</v>
      </c>
      <c r="F1515" s="73" t="str">
        <f t="shared" si="134"/>
        <v>810852</v>
      </c>
      <c r="G1515" s="72" t="str">
        <f t="shared" si="135"/>
        <v>810852</v>
      </c>
      <c r="H1515" s="74" t="s">
        <v>5642</v>
      </c>
    </row>
    <row r="1516" spans="1:8" ht="18.75">
      <c r="A1516" s="70">
        <v>81</v>
      </c>
      <c r="B1516" s="70">
        <v>8</v>
      </c>
      <c r="C1516" s="70">
        <v>53</v>
      </c>
      <c r="D1516" s="71" t="s">
        <v>5643</v>
      </c>
      <c r="E1516" s="72" t="s">
        <v>3901</v>
      </c>
      <c r="F1516" s="73" t="str">
        <f t="shared" si="134"/>
        <v>810853</v>
      </c>
      <c r="G1516" s="72" t="str">
        <f t="shared" si="135"/>
        <v>810853</v>
      </c>
      <c r="H1516" s="74" t="s">
        <v>5644</v>
      </c>
    </row>
    <row r="1517" spans="1:8" ht="18.75">
      <c r="A1517" s="70">
        <v>81</v>
      </c>
      <c r="B1517" s="70">
        <v>8</v>
      </c>
      <c r="C1517" s="70">
        <v>54</v>
      </c>
      <c r="D1517" s="71" t="s">
        <v>5645</v>
      </c>
      <c r="E1517" s="72" t="s">
        <v>3901</v>
      </c>
      <c r="F1517" s="73" t="str">
        <f t="shared" si="134"/>
        <v>810854</v>
      </c>
      <c r="G1517" s="72" t="str">
        <f t="shared" si="135"/>
        <v>810854</v>
      </c>
      <c r="H1517" s="74" t="s">
        <v>5646</v>
      </c>
    </row>
    <row r="1518" spans="1:8" ht="18.75">
      <c r="A1518" s="70">
        <v>81</v>
      </c>
      <c r="B1518" s="70">
        <v>8</v>
      </c>
      <c r="C1518" s="70">
        <v>55</v>
      </c>
      <c r="D1518" s="71" t="s">
        <v>5647</v>
      </c>
      <c r="E1518" s="72" t="s">
        <v>3901</v>
      </c>
      <c r="F1518" s="73" t="str">
        <f t="shared" si="134"/>
        <v>810855</v>
      </c>
      <c r="G1518" s="72" t="str">
        <f t="shared" si="135"/>
        <v>810855</v>
      </c>
      <c r="H1518" s="74" t="s">
        <v>5648</v>
      </c>
    </row>
    <row r="1519" spans="1:8" ht="18.75">
      <c r="A1519" s="70">
        <v>81</v>
      </c>
      <c r="B1519" s="70">
        <v>8</v>
      </c>
      <c r="C1519" s="70">
        <v>56</v>
      </c>
      <c r="D1519" s="71" t="s">
        <v>5893</v>
      </c>
      <c r="E1519" s="72" t="s">
        <v>3901</v>
      </c>
      <c r="F1519" s="73" t="str">
        <f t="shared" si="134"/>
        <v>810856</v>
      </c>
      <c r="G1519" s="72" t="str">
        <f t="shared" si="135"/>
        <v>810856</v>
      </c>
      <c r="H1519" s="74" t="s">
        <v>5649</v>
      </c>
    </row>
    <row r="1520" spans="1:8" ht="18.75">
      <c r="A1520" s="70">
        <v>81</v>
      </c>
      <c r="B1520" s="70">
        <v>8</v>
      </c>
      <c r="C1520" s="70">
        <v>57</v>
      </c>
      <c r="D1520" s="71" t="s">
        <v>5894</v>
      </c>
      <c r="E1520" s="72" t="s">
        <v>3901</v>
      </c>
      <c r="F1520" s="73" t="str">
        <f t="shared" si="134"/>
        <v>810857</v>
      </c>
      <c r="G1520" s="72" t="str">
        <f t="shared" si="135"/>
        <v>810857</v>
      </c>
      <c r="H1520" s="74" t="s">
        <v>5650</v>
      </c>
    </row>
    <row r="1521" spans="1:8" ht="18.75">
      <c r="A1521" s="70">
        <v>81</v>
      </c>
      <c r="B1521" s="70">
        <v>8</v>
      </c>
      <c r="C1521" s="70">
        <v>58</v>
      </c>
      <c r="D1521" s="71" t="s">
        <v>5895</v>
      </c>
      <c r="E1521" s="72" t="s">
        <v>3901</v>
      </c>
      <c r="F1521" s="73" t="str">
        <f t="shared" si="134"/>
        <v>810858</v>
      </c>
      <c r="G1521" s="72" t="str">
        <f t="shared" si="135"/>
        <v>810858</v>
      </c>
      <c r="H1521" s="74" t="s">
        <v>5651</v>
      </c>
    </row>
    <row r="1522" spans="1:8" ht="18.75">
      <c r="A1522" s="70">
        <v>81</v>
      </c>
      <c r="B1522" s="70">
        <v>8</v>
      </c>
      <c r="C1522" s="70">
        <v>59</v>
      </c>
      <c r="D1522" s="71" t="s">
        <v>5896</v>
      </c>
      <c r="E1522" s="72" t="s">
        <v>3901</v>
      </c>
      <c r="F1522" s="73" t="str">
        <f t="shared" si="134"/>
        <v>810859</v>
      </c>
      <c r="G1522" s="72" t="str">
        <f t="shared" si="135"/>
        <v>810859</v>
      </c>
      <c r="H1522" s="74" t="s">
        <v>5652</v>
      </c>
    </row>
    <row r="1523" spans="1:8" ht="18.75">
      <c r="A1523" s="70">
        <v>81</v>
      </c>
      <c r="B1523" s="70">
        <v>8</v>
      </c>
      <c r="C1523" s="70">
        <v>60</v>
      </c>
      <c r="D1523" s="71" t="s">
        <v>5897</v>
      </c>
      <c r="E1523" s="72" t="s">
        <v>3901</v>
      </c>
      <c r="F1523" s="73" t="str">
        <f t="shared" si="134"/>
        <v>810860</v>
      </c>
      <c r="G1523" s="72" t="str">
        <f t="shared" si="135"/>
        <v>810860</v>
      </c>
      <c r="H1523" s="74" t="s">
        <v>5898</v>
      </c>
    </row>
    <row r="1524" spans="1:8" ht="18.75">
      <c r="A1524" s="62">
        <v>83</v>
      </c>
      <c r="B1524" s="62">
        <v>0</v>
      </c>
      <c r="C1524" s="62">
        <v>0</v>
      </c>
      <c r="D1524" s="63" t="s">
        <v>2912</v>
      </c>
      <c r="E1524" s="64"/>
      <c r="F1524" s="75"/>
      <c r="G1524" s="76"/>
      <c r="H1524" s="77"/>
    </row>
    <row r="1525" spans="1:8" ht="18.75">
      <c r="A1525" s="66">
        <v>83</v>
      </c>
      <c r="B1525" s="66">
        <v>1</v>
      </c>
      <c r="C1525" s="66">
        <v>0</v>
      </c>
      <c r="D1525" s="67" t="s">
        <v>2977</v>
      </c>
      <c r="E1525" s="68"/>
      <c r="F1525" s="78"/>
      <c r="G1525" s="79"/>
      <c r="H1525" s="80"/>
    </row>
    <row r="1526" spans="1:8" ht="18.75">
      <c r="A1526" s="70">
        <v>83</v>
      </c>
      <c r="B1526" s="70">
        <v>1</v>
      </c>
      <c r="C1526" s="70">
        <v>12</v>
      </c>
      <c r="D1526" s="71" t="s">
        <v>3556</v>
      </c>
      <c r="E1526" s="72" t="s">
        <v>829</v>
      </c>
      <c r="F1526" s="73" t="str">
        <f t="shared" ref="F1526:F1549" si="136">TEXT(A1526,"00")&amp;TEXT(B1526,"00")&amp;TEXT(C1526,"00")</f>
        <v>830112</v>
      </c>
      <c r="G1526" s="72" t="str">
        <f t="shared" ref="G1526:G1549" si="137">TEXT(F1526,"000000")</f>
        <v>830112</v>
      </c>
      <c r="H1526" s="74" t="s">
        <v>5075</v>
      </c>
    </row>
    <row r="1527" spans="1:8" ht="18.75">
      <c r="A1527" s="70">
        <v>83</v>
      </c>
      <c r="B1527" s="70">
        <v>1</v>
      </c>
      <c r="C1527" s="70">
        <v>13</v>
      </c>
      <c r="D1527" s="71" t="s">
        <v>721</v>
      </c>
      <c r="E1527" s="72" t="s">
        <v>829</v>
      </c>
      <c r="F1527" s="73" t="str">
        <f t="shared" si="136"/>
        <v>830113</v>
      </c>
      <c r="G1527" s="72" t="str">
        <f t="shared" si="137"/>
        <v>830113</v>
      </c>
      <c r="H1527" s="74" t="s">
        <v>5076</v>
      </c>
    </row>
    <row r="1528" spans="1:8" ht="18.75">
      <c r="A1528" s="70">
        <v>83</v>
      </c>
      <c r="B1528" s="70">
        <v>1</v>
      </c>
      <c r="C1528" s="70">
        <v>15</v>
      </c>
      <c r="D1528" s="71" t="s">
        <v>722</v>
      </c>
      <c r="E1528" s="72" t="s">
        <v>829</v>
      </c>
      <c r="F1528" s="73" t="str">
        <f t="shared" si="136"/>
        <v>830115</v>
      </c>
      <c r="G1528" s="72" t="str">
        <f t="shared" si="137"/>
        <v>830115</v>
      </c>
      <c r="H1528" s="74" t="s">
        <v>5077</v>
      </c>
    </row>
    <row r="1529" spans="1:8" ht="18.75">
      <c r="A1529" s="70">
        <v>83</v>
      </c>
      <c r="B1529" s="70">
        <v>1</v>
      </c>
      <c r="C1529" s="70">
        <v>17</v>
      </c>
      <c r="D1529" s="71" t="s">
        <v>645</v>
      </c>
      <c r="E1529" s="72" t="s">
        <v>829</v>
      </c>
      <c r="F1529" s="73" t="str">
        <f t="shared" si="136"/>
        <v>830117</v>
      </c>
      <c r="G1529" s="72" t="str">
        <f t="shared" si="137"/>
        <v>830117</v>
      </c>
      <c r="H1529" s="74" t="s">
        <v>5078</v>
      </c>
    </row>
    <row r="1530" spans="1:8" ht="18.75">
      <c r="A1530" s="70">
        <v>83</v>
      </c>
      <c r="B1530" s="70">
        <v>1</v>
      </c>
      <c r="C1530" s="70">
        <v>19</v>
      </c>
      <c r="D1530" s="71" t="s">
        <v>723</v>
      </c>
      <c r="E1530" s="72" t="s">
        <v>829</v>
      </c>
      <c r="F1530" s="73" t="str">
        <f t="shared" si="136"/>
        <v>830119</v>
      </c>
      <c r="G1530" s="72" t="str">
        <f t="shared" si="137"/>
        <v>830119</v>
      </c>
      <c r="H1530" s="74" t="s">
        <v>5079</v>
      </c>
    </row>
    <row r="1531" spans="1:8" ht="18.75">
      <c r="A1531" s="70">
        <v>83</v>
      </c>
      <c r="B1531" s="70">
        <v>1</v>
      </c>
      <c r="C1531" s="70">
        <v>21</v>
      </c>
      <c r="D1531" s="71" t="s">
        <v>3461</v>
      </c>
      <c r="E1531" s="72" t="s">
        <v>829</v>
      </c>
      <c r="F1531" s="73" t="str">
        <f t="shared" si="136"/>
        <v>830121</v>
      </c>
      <c r="G1531" s="72" t="str">
        <f t="shared" si="137"/>
        <v>830121</v>
      </c>
      <c r="H1531" s="74" t="s">
        <v>5080</v>
      </c>
    </row>
    <row r="1532" spans="1:8" ht="18.75">
      <c r="A1532" s="70">
        <v>83</v>
      </c>
      <c r="B1532" s="70">
        <v>1</v>
      </c>
      <c r="C1532" s="70">
        <v>23</v>
      </c>
      <c r="D1532" s="71" t="s">
        <v>725</v>
      </c>
      <c r="E1532" s="72" t="s">
        <v>829</v>
      </c>
      <c r="F1532" s="73" t="str">
        <f t="shared" si="136"/>
        <v>830123</v>
      </c>
      <c r="G1532" s="72" t="str">
        <f t="shared" si="137"/>
        <v>830123</v>
      </c>
      <c r="H1532" s="74" t="s">
        <v>5081</v>
      </c>
    </row>
    <row r="1533" spans="1:8" ht="18.75">
      <c r="A1533" s="70">
        <v>83</v>
      </c>
      <c r="B1533" s="70">
        <v>1</v>
      </c>
      <c r="C1533" s="70">
        <v>25</v>
      </c>
      <c r="D1533" s="71" t="s">
        <v>654</v>
      </c>
      <c r="E1533" s="72" t="s">
        <v>829</v>
      </c>
      <c r="F1533" s="73" t="str">
        <f t="shared" si="136"/>
        <v>830125</v>
      </c>
      <c r="G1533" s="72" t="str">
        <f t="shared" si="137"/>
        <v>830125</v>
      </c>
      <c r="H1533" s="74" t="s">
        <v>5082</v>
      </c>
    </row>
    <row r="1534" spans="1:8" ht="18.75">
      <c r="A1534" s="70">
        <v>83</v>
      </c>
      <c r="B1534" s="70">
        <v>1</v>
      </c>
      <c r="C1534" s="70">
        <v>27</v>
      </c>
      <c r="D1534" s="71" t="s">
        <v>738</v>
      </c>
      <c r="E1534" s="72" t="s">
        <v>829</v>
      </c>
      <c r="F1534" s="73" t="str">
        <f t="shared" si="136"/>
        <v>830127</v>
      </c>
      <c r="G1534" s="72" t="str">
        <f t="shared" si="137"/>
        <v>830127</v>
      </c>
      <c r="H1534" s="74" t="s">
        <v>5083</v>
      </c>
    </row>
    <row r="1535" spans="1:8" ht="18.75">
      <c r="A1535" s="70">
        <v>83</v>
      </c>
      <c r="B1535" s="70">
        <v>1</v>
      </c>
      <c r="C1535" s="70">
        <v>29</v>
      </c>
      <c r="D1535" s="71" t="s">
        <v>741</v>
      </c>
      <c r="E1535" s="72" t="s">
        <v>829</v>
      </c>
      <c r="F1535" s="73" t="str">
        <f t="shared" si="136"/>
        <v>830129</v>
      </c>
      <c r="G1535" s="72" t="str">
        <f t="shared" si="137"/>
        <v>830129</v>
      </c>
      <c r="H1535" s="74" t="s">
        <v>5084</v>
      </c>
    </row>
    <row r="1536" spans="1:8" ht="18.75">
      <c r="A1536" s="70">
        <v>83</v>
      </c>
      <c r="B1536" s="70">
        <v>1</v>
      </c>
      <c r="C1536" s="70">
        <v>31</v>
      </c>
      <c r="D1536" s="71" t="s">
        <v>657</v>
      </c>
      <c r="E1536" s="72" t="s">
        <v>829</v>
      </c>
      <c r="F1536" s="73" t="str">
        <f t="shared" si="136"/>
        <v>830131</v>
      </c>
      <c r="G1536" s="72" t="str">
        <f t="shared" si="137"/>
        <v>830131</v>
      </c>
      <c r="H1536" s="74" t="s">
        <v>5085</v>
      </c>
    </row>
    <row r="1537" spans="1:8" ht="18.75">
      <c r="A1537" s="70">
        <v>83</v>
      </c>
      <c r="B1537" s="70">
        <v>1</v>
      </c>
      <c r="C1537" s="70">
        <v>33</v>
      </c>
      <c r="D1537" s="71" t="s">
        <v>658</v>
      </c>
      <c r="E1537" s="72" t="s">
        <v>829</v>
      </c>
      <c r="F1537" s="73" t="str">
        <f t="shared" si="136"/>
        <v>830133</v>
      </c>
      <c r="G1537" s="72" t="str">
        <f t="shared" si="137"/>
        <v>830133</v>
      </c>
      <c r="H1537" s="74" t="s">
        <v>5086</v>
      </c>
    </row>
    <row r="1538" spans="1:8" ht="18.75">
      <c r="A1538" s="70">
        <v>83</v>
      </c>
      <c r="B1538" s="70">
        <v>1</v>
      </c>
      <c r="C1538" s="70">
        <v>35</v>
      </c>
      <c r="D1538" s="71" t="s">
        <v>5437</v>
      </c>
      <c r="E1538" s="72" t="s">
        <v>829</v>
      </c>
      <c r="F1538" s="73" t="str">
        <f t="shared" si="136"/>
        <v>830135</v>
      </c>
      <c r="G1538" s="72" t="str">
        <f t="shared" si="137"/>
        <v>830135</v>
      </c>
      <c r="H1538" s="74" t="s">
        <v>5087</v>
      </c>
    </row>
    <row r="1539" spans="1:8" ht="18.75">
      <c r="A1539" s="70">
        <v>83</v>
      </c>
      <c r="B1539" s="70">
        <v>1</v>
      </c>
      <c r="C1539" s="70">
        <v>37</v>
      </c>
      <c r="D1539" s="71" t="s">
        <v>3426</v>
      </c>
      <c r="E1539" s="72" t="s">
        <v>829</v>
      </c>
      <c r="F1539" s="73" t="str">
        <f t="shared" si="136"/>
        <v>830137</v>
      </c>
      <c r="G1539" s="72" t="str">
        <f t="shared" si="137"/>
        <v>830137</v>
      </c>
      <c r="H1539" s="74" t="s">
        <v>5088</v>
      </c>
    </row>
    <row r="1540" spans="1:8" ht="18.75">
      <c r="A1540" s="70">
        <v>83</v>
      </c>
      <c r="B1540" s="70">
        <v>1</v>
      </c>
      <c r="C1540" s="70">
        <v>39</v>
      </c>
      <c r="D1540" s="71" t="s">
        <v>3425</v>
      </c>
      <c r="E1540" s="72" t="s">
        <v>829</v>
      </c>
      <c r="F1540" s="73" t="str">
        <f t="shared" si="136"/>
        <v>830139</v>
      </c>
      <c r="G1540" s="72" t="str">
        <f t="shared" si="137"/>
        <v>830139</v>
      </c>
      <c r="H1540" s="74" t="s">
        <v>5089</v>
      </c>
    </row>
    <row r="1541" spans="1:8" ht="18.75">
      <c r="A1541" s="70">
        <v>83</v>
      </c>
      <c r="B1541" s="70">
        <v>1</v>
      </c>
      <c r="C1541" s="70">
        <v>41</v>
      </c>
      <c r="D1541" s="71" t="s">
        <v>744</v>
      </c>
      <c r="E1541" s="72" t="s">
        <v>829</v>
      </c>
      <c r="F1541" s="73" t="str">
        <f t="shared" si="136"/>
        <v>830141</v>
      </c>
      <c r="G1541" s="72" t="str">
        <f t="shared" si="137"/>
        <v>830141</v>
      </c>
      <c r="H1541" s="74" t="s">
        <v>5090</v>
      </c>
    </row>
    <row r="1542" spans="1:8" ht="18.75">
      <c r="A1542" s="70">
        <v>83</v>
      </c>
      <c r="B1542" s="70">
        <v>1</v>
      </c>
      <c r="C1542" s="70">
        <v>45</v>
      </c>
      <c r="D1542" s="71" t="s">
        <v>755</v>
      </c>
      <c r="E1542" s="72" t="s">
        <v>829</v>
      </c>
      <c r="F1542" s="73" t="str">
        <f t="shared" si="136"/>
        <v>830145</v>
      </c>
      <c r="G1542" s="72" t="str">
        <f t="shared" si="137"/>
        <v>830145</v>
      </c>
      <c r="H1542" s="74" t="s">
        <v>5092</v>
      </c>
    </row>
    <row r="1543" spans="1:8" ht="18.75">
      <c r="A1543" s="70">
        <v>83</v>
      </c>
      <c r="B1543" s="70">
        <v>1</v>
      </c>
      <c r="C1543" s="70">
        <v>47</v>
      </c>
      <c r="D1543" s="71" t="s">
        <v>756</v>
      </c>
      <c r="E1543" s="72" t="s">
        <v>4651</v>
      </c>
      <c r="F1543" s="73" t="str">
        <f t="shared" si="136"/>
        <v>830147</v>
      </c>
      <c r="G1543" s="72" t="str">
        <f t="shared" si="137"/>
        <v>830147</v>
      </c>
      <c r="H1543" s="74" t="s">
        <v>5093</v>
      </c>
    </row>
    <row r="1544" spans="1:8" ht="18.75">
      <c r="A1544" s="70">
        <v>83</v>
      </c>
      <c r="B1544" s="70">
        <v>1</v>
      </c>
      <c r="C1544" s="70">
        <v>49</v>
      </c>
      <c r="D1544" s="71" t="s">
        <v>3424</v>
      </c>
      <c r="E1544" s="72" t="s">
        <v>829</v>
      </c>
      <c r="F1544" s="73" t="str">
        <f t="shared" si="136"/>
        <v>830149</v>
      </c>
      <c r="G1544" s="72" t="str">
        <f t="shared" si="137"/>
        <v>830149</v>
      </c>
      <c r="H1544" s="74" t="s">
        <v>5094</v>
      </c>
    </row>
    <row r="1545" spans="1:8" ht="18.75">
      <c r="A1545" s="70">
        <v>83</v>
      </c>
      <c r="B1545" s="70">
        <v>1</v>
      </c>
      <c r="C1545" s="70">
        <v>51</v>
      </c>
      <c r="D1545" s="71" t="s">
        <v>494</v>
      </c>
      <c r="E1545" s="72" t="s">
        <v>4651</v>
      </c>
      <c r="F1545" s="73" t="str">
        <f t="shared" si="136"/>
        <v>830151</v>
      </c>
      <c r="G1545" s="72" t="str">
        <f t="shared" si="137"/>
        <v>830151</v>
      </c>
      <c r="H1545" s="74" t="s">
        <v>5095</v>
      </c>
    </row>
    <row r="1546" spans="1:8" ht="18.75">
      <c r="A1546" s="70">
        <v>83</v>
      </c>
      <c r="B1546" s="70">
        <v>1</v>
      </c>
      <c r="C1546" s="70">
        <v>52</v>
      </c>
      <c r="D1546" s="71" t="s">
        <v>5438</v>
      </c>
      <c r="E1546" s="72" t="s">
        <v>829</v>
      </c>
      <c r="F1546" s="73" t="str">
        <f t="shared" si="136"/>
        <v>830152</v>
      </c>
      <c r="G1546" s="72" t="str">
        <f t="shared" si="137"/>
        <v>830152</v>
      </c>
      <c r="H1546" s="74" t="s">
        <v>5653</v>
      </c>
    </row>
    <row r="1547" spans="1:8" ht="18.75">
      <c r="A1547" s="70">
        <v>83</v>
      </c>
      <c r="B1547" s="70">
        <v>1</v>
      </c>
      <c r="C1547" s="70">
        <v>53</v>
      </c>
      <c r="D1547" s="71" t="s">
        <v>5439</v>
      </c>
      <c r="E1547" s="72" t="s">
        <v>829</v>
      </c>
      <c r="F1547" s="73" t="str">
        <f t="shared" si="136"/>
        <v>830153</v>
      </c>
      <c r="G1547" s="72" t="str">
        <f t="shared" si="137"/>
        <v>830153</v>
      </c>
      <c r="H1547" s="74" t="s">
        <v>5654</v>
      </c>
    </row>
    <row r="1548" spans="1:8" ht="18.75">
      <c r="A1548" s="70">
        <v>83</v>
      </c>
      <c r="B1548" s="70">
        <v>1</v>
      </c>
      <c r="C1548" s="70">
        <v>43</v>
      </c>
      <c r="D1548" s="71" t="s">
        <v>754</v>
      </c>
      <c r="E1548" s="72" t="s">
        <v>829</v>
      </c>
      <c r="F1548" s="73" t="str">
        <f t="shared" si="136"/>
        <v>830143</v>
      </c>
      <c r="G1548" s="72" t="str">
        <f t="shared" si="137"/>
        <v>830143</v>
      </c>
      <c r="H1548" s="74" t="s">
        <v>4783</v>
      </c>
    </row>
    <row r="1549" spans="1:8" ht="18.75">
      <c r="A1549" s="70">
        <v>83</v>
      </c>
      <c r="B1549" s="70">
        <v>1</v>
      </c>
      <c r="C1549" s="70">
        <v>44</v>
      </c>
      <c r="D1549" s="71" t="s">
        <v>6034</v>
      </c>
      <c r="E1549" s="72" t="s">
        <v>829</v>
      </c>
      <c r="F1549" s="73" t="str">
        <f t="shared" si="136"/>
        <v>830144</v>
      </c>
      <c r="G1549" s="72" t="str">
        <f t="shared" si="137"/>
        <v>830144</v>
      </c>
      <c r="H1549" s="74" t="s">
        <v>6035</v>
      </c>
    </row>
    <row r="1550" spans="1:8" ht="18.75">
      <c r="A1550" s="66">
        <v>83</v>
      </c>
      <c r="B1550" s="66">
        <v>2</v>
      </c>
      <c r="C1550" s="66">
        <v>0</v>
      </c>
      <c r="D1550" s="67" t="s">
        <v>2978</v>
      </c>
      <c r="E1550" s="68"/>
      <c r="F1550" s="78"/>
      <c r="G1550" s="79"/>
      <c r="H1550" s="80"/>
    </row>
    <row r="1551" spans="1:8" ht="18.75">
      <c r="A1551" s="70">
        <v>83</v>
      </c>
      <c r="B1551" s="70">
        <v>2</v>
      </c>
      <c r="C1551" s="70">
        <v>11</v>
      </c>
      <c r="D1551" s="71" t="s">
        <v>619</v>
      </c>
      <c r="E1551" s="72" t="s">
        <v>829</v>
      </c>
      <c r="F1551" s="73" t="str">
        <f t="shared" ref="F1551:F1588" si="138">TEXT(A1551,"00")&amp;TEXT(B1551,"00")&amp;TEXT(C1551,"00")</f>
        <v>830211</v>
      </c>
      <c r="G1551" s="72" t="str">
        <f t="shared" ref="G1551:G1588" si="139">TEXT(F1551,"000000")</f>
        <v>830211</v>
      </c>
      <c r="H1551" s="74" t="s">
        <v>5096</v>
      </c>
    </row>
    <row r="1552" spans="1:8" ht="18.75">
      <c r="A1552" s="70">
        <v>83</v>
      </c>
      <c r="B1552" s="70">
        <v>2</v>
      </c>
      <c r="C1552" s="70">
        <v>13</v>
      </c>
      <c r="D1552" s="71" t="s">
        <v>623</v>
      </c>
      <c r="E1552" s="72" t="s">
        <v>829</v>
      </c>
      <c r="F1552" s="73" t="str">
        <f t="shared" si="138"/>
        <v>830213</v>
      </c>
      <c r="G1552" s="72" t="str">
        <f t="shared" si="139"/>
        <v>830213</v>
      </c>
      <c r="H1552" s="74" t="s">
        <v>5097</v>
      </c>
    </row>
    <row r="1553" spans="1:8" ht="18.75">
      <c r="A1553" s="70">
        <v>83</v>
      </c>
      <c r="B1553" s="70">
        <v>2</v>
      </c>
      <c r="C1553" s="70">
        <v>15</v>
      </c>
      <c r="D1553" s="71" t="s">
        <v>624</v>
      </c>
      <c r="E1553" s="72" t="s">
        <v>829</v>
      </c>
      <c r="F1553" s="73" t="str">
        <f t="shared" si="138"/>
        <v>830215</v>
      </c>
      <c r="G1553" s="72" t="str">
        <f t="shared" si="139"/>
        <v>830215</v>
      </c>
      <c r="H1553" s="74" t="s">
        <v>5098</v>
      </c>
    </row>
    <row r="1554" spans="1:8" ht="18.75">
      <c r="A1554" s="70">
        <v>83</v>
      </c>
      <c r="B1554" s="70">
        <v>2</v>
      </c>
      <c r="C1554" s="70">
        <v>17</v>
      </c>
      <c r="D1554" s="71" t="s">
        <v>625</v>
      </c>
      <c r="E1554" s="72" t="s">
        <v>829</v>
      </c>
      <c r="F1554" s="73" t="str">
        <f t="shared" si="138"/>
        <v>830217</v>
      </c>
      <c r="G1554" s="72" t="str">
        <f t="shared" si="139"/>
        <v>830217</v>
      </c>
      <c r="H1554" s="74" t="s">
        <v>5099</v>
      </c>
    </row>
    <row r="1555" spans="1:8" ht="18.75">
      <c r="A1555" s="70">
        <v>83</v>
      </c>
      <c r="B1555" s="70">
        <v>2</v>
      </c>
      <c r="C1555" s="70">
        <v>19</v>
      </c>
      <c r="D1555" s="71" t="s">
        <v>5899</v>
      </c>
      <c r="E1555" s="72" t="s">
        <v>829</v>
      </c>
      <c r="F1555" s="73" t="str">
        <f t="shared" si="138"/>
        <v>830219</v>
      </c>
      <c r="G1555" s="72" t="str">
        <f t="shared" si="139"/>
        <v>830219</v>
      </c>
      <c r="H1555" s="74" t="s">
        <v>5100</v>
      </c>
    </row>
    <row r="1556" spans="1:8" ht="18.75">
      <c r="A1556" s="70">
        <v>83</v>
      </c>
      <c r="B1556" s="70">
        <v>2</v>
      </c>
      <c r="C1556" s="70">
        <v>21</v>
      </c>
      <c r="D1556" s="71" t="s">
        <v>627</v>
      </c>
      <c r="E1556" s="72" t="s">
        <v>829</v>
      </c>
      <c r="F1556" s="73" t="str">
        <f t="shared" si="138"/>
        <v>830221</v>
      </c>
      <c r="G1556" s="72" t="str">
        <f t="shared" si="139"/>
        <v>830221</v>
      </c>
      <c r="H1556" s="74" t="s">
        <v>5101</v>
      </c>
    </row>
    <row r="1557" spans="1:8" ht="18.75">
      <c r="A1557" s="70">
        <v>83</v>
      </c>
      <c r="B1557" s="70">
        <v>2</v>
      </c>
      <c r="C1557" s="70">
        <v>23</v>
      </c>
      <c r="D1557" s="71" t="s">
        <v>628</v>
      </c>
      <c r="E1557" s="72" t="s">
        <v>829</v>
      </c>
      <c r="F1557" s="73" t="str">
        <f t="shared" si="138"/>
        <v>830223</v>
      </c>
      <c r="G1557" s="72" t="str">
        <f t="shared" si="139"/>
        <v>830223</v>
      </c>
      <c r="H1557" s="74" t="s">
        <v>5102</v>
      </c>
    </row>
    <row r="1558" spans="1:8" ht="18.75">
      <c r="A1558" s="70">
        <v>83</v>
      </c>
      <c r="B1558" s="70">
        <v>2</v>
      </c>
      <c r="C1558" s="70">
        <v>25</v>
      </c>
      <c r="D1558" s="71" t="s">
        <v>640</v>
      </c>
      <c r="E1558" s="72" t="s">
        <v>829</v>
      </c>
      <c r="F1558" s="73" t="str">
        <f t="shared" si="138"/>
        <v>830225</v>
      </c>
      <c r="G1558" s="72" t="str">
        <f t="shared" si="139"/>
        <v>830225</v>
      </c>
      <c r="H1558" s="74" t="s">
        <v>5103</v>
      </c>
    </row>
    <row r="1559" spans="1:8" ht="18.75">
      <c r="A1559" s="70">
        <v>83</v>
      </c>
      <c r="B1559" s="70">
        <v>2</v>
      </c>
      <c r="C1559" s="70">
        <v>27</v>
      </c>
      <c r="D1559" s="71" t="s">
        <v>3634</v>
      </c>
      <c r="E1559" s="72" t="s">
        <v>829</v>
      </c>
      <c r="F1559" s="73" t="str">
        <f t="shared" si="138"/>
        <v>830227</v>
      </c>
      <c r="G1559" s="72" t="str">
        <f t="shared" si="139"/>
        <v>830227</v>
      </c>
      <c r="H1559" s="74" t="s">
        <v>5104</v>
      </c>
    </row>
    <row r="1560" spans="1:8" ht="18.75">
      <c r="A1560" s="70">
        <v>83</v>
      </c>
      <c r="B1560" s="70">
        <v>2</v>
      </c>
      <c r="C1560" s="70">
        <v>28</v>
      </c>
      <c r="D1560" s="71" t="s">
        <v>711</v>
      </c>
      <c r="E1560" s="72" t="s">
        <v>829</v>
      </c>
      <c r="F1560" s="73" t="str">
        <f t="shared" si="138"/>
        <v>830228</v>
      </c>
      <c r="G1560" s="72" t="str">
        <f t="shared" si="139"/>
        <v>830228</v>
      </c>
      <c r="H1560" s="74" t="s">
        <v>5105</v>
      </c>
    </row>
    <row r="1561" spans="1:8" ht="18.75">
      <c r="A1561" s="70">
        <v>83</v>
      </c>
      <c r="B1561" s="70">
        <v>2</v>
      </c>
      <c r="C1561" s="70">
        <v>29</v>
      </c>
      <c r="D1561" s="71" t="s">
        <v>644</v>
      </c>
      <c r="E1561" s="72" t="s">
        <v>829</v>
      </c>
      <c r="F1561" s="73" t="str">
        <f t="shared" si="138"/>
        <v>830229</v>
      </c>
      <c r="G1561" s="72" t="str">
        <f t="shared" si="139"/>
        <v>830229</v>
      </c>
      <c r="H1561" s="74" t="s">
        <v>5106</v>
      </c>
    </row>
    <row r="1562" spans="1:8" ht="18.75">
      <c r="A1562" s="70">
        <v>83</v>
      </c>
      <c r="B1562" s="70">
        <v>2</v>
      </c>
      <c r="C1562" s="70">
        <v>31</v>
      </c>
      <c r="D1562" s="71" t="s">
        <v>3427</v>
      </c>
      <c r="E1562" s="72" t="s">
        <v>829</v>
      </c>
      <c r="F1562" s="73" t="str">
        <f t="shared" si="138"/>
        <v>830231</v>
      </c>
      <c r="G1562" s="72" t="str">
        <f t="shared" si="139"/>
        <v>830231</v>
      </c>
      <c r="H1562" s="74" t="s">
        <v>5107</v>
      </c>
    </row>
    <row r="1563" spans="1:8" ht="18.75">
      <c r="A1563" s="70">
        <v>83</v>
      </c>
      <c r="B1563" s="70">
        <v>2</v>
      </c>
      <c r="C1563" s="70">
        <v>33</v>
      </c>
      <c r="D1563" s="71" t="s">
        <v>3428</v>
      </c>
      <c r="E1563" s="72" t="s">
        <v>829</v>
      </c>
      <c r="F1563" s="73" t="str">
        <f t="shared" si="138"/>
        <v>830233</v>
      </c>
      <c r="G1563" s="72" t="str">
        <f t="shared" si="139"/>
        <v>830233</v>
      </c>
      <c r="H1563" s="74" t="s">
        <v>5108</v>
      </c>
    </row>
    <row r="1564" spans="1:8" ht="18.75">
      <c r="A1564" s="70">
        <v>83</v>
      </c>
      <c r="B1564" s="70">
        <v>2</v>
      </c>
      <c r="C1564" s="70">
        <v>35</v>
      </c>
      <c r="D1564" s="71" t="s">
        <v>3429</v>
      </c>
      <c r="E1564" s="72" t="s">
        <v>829</v>
      </c>
      <c r="F1564" s="73" t="str">
        <f t="shared" si="138"/>
        <v>830235</v>
      </c>
      <c r="G1564" s="72" t="str">
        <f t="shared" si="139"/>
        <v>830235</v>
      </c>
      <c r="H1564" s="74" t="s">
        <v>5109</v>
      </c>
    </row>
    <row r="1565" spans="1:8" ht="18.75">
      <c r="A1565" s="70">
        <v>83</v>
      </c>
      <c r="B1565" s="70">
        <v>2</v>
      </c>
      <c r="C1565" s="70">
        <v>37</v>
      </c>
      <c r="D1565" s="71" t="s">
        <v>3430</v>
      </c>
      <c r="E1565" s="72" t="s">
        <v>829</v>
      </c>
      <c r="F1565" s="73" t="str">
        <f t="shared" si="138"/>
        <v>830237</v>
      </c>
      <c r="G1565" s="72" t="str">
        <f t="shared" si="139"/>
        <v>830237</v>
      </c>
      <c r="H1565" s="74" t="s">
        <v>5110</v>
      </c>
    </row>
    <row r="1566" spans="1:8" ht="18.75">
      <c r="A1566" s="70">
        <v>83</v>
      </c>
      <c r="B1566" s="70">
        <v>2</v>
      </c>
      <c r="C1566" s="70">
        <v>39</v>
      </c>
      <c r="D1566" s="71" t="s">
        <v>3431</v>
      </c>
      <c r="E1566" s="72" t="s">
        <v>829</v>
      </c>
      <c r="F1566" s="73" t="str">
        <f t="shared" si="138"/>
        <v>830239</v>
      </c>
      <c r="G1566" s="72" t="str">
        <f t="shared" si="139"/>
        <v>830239</v>
      </c>
      <c r="H1566" s="74" t="s">
        <v>5111</v>
      </c>
    </row>
    <row r="1567" spans="1:8" ht="18.75">
      <c r="A1567" s="70">
        <v>83</v>
      </c>
      <c r="B1567" s="70">
        <v>2</v>
      </c>
      <c r="C1567" s="70">
        <v>41</v>
      </c>
      <c r="D1567" s="71" t="s">
        <v>3432</v>
      </c>
      <c r="E1567" s="72" t="s">
        <v>829</v>
      </c>
      <c r="F1567" s="73" t="str">
        <f t="shared" si="138"/>
        <v>830241</v>
      </c>
      <c r="G1567" s="72" t="str">
        <f t="shared" si="139"/>
        <v>830241</v>
      </c>
      <c r="H1567" s="74" t="s">
        <v>5112</v>
      </c>
    </row>
    <row r="1568" spans="1:8" ht="18.75">
      <c r="A1568" s="70">
        <v>83</v>
      </c>
      <c r="B1568" s="70">
        <v>2</v>
      </c>
      <c r="C1568" s="70">
        <v>42</v>
      </c>
      <c r="D1568" s="71" t="s">
        <v>3639</v>
      </c>
      <c r="E1568" s="72" t="s">
        <v>829</v>
      </c>
      <c r="F1568" s="73" t="str">
        <f t="shared" si="138"/>
        <v>830242</v>
      </c>
      <c r="G1568" s="72" t="str">
        <f t="shared" si="139"/>
        <v>830242</v>
      </c>
      <c r="H1568" s="74" t="s">
        <v>5113</v>
      </c>
    </row>
    <row r="1569" spans="1:8" ht="18.75">
      <c r="A1569" s="70">
        <v>83</v>
      </c>
      <c r="B1569" s="70">
        <v>2</v>
      </c>
      <c r="C1569" s="70">
        <v>43</v>
      </c>
      <c r="D1569" s="71" t="s">
        <v>649</v>
      </c>
      <c r="E1569" s="72" t="s">
        <v>829</v>
      </c>
      <c r="F1569" s="73" t="str">
        <f t="shared" si="138"/>
        <v>830243</v>
      </c>
      <c r="G1569" s="72" t="str">
        <f t="shared" si="139"/>
        <v>830243</v>
      </c>
      <c r="H1569" s="74" t="s">
        <v>5114</v>
      </c>
    </row>
    <row r="1570" spans="1:8" ht="18.75">
      <c r="A1570" s="70">
        <v>83</v>
      </c>
      <c r="B1570" s="70">
        <v>2</v>
      </c>
      <c r="C1570" s="70">
        <v>44</v>
      </c>
      <c r="D1570" s="71" t="s">
        <v>652</v>
      </c>
      <c r="E1570" s="72" t="s">
        <v>829</v>
      </c>
      <c r="F1570" s="73" t="str">
        <f t="shared" si="138"/>
        <v>830244</v>
      </c>
      <c r="G1570" s="72" t="str">
        <f t="shared" si="139"/>
        <v>830244</v>
      </c>
      <c r="H1570" s="74" t="s">
        <v>5115</v>
      </c>
    </row>
    <row r="1571" spans="1:8" ht="18.75">
      <c r="A1571" s="70">
        <v>83</v>
      </c>
      <c r="B1571" s="70">
        <v>2</v>
      </c>
      <c r="C1571" s="70">
        <v>45</v>
      </c>
      <c r="D1571" s="71" t="s">
        <v>3598</v>
      </c>
      <c r="E1571" s="72" t="s">
        <v>4049</v>
      </c>
      <c r="F1571" s="73" t="str">
        <f t="shared" si="138"/>
        <v>830245</v>
      </c>
      <c r="G1571" s="72" t="str">
        <f t="shared" si="139"/>
        <v>830245</v>
      </c>
      <c r="H1571" s="74" t="s">
        <v>5116</v>
      </c>
    </row>
    <row r="1572" spans="1:8" ht="18.75">
      <c r="A1572" s="70">
        <v>83</v>
      </c>
      <c r="B1572" s="70">
        <v>2</v>
      </c>
      <c r="C1572" s="70">
        <v>46</v>
      </c>
      <c r="D1572" s="71" t="s">
        <v>655</v>
      </c>
      <c r="E1572" s="72" t="s">
        <v>829</v>
      </c>
      <c r="F1572" s="73" t="str">
        <f t="shared" si="138"/>
        <v>830246</v>
      </c>
      <c r="G1572" s="72" t="str">
        <f t="shared" si="139"/>
        <v>830246</v>
      </c>
      <c r="H1572" s="74" t="s">
        <v>5117</v>
      </c>
    </row>
    <row r="1573" spans="1:8" ht="18.75">
      <c r="A1573" s="70">
        <v>83</v>
      </c>
      <c r="B1573" s="70">
        <v>2</v>
      </c>
      <c r="C1573" s="70">
        <v>47</v>
      </c>
      <c r="D1573" s="71" t="s">
        <v>660</v>
      </c>
      <c r="E1573" s="72" t="s">
        <v>829</v>
      </c>
      <c r="F1573" s="73" t="str">
        <f t="shared" si="138"/>
        <v>830247</v>
      </c>
      <c r="G1573" s="72" t="str">
        <f t="shared" si="139"/>
        <v>830247</v>
      </c>
      <c r="H1573" s="74" t="s">
        <v>5118</v>
      </c>
    </row>
    <row r="1574" spans="1:8" ht="18.75">
      <c r="A1574" s="70">
        <v>83</v>
      </c>
      <c r="B1574" s="70">
        <v>2</v>
      </c>
      <c r="C1574" s="70">
        <v>48</v>
      </c>
      <c r="D1574" s="71" t="s">
        <v>5759</v>
      </c>
      <c r="E1574" s="72" t="s">
        <v>829</v>
      </c>
      <c r="F1574" s="73" t="str">
        <f t="shared" si="138"/>
        <v>830248</v>
      </c>
      <c r="G1574" s="72" t="str">
        <f t="shared" si="139"/>
        <v>830248</v>
      </c>
      <c r="H1574" s="74" t="s">
        <v>5119</v>
      </c>
    </row>
    <row r="1575" spans="1:8" ht="18.75">
      <c r="A1575" s="70">
        <v>83</v>
      </c>
      <c r="B1575" s="70">
        <v>2</v>
      </c>
      <c r="C1575" s="70">
        <v>49</v>
      </c>
      <c r="D1575" s="71" t="s">
        <v>5760</v>
      </c>
      <c r="E1575" s="72" t="s">
        <v>829</v>
      </c>
      <c r="F1575" s="73" t="str">
        <f t="shared" si="138"/>
        <v>830249</v>
      </c>
      <c r="G1575" s="72" t="str">
        <f t="shared" si="139"/>
        <v>830249</v>
      </c>
      <c r="H1575" s="74" t="s">
        <v>5120</v>
      </c>
    </row>
    <row r="1576" spans="1:8" ht="18.75">
      <c r="A1576" s="70">
        <v>83</v>
      </c>
      <c r="B1576" s="70">
        <v>2</v>
      </c>
      <c r="C1576" s="70">
        <v>51</v>
      </c>
      <c r="D1576" s="71" t="s">
        <v>682</v>
      </c>
      <c r="E1576" s="72" t="s">
        <v>3891</v>
      </c>
      <c r="F1576" s="73" t="str">
        <f t="shared" si="138"/>
        <v>830251</v>
      </c>
      <c r="G1576" s="72" t="str">
        <f t="shared" si="139"/>
        <v>830251</v>
      </c>
      <c r="H1576" s="74" t="s">
        <v>5121</v>
      </c>
    </row>
    <row r="1577" spans="1:8" ht="18.75">
      <c r="A1577" s="70">
        <v>83</v>
      </c>
      <c r="B1577" s="70">
        <v>2</v>
      </c>
      <c r="C1577" s="70">
        <v>52</v>
      </c>
      <c r="D1577" s="71" t="s">
        <v>3685</v>
      </c>
      <c r="E1577" s="72" t="s">
        <v>829</v>
      </c>
      <c r="F1577" s="73" t="str">
        <f t="shared" si="138"/>
        <v>830252</v>
      </c>
      <c r="G1577" s="72" t="str">
        <f t="shared" si="139"/>
        <v>830252</v>
      </c>
      <c r="H1577" s="74" t="s">
        <v>5122</v>
      </c>
    </row>
    <row r="1578" spans="1:8" ht="18.75">
      <c r="A1578" s="70">
        <v>83</v>
      </c>
      <c r="B1578" s="70">
        <v>2</v>
      </c>
      <c r="C1578" s="70">
        <v>53</v>
      </c>
      <c r="D1578" s="71" t="s">
        <v>3766</v>
      </c>
      <c r="E1578" s="72" t="s">
        <v>829</v>
      </c>
      <c r="F1578" s="73" t="str">
        <f t="shared" si="138"/>
        <v>830253</v>
      </c>
      <c r="G1578" s="72" t="str">
        <f t="shared" si="139"/>
        <v>830253</v>
      </c>
      <c r="H1578" s="74" t="s">
        <v>5123</v>
      </c>
    </row>
    <row r="1579" spans="1:8" ht="18.75">
      <c r="A1579" s="70">
        <v>83</v>
      </c>
      <c r="B1579" s="70">
        <v>2</v>
      </c>
      <c r="C1579" s="70">
        <v>54</v>
      </c>
      <c r="D1579" s="71" t="s">
        <v>3781</v>
      </c>
      <c r="E1579" s="72" t="s">
        <v>829</v>
      </c>
      <c r="F1579" s="73" t="str">
        <f t="shared" si="138"/>
        <v>830254</v>
      </c>
      <c r="G1579" s="72" t="str">
        <f t="shared" si="139"/>
        <v>830254</v>
      </c>
      <c r="H1579" s="74" t="s">
        <v>5655</v>
      </c>
    </row>
    <row r="1580" spans="1:8" ht="18.75">
      <c r="A1580" s="70">
        <v>83</v>
      </c>
      <c r="B1580" s="70">
        <v>2</v>
      </c>
      <c r="C1580" s="70">
        <v>55</v>
      </c>
      <c r="D1580" s="71" t="s">
        <v>5761</v>
      </c>
      <c r="E1580" s="72" t="s">
        <v>3910</v>
      </c>
      <c r="F1580" s="73" t="str">
        <f t="shared" si="138"/>
        <v>830255</v>
      </c>
      <c r="G1580" s="72" t="str">
        <f t="shared" si="139"/>
        <v>830255</v>
      </c>
      <c r="H1580" s="74" t="s">
        <v>5124</v>
      </c>
    </row>
    <row r="1581" spans="1:8" ht="18.75">
      <c r="A1581" s="70">
        <v>83</v>
      </c>
      <c r="B1581" s="70">
        <v>2</v>
      </c>
      <c r="C1581" s="70">
        <v>56</v>
      </c>
      <c r="D1581" s="71" t="s">
        <v>3801</v>
      </c>
      <c r="E1581" s="72" t="s">
        <v>829</v>
      </c>
      <c r="F1581" s="73" t="str">
        <f t="shared" si="138"/>
        <v>830256</v>
      </c>
      <c r="G1581" s="72" t="str">
        <f t="shared" si="139"/>
        <v>830256</v>
      </c>
      <c r="H1581" s="74" t="s">
        <v>5125</v>
      </c>
    </row>
    <row r="1582" spans="1:8" ht="18.75">
      <c r="A1582" s="70">
        <v>83</v>
      </c>
      <c r="B1582" s="70">
        <v>2</v>
      </c>
      <c r="C1582" s="70">
        <v>57</v>
      </c>
      <c r="D1582" s="71" t="s">
        <v>5126</v>
      </c>
      <c r="E1582" s="72" t="s">
        <v>829</v>
      </c>
      <c r="F1582" s="73" t="str">
        <f t="shared" si="138"/>
        <v>830257</v>
      </c>
      <c r="G1582" s="72" t="str">
        <f t="shared" si="139"/>
        <v>830257</v>
      </c>
      <c r="H1582" s="74" t="s">
        <v>5656</v>
      </c>
    </row>
    <row r="1583" spans="1:8" ht="18.75">
      <c r="A1583" s="70">
        <v>83</v>
      </c>
      <c r="B1583" s="70">
        <v>2</v>
      </c>
      <c r="C1583" s="70">
        <v>58</v>
      </c>
      <c r="D1583" s="71" t="s">
        <v>5900</v>
      </c>
      <c r="E1583" s="72" t="s">
        <v>4653</v>
      </c>
      <c r="F1583" s="73" t="str">
        <f t="shared" si="138"/>
        <v>830258</v>
      </c>
      <c r="G1583" s="72" t="str">
        <f t="shared" si="139"/>
        <v>830258</v>
      </c>
      <c r="H1583" s="74" t="s">
        <v>5762</v>
      </c>
    </row>
    <row r="1584" spans="1:8" ht="18.75">
      <c r="A1584" s="70">
        <v>83</v>
      </c>
      <c r="B1584" s="70">
        <v>2</v>
      </c>
      <c r="C1584" s="70">
        <v>59</v>
      </c>
      <c r="D1584" s="71" t="s">
        <v>5763</v>
      </c>
      <c r="E1584" s="72" t="s">
        <v>3910</v>
      </c>
      <c r="F1584" s="73" t="str">
        <f t="shared" si="138"/>
        <v>830259</v>
      </c>
      <c r="G1584" s="72" t="str">
        <f t="shared" si="139"/>
        <v>830259</v>
      </c>
      <c r="H1584" s="74" t="s">
        <v>5764</v>
      </c>
    </row>
    <row r="1585" spans="1:8" ht="18.75">
      <c r="A1585" s="70">
        <v>83</v>
      </c>
      <c r="B1585" s="70">
        <v>2</v>
      </c>
      <c r="C1585" s="70">
        <v>60</v>
      </c>
      <c r="D1585" s="71" t="s">
        <v>5765</v>
      </c>
      <c r="E1585" s="72" t="s">
        <v>3910</v>
      </c>
      <c r="F1585" s="73" t="str">
        <f t="shared" si="138"/>
        <v>830260</v>
      </c>
      <c r="G1585" s="72" t="str">
        <f t="shared" si="139"/>
        <v>830260</v>
      </c>
      <c r="H1585" s="74" t="s">
        <v>5766</v>
      </c>
    </row>
    <row r="1586" spans="1:8" ht="18.75">
      <c r="A1586" s="70">
        <v>83</v>
      </c>
      <c r="B1586" s="70">
        <v>2</v>
      </c>
      <c r="C1586" s="70">
        <v>61</v>
      </c>
      <c r="D1586" s="71" t="s">
        <v>5901</v>
      </c>
      <c r="E1586" s="72" t="s">
        <v>3910</v>
      </c>
      <c r="F1586" s="73" t="str">
        <f t="shared" si="138"/>
        <v>830261</v>
      </c>
      <c r="G1586" s="72" t="str">
        <f t="shared" si="139"/>
        <v>830261</v>
      </c>
      <c r="H1586" s="74" t="s">
        <v>5902</v>
      </c>
    </row>
    <row r="1587" spans="1:8" ht="18.75">
      <c r="A1587" s="70">
        <v>83</v>
      </c>
      <c r="B1587" s="70">
        <v>2</v>
      </c>
      <c r="C1587" s="70">
        <v>62</v>
      </c>
      <c r="D1587" s="71" t="s">
        <v>5903</v>
      </c>
      <c r="E1587" s="72" t="s">
        <v>3891</v>
      </c>
      <c r="F1587" s="73" t="str">
        <f t="shared" si="138"/>
        <v>830262</v>
      </c>
      <c r="G1587" s="72" t="str">
        <f t="shared" si="139"/>
        <v>830262</v>
      </c>
      <c r="H1587" s="74" t="s">
        <v>5904</v>
      </c>
    </row>
    <row r="1588" spans="1:8" ht="18.75">
      <c r="A1588" s="70">
        <v>83</v>
      </c>
      <c r="B1588" s="70">
        <v>2</v>
      </c>
      <c r="C1588" s="70">
        <v>63</v>
      </c>
      <c r="D1588" s="71" t="s">
        <v>5905</v>
      </c>
      <c r="E1588" s="72" t="s">
        <v>829</v>
      </c>
      <c r="F1588" s="73" t="str">
        <f t="shared" si="138"/>
        <v>830263</v>
      </c>
      <c r="G1588" s="72" t="str">
        <f t="shared" si="139"/>
        <v>830263</v>
      </c>
      <c r="H1588" s="74" t="s">
        <v>5906</v>
      </c>
    </row>
    <row r="1589" spans="1:8" ht="18.75">
      <c r="A1589" s="66">
        <v>83</v>
      </c>
      <c r="B1589" s="66">
        <v>3</v>
      </c>
      <c r="C1589" s="66">
        <v>0</v>
      </c>
      <c r="D1589" s="67" t="s">
        <v>2979</v>
      </c>
      <c r="E1589" s="68"/>
      <c r="F1589" s="78"/>
      <c r="G1589" s="79"/>
      <c r="H1589" s="80"/>
    </row>
    <row r="1590" spans="1:8" ht="18.75">
      <c r="A1590" s="70">
        <v>83</v>
      </c>
      <c r="B1590" s="70">
        <v>3</v>
      </c>
      <c r="C1590" s="70">
        <v>11</v>
      </c>
      <c r="D1590" s="71" t="s">
        <v>699</v>
      </c>
      <c r="E1590" s="72" t="s">
        <v>829</v>
      </c>
      <c r="F1590" s="73" t="str">
        <f t="shared" ref="F1590:F1607" si="140">TEXT(A1590,"00")&amp;TEXT(B1590,"00")&amp;TEXT(C1590,"00")</f>
        <v>830311</v>
      </c>
      <c r="G1590" s="72" t="str">
        <f t="shared" ref="G1590:G1607" si="141">TEXT(F1590,"000000")</f>
        <v>830311</v>
      </c>
      <c r="H1590" s="74" t="s">
        <v>5127</v>
      </c>
    </row>
    <row r="1591" spans="1:8" ht="18.75">
      <c r="A1591" s="70">
        <v>83</v>
      </c>
      <c r="B1591" s="70">
        <v>3</v>
      </c>
      <c r="C1591" s="70">
        <v>13</v>
      </c>
      <c r="D1591" s="71" t="s">
        <v>2980</v>
      </c>
      <c r="E1591" s="72" t="s">
        <v>4651</v>
      </c>
      <c r="F1591" s="73" t="str">
        <f t="shared" si="140"/>
        <v>830313</v>
      </c>
      <c r="G1591" s="72" t="str">
        <f t="shared" si="141"/>
        <v>830313</v>
      </c>
      <c r="H1591" s="74" t="s">
        <v>5128</v>
      </c>
    </row>
    <row r="1592" spans="1:8" ht="18.75">
      <c r="A1592" s="70">
        <v>83</v>
      </c>
      <c r="B1592" s="70">
        <v>3</v>
      </c>
      <c r="C1592" s="70">
        <v>15</v>
      </c>
      <c r="D1592" s="71" t="s">
        <v>631</v>
      </c>
      <c r="E1592" s="72" t="s">
        <v>829</v>
      </c>
      <c r="F1592" s="73" t="str">
        <f t="shared" si="140"/>
        <v>830315</v>
      </c>
      <c r="G1592" s="72" t="str">
        <f t="shared" si="141"/>
        <v>830315</v>
      </c>
      <c r="H1592" s="74" t="s">
        <v>5129</v>
      </c>
    </row>
    <row r="1593" spans="1:8" ht="18.75">
      <c r="A1593" s="70">
        <v>83</v>
      </c>
      <c r="B1593" s="70">
        <v>3</v>
      </c>
      <c r="C1593" s="70">
        <v>17</v>
      </c>
      <c r="D1593" s="71" t="s">
        <v>635</v>
      </c>
      <c r="E1593" s="72" t="s">
        <v>4651</v>
      </c>
      <c r="F1593" s="73" t="str">
        <f t="shared" si="140"/>
        <v>830317</v>
      </c>
      <c r="G1593" s="72" t="str">
        <f t="shared" si="141"/>
        <v>830317</v>
      </c>
      <c r="H1593" s="74" t="s">
        <v>5130</v>
      </c>
    </row>
    <row r="1594" spans="1:8" ht="18.75">
      <c r="A1594" s="70">
        <v>83</v>
      </c>
      <c r="B1594" s="70">
        <v>3</v>
      </c>
      <c r="C1594" s="70">
        <v>19</v>
      </c>
      <c r="D1594" s="71" t="s">
        <v>639</v>
      </c>
      <c r="E1594" s="72" t="s">
        <v>829</v>
      </c>
      <c r="F1594" s="73" t="str">
        <f t="shared" si="140"/>
        <v>830319</v>
      </c>
      <c r="G1594" s="72" t="str">
        <f t="shared" si="141"/>
        <v>830319</v>
      </c>
      <c r="H1594" s="74" t="s">
        <v>5131</v>
      </c>
    </row>
    <row r="1595" spans="1:8" ht="18.75">
      <c r="A1595" s="70">
        <v>83</v>
      </c>
      <c r="B1595" s="70">
        <v>3</v>
      </c>
      <c r="C1595" s="70">
        <v>21</v>
      </c>
      <c r="D1595" s="71" t="s">
        <v>653</v>
      </c>
      <c r="E1595" s="72" t="s">
        <v>4651</v>
      </c>
      <c r="F1595" s="73" t="str">
        <f t="shared" si="140"/>
        <v>830321</v>
      </c>
      <c r="G1595" s="72" t="str">
        <f t="shared" si="141"/>
        <v>830321</v>
      </c>
      <c r="H1595" s="74" t="s">
        <v>5132</v>
      </c>
    </row>
    <row r="1596" spans="1:8" ht="18.75">
      <c r="A1596" s="70">
        <v>83</v>
      </c>
      <c r="B1596" s="70">
        <v>3</v>
      </c>
      <c r="C1596" s="70">
        <v>23</v>
      </c>
      <c r="D1596" s="71" t="s">
        <v>662</v>
      </c>
      <c r="E1596" s="72" t="s">
        <v>829</v>
      </c>
      <c r="F1596" s="73" t="str">
        <f t="shared" si="140"/>
        <v>830323</v>
      </c>
      <c r="G1596" s="72" t="str">
        <f t="shared" si="141"/>
        <v>830323</v>
      </c>
      <c r="H1596" s="74" t="s">
        <v>5133</v>
      </c>
    </row>
    <row r="1597" spans="1:8" ht="18.75">
      <c r="A1597" s="70">
        <v>83</v>
      </c>
      <c r="B1597" s="70">
        <v>3</v>
      </c>
      <c r="C1597" s="70">
        <v>25</v>
      </c>
      <c r="D1597" s="71" t="s">
        <v>663</v>
      </c>
      <c r="E1597" s="72" t="s">
        <v>829</v>
      </c>
      <c r="F1597" s="73" t="str">
        <f t="shared" si="140"/>
        <v>830325</v>
      </c>
      <c r="G1597" s="72" t="str">
        <f t="shared" si="141"/>
        <v>830325</v>
      </c>
      <c r="H1597" s="74" t="s">
        <v>5134</v>
      </c>
    </row>
    <row r="1598" spans="1:8" ht="18.75">
      <c r="A1598" s="70">
        <v>83</v>
      </c>
      <c r="B1598" s="70">
        <v>3</v>
      </c>
      <c r="C1598" s="70">
        <v>27</v>
      </c>
      <c r="D1598" s="71" t="s">
        <v>664</v>
      </c>
      <c r="E1598" s="72" t="s">
        <v>829</v>
      </c>
      <c r="F1598" s="73" t="str">
        <f t="shared" si="140"/>
        <v>830327</v>
      </c>
      <c r="G1598" s="72" t="str">
        <f t="shared" si="141"/>
        <v>830327</v>
      </c>
      <c r="H1598" s="74" t="s">
        <v>5135</v>
      </c>
    </row>
    <row r="1599" spans="1:8" ht="18.75">
      <c r="A1599" s="70">
        <v>83</v>
      </c>
      <c r="B1599" s="70">
        <v>3</v>
      </c>
      <c r="C1599" s="70">
        <v>29</v>
      </c>
      <c r="D1599" s="71" t="s">
        <v>665</v>
      </c>
      <c r="E1599" s="72" t="s">
        <v>829</v>
      </c>
      <c r="F1599" s="73" t="str">
        <f t="shared" si="140"/>
        <v>830329</v>
      </c>
      <c r="G1599" s="72" t="str">
        <f t="shared" si="141"/>
        <v>830329</v>
      </c>
      <c r="H1599" s="74" t="s">
        <v>5136</v>
      </c>
    </row>
    <row r="1600" spans="1:8" ht="18.75">
      <c r="A1600" s="70">
        <v>83</v>
      </c>
      <c r="B1600" s="70">
        <v>3</v>
      </c>
      <c r="C1600" s="70">
        <v>31</v>
      </c>
      <c r="D1600" s="71" t="s">
        <v>666</v>
      </c>
      <c r="E1600" s="72" t="s">
        <v>829</v>
      </c>
      <c r="F1600" s="73" t="str">
        <f t="shared" si="140"/>
        <v>830331</v>
      </c>
      <c r="G1600" s="72" t="str">
        <f t="shared" si="141"/>
        <v>830331</v>
      </c>
      <c r="H1600" s="74" t="s">
        <v>5137</v>
      </c>
    </row>
    <row r="1601" spans="1:8" ht="18.75">
      <c r="A1601" s="70">
        <v>83</v>
      </c>
      <c r="B1601" s="70">
        <v>3</v>
      </c>
      <c r="C1601" s="70">
        <v>32</v>
      </c>
      <c r="D1601" s="71" t="s">
        <v>3557</v>
      </c>
      <c r="E1601" s="72" t="s">
        <v>829</v>
      </c>
      <c r="F1601" s="73" t="str">
        <f t="shared" si="140"/>
        <v>830332</v>
      </c>
      <c r="G1601" s="72" t="str">
        <f t="shared" si="141"/>
        <v>830332</v>
      </c>
      <c r="H1601" s="74" t="s">
        <v>5138</v>
      </c>
    </row>
    <row r="1602" spans="1:8" ht="18.75">
      <c r="A1602" s="70">
        <v>83</v>
      </c>
      <c r="B1602" s="70">
        <v>3</v>
      </c>
      <c r="C1602" s="70">
        <v>33</v>
      </c>
      <c r="D1602" s="71" t="s">
        <v>3623</v>
      </c>
      <c r="E1602" s="72" t="s">
        <v>829</v>
      </c>
      <c r="F1602" s="73" t="str">
        <f t="shared" si="140"/>
        <v>830333</v>
      </c>
      <c r="G1602" s="72" t="str">
        <f t="shared" si="141"/>
        <v>830333</v>
      </c>
      <c r="H1602" s="74" t="s">
        <v>5139</v>
      </c>
    </row>
    <row r="1603" spans="1:8" ht="18.75">
      <c r="A1603" s="70">
        <v>83</v>
      </c>
      <c r="B1603" s="70">
        <v>3</v>
      </c>
      <c r="C1603" s="70">
        <v>34</v>
      </c>
      <c r="D1603" s="71" t="s">
        <v>3621</v>
      </c>
      <c r="E1603" s="72" t="s">
        <v>829</v>
      </c>
      <c r="F1603" s="73" t="str">
        <f t="shared" si="140"/>
        <v>830334</v>
      </c>
      <c r="G1603" s="72" t="str">
        <f t="shared" si="141"/>
        <v>830334</v>
      </c>
      <c r="H1603" s="74" t="s">
        <v>5140</v>
      </c>
    </row>
    <row r="1604" spans="1:8" ht="18.75">
      <c r="A1604" s="70">
        <v>83</v>
      </c>
      <c r="B1604" s="70">
        <v>3</v>
      </c>
      <c r="C1604" s="70">
        <v>35</v>
      </c>
      <c r="D1604" s="71" t="s">
        <v>3622</v>
      </c>
      <c r="E1604" s="72" t="s">
        <v>829</v>
      </c>
      <c r="F1604" s="73" t="str">
        <f t="shared" si="140"/>
        <v>830335</v>
      </c>
      <c r="G1604" s="72" t="str">
        <f t="shared" si="141"/>
        <v>830335</v>
      </c>
      <c r="H1604" s="74" t="s">
        <v>5141</v>
      </c>
    </row>
    <row r="1605" spans="1:8" ht="18.75">
      <c r="A1605" s="70">
        <v>83</v>
      </c>
      <c r="B1605" s="70">
        <v>3</v>
      </c>
      <c r="C1605" s="70">
        <v>36</v>
      </c>
      <c r="D1605" s="71" t="s">
        <v>3773</v>
      </c>
      <c r="E1605" s="72" t="s">
        <v>829</v>
      </c>
      <c r="F1605" s="73" t="str">
        <f t="shared" si="140"/>
        <v>830336</v>
      </c>
      <c r="G1605" s="72" t="str">
        <f t="shared" si="141"/>
        <v>830336</v>
      </c>
      <c r="H1605" s="74" t="s">
        <v>5142</v>
      </c>
    </row>
    <row r="1606" spans="1:8" ht="18.75">
      <c r="A1606" s="70">
        <v>83</v>
      </c>
      <c r="B1606" s="70">
        <v>3</v>
      </c>
      <c r="C1606" s="70">
        <v>37</v>
      </c>
      <c r="D1606" s="71" t="s">
        <v>5143</v>
      </c>
      <c r="E1606" s="72" t="s">
        <v>829</v>
      </c>
      <c r="F1606" s="73" t="str">
        <f t="shared" si="140"/>
        <v>830337</v>
      </c>
      <c r="G1606" s="72" t="str">
        <f t="shared" si="141"/>
        <v>830337</v>
      </c>
      <c r="H1606" s="74" t="s">
        <v>5144</v>
      </c>
    </row>
    <row r="1607" spans="1:8" ht="18.75">
      <c r="A1607" s="70">
        <v>83</v>
      </c>
      <c r="B1607" s="70">
        <v>3</v>
      </c>
      <c r="C1607" s="70">
        <v>38</v>
      </c>
      <c r="D1607" s="71" t="s">
        <v>5907</v>
      </c>
      <c r="E1607" s="72" t="s">
        <v>829</v>
      </c>
      <c r="F1607" s="73" t="str">
        <f t="shared" si="140"/>
        <v>830338</v>
      </c>
      <c r="G1607" s="72" t="str">
        <f t="shared" si="141"/>
        <v>830338</v>
      </c>
      <c r="H1607" s="74" t="s">
        <v>5908</v>
      </c>
    </row>
    <row r="1608" spans="1:8" ht="18.75">
      <c r="A1608" s="62">
        <v>84</v>
      </c>
      <c r="B1608" s="62">
        <v>0</v>
      </c>
      <c r="C1608" s="62">
        <v>0</v>
      </c>
      <c r="D1608" s="63" t="s">
        <v>2913</v>
      </c>
      <c r="E1608" s="64"/>
      <c r="F1608" s="75"/>
      <c r="G1608" s="76"/>
      <c r="H1608" s="77"/>
    </row>
    <row r="1609" spans="1:8" ht="18.75">
      <c r="A1609" s="66">
        <v>84</v>
      </c>
      <c r="B1609" s="66">
        <v>1</v>
      </c>
      <c r="C1609" s="66">
        <v>0</v>
      </c>
      <c r="D1609" s="67" t="s">
        <v>2979</v>
      </c>
      <c r="E1609" s="68"/>
      <c r="F1609" s="78"/>
      <c r="G1609" s="79"/>
      <c r="H1609" s="80"/>
    </row>
    <row r="1610" spans="1:8" ht="18.75">
      <c r="A1610" s="70">
        <v>84</v>
      </c>
      <c r="B1610" s="70">
        <v>1</v>
      </c>
      <c r="C1610" s="70">
        <v>1</v>
      </c>
      <c r="D1610" s="71" t="s">
        <v>263</v>
      </c>
      <c r="E1610" s="72" t="s">
        <v>829</v>
      </c>
      <c r="F1610" s="73" t="str">
        <f>TEXT(A1610,"00")&amp;TEXT(B1610,"00")&amp;TEXT(C1610,"00")</f>
        <v>840101</v>
      </c>
      <c r="G1610" s="72" t="str">
        <f>TEXT(F1610,"000000")</f>
        <v>840101</v>
      </c>
      <c r="H1610" s="74" t="s">
        <v>5145</v>
      </c>
    </row>
    <row r="1611" spans="1:8" ht="18.75">
      <c r="A1611" s="66">
        <v>84</v>
      </c>
      <c r="B1611" s="66">
        <v>2</v>
      </c>
      <c r="C1611" s="66">
        <v>0</v>
      </c>
      <c r="D1611" s="67" t="s">
        <v>3588</v>
      </c>
      <c r="E1611" s="68"/>
      <c r="F1611" s="78"/>
      <c r="G1611" s="79"/>
      <c r="H1611" s="80"/>
    </row>
    <row r="1612" spans="1:8" ht="18.75">
      <c r="A1612" s="70">
        <v>84</v>
      </c>
      <c r="B1612" s="70">
        <v>2</v>
      </c>
      <c r="C1612" s="70">
        <v>11</v>
      </c>
      <c r="D1612" s="71" t="s">
        <v>3589</v>
      </c>
      <c r="E1612" s="72" t="s">
        <v>4406</v>
      </c>
      <c r="F1612" s="73" t="str">
        <f t="shared" ref="F1612:F1621" si="142">TEXT(A1612,"00")&amp;TEXT(B1612,"00")&amp;TEXT(C1612,"00")</f>
        <v>840211</v>
      </c>
      <c r="G1612" s="72" t="str">
        <f t="shared" ref="G1612:G1621" si="143">TEXT(F1612,"000000")</f>
        <v>840211</v>
      </c>
      <c r="H1612" s="74" t="s">
        <v>5146</v>
      </c>
    </row>
    <row r="1613" spans="1:8" ht="18.75">
      <c r="A1613" s="70">
        <v>84</v>
      </c>
      <c r="B1613" s="70">
        <v>2</v>
      </c>
      <c r="C1613" s="70">
        <v>12</v>
      </c>
      <c r="D1613" s="71" t="s">
        <v>3590</v>
      </c>
      <c r="E1613" s="72" t="s">
        <v>4406</v>
      </c>
      <c r="F1613" s="73" t="str">
        <f t="shared" si="142"/>
        <v>840212</v>
      </c>
      <c r="G1613" s="72" t="str">
        <f t="shared" si="143"/>
        <v>840212</v>
      </c>
      <c r="H1613" s="74" t="s">
        <v>5147</v>
      </c>
    </row>
    <row r="1614" spans="1:8" ht="18.75">
      <c r="A1614" s="70">
        <v>84</v>
      </c>
      <c r="B1614" s="70">
        <v>2</v>
      </c>
      <c r="C1614" s="70">
        <v>13</v>
      </c>
      <c r="D1614" s="71" t="s">
        <v>3592</v>
      </c>
      <c r="E1614" s="72" t="s">
        <v>4406</v>
      </c>
      <c r="F1614" s="73" t="str">
        <f t="shared" si="142"/>
        <v>840213</v>
      </c>
      <c r="G1614" s="72" t="str">
        <f t="shared" si="143"/>
        <v>840213</v>
      </c>
      <c r="H1614" s="74" t="s">
        <v>5148</v>
      </c>
    </row>
    <row r="1615" spans="1:8" ht="18.75">
      <c r="A1615" s="70">
        <v>84</v>
      </c>
      <c r="B1615" s="70">
        <v>2</v>
      </c>
      <c r="C1615" s="70">
        <v>14</v>
      </c>
      <c r="D1615" s="71" t="s">
        <v>3591</v>
      </c>
      <c r="E1615" s="72" t="s">
        <v>4406</v>
      </c>
      <c r="F1615" s="73" t="str">
        <f t="shared" si="142"/>
        <v>840214</v>
      </c>
      <c r="G1615" s="72" t="str">
        <f t="shared" si="143"/>
        <v>840214</v>
      </c>
      <c r="H1615" s="74" t="s">
        <v>5149</v>
      </c>
    </row>
    <row r="1616" spans="1:8" ht="18.75">
      <c r="A1616" s="70">
        <v>84</v>
      </c>
      <c r="B1616" s="70">
        <v>2</v>
      </c>
      <c r="C1616" s="70">
        <v>15</v>
      </c>
      <c r="D1616" s="71" t="s">
        <v>3593</v>
      </c>
      <c r="E1616" s="72" t="s">
        <v>4727</v>
      </c>
      <c r="F1616" s="73" t="str">
        <f t="shared" si="142"/>
        <v>840215</v>
      </c>
      <c r="G1616" s="72" t="str">
        <f t="shared" si="143"/>
        <v>840215</v>
      </c>
      <c r="H1616" s="74" t="s">
        <v>5150</v>
      </c>
    </row>
    <row r="1617" spans="1:8" ht="18.75">
      <c r="A1617" s="70">
        <v>84</v>
      </c>
      <c r="B1617" s="70">
        <v>2</v>
      </c>
      <c r="C1617" s="70">
        <v>16</v>
      </c>
      <c r="D1617" s="71" t="s">
        <v>3594</v>
      </c>
      <c r="E1617" s="72" t="s">
        <v>4727</v>
      </c>
      <c r="F1617" s="73" t="str">
        <f t="shared" si="142"/>
        <v>840216</v>
      </c>
      <c r="G1617" s="72" t="str">
        <f t="shared" si="143"/>
        <v>840216</v>
      </c>
      <c r="H1617" s="74" t="s">
        <v>5151</v>
      </c>
    </row>
    <row r="1618" spans="1:8" ht="18.75">
      <c r="A1618" s="70">
        <v>84</v>
      </c>
      <c r="B1618" s="70">
        <v>2</v>
      </c>
      <c r="C1618" s="70">
        <v>17</v>
      </c>
      <c r="D1618" s="71" t="s">
        <v>3596</v>
      </c>
      <c r="E1618" s="72" t="s">
        <v>4727</v>
      </c>
      <c r="F1618" s="73" t="str">
        <f t="shared" si="142"/>
        <v>840217</v>
      </c>
      <c r="G1618" s="72" t="str">
        <f t="shared" si="143"/>
        <v>840217</v>
      </c>
      <c r="H1618" s="74" t="s">
        <v>5152</v>
      </c>
    </row>
    <row r="1619" spans="1:8" ht="18.75">
      <c r="A1619" s="70">
        <v>84</v>
      </c>
      <c r="B1619" s="70">
        <v>2</v>
      </c>
      <c r="C1619" s="70">
        <v>18</v>
      </c>
      <c r="D1619" s="71" t="s">
        <v>3595</v>
      </c>
      <c r="E1619" s="72" t="s">
        <v>4727</v>
      </c>
      <c r="F1619" s="73" t="str">
        <f t="shared" si="142"/>
        <v>840218</v>
      </c>
      <c r="G1619" s="72" t="str">
        <f t="shared" si="143"/>
        <v>840218</v>
      </c>
      <c r="H1619" s="74" t="s">
        <v>5153</v>
      </c>
    </row>
    <row r="1620" spans="1:8" ht="18.75">
      <c r="A1620" s="70">
        <v>84</v>
      </c>
      <c r="B1620" s="70">
        <v>2</v>
      </c>
      <c r="C1620" s="70">
        <v>19</v>
      </c>
      <c r="D1620" s="71" t="s">
        <v>6036</v>
      </c>
      <c r="E1620" s="72" t="s">
        <v>4406</v>
      </c>
      <c r="F1620" s="73" t="str">
        <f t="shared" si="142"/>
        <v>840219</v>
      </c>
      <c r="G1620" s="72" t="str">
        <f t="shared" si="143"/>
        <v>840219</v>
      </c>
      <c r="H1620" s="74" t="s">
        <v>6037</v>
      </c>
    </row>
    <row r="1621" spans="1:8" ht="18.75">
      <c r="A1621" s="70">
        <v>84</v>
      </c>
      <c r="B1621" s="70">
        <v>2</v>
      </c>
      <c r="C1621" s="70">
        <v>20</v>
      </c>
      <c r="D1621" s="71" t="s">
        <v>6038</v>
      </c>
      <c r="E1621" s="72" t="s">
        <v>4727</v>
      </c>
      <c r="F1621" s="73" t="str">
        <f t="shared" si="142"/>
        <v>840220</v>
      </c>
      <c r="G1621" s="72" t="str">
        <f t="shared" si="143"/>
        <v>840220</v>
      </c>
      <c r="H1621" s="74" t="s">
        <v>6039</v>
      </c>
    </row>
    <row r="1622" spans="1:8" ht="18.75">
      <c r="A1622" s="66">
        <v>84</v>
      </c>
      <c r="B1622" s="66">
        <v>3</v>
      </c>
      <c r="C1622" s="66">
        <v>0</v>
      </c>
      <c r="D1622" s="67" t="s">
        <v>5445</v>
      </c>
      <c r="E1622" s="68"/>
      <c r="F1622" s="78"/>
      <c r="G1622" s="79"/>
      <c r="H1622" s="80"/>
    </row>
    <row r="1623" spans="1:8" ht="18.75">
      <c r="A1623" s="70">
        <v>84</v>
      </c>
      <c r="B1623" s="70">
        <v>3</v>
      </c>
      <c r="C1623" s="70">
        <v>10</v>
      </c>
      <c r="D1623" s="71" t="s">
        <v>5446</v>
      </c>
      <c r="E1623" s="72" t="s">
        <v>4406</v>
      </c>
      <c r="F1623" s="73" t="str">
        <f t="shared" ref="F1623:F1628" si="144">TEXT(A1623,"00")&amp;TEXT(B1623,"00")&amp;TEXT(C1623,"00")</f>
        <v>840310</v>
      </c>
      <c r="G1623" s="72" t="str">
        <f t="shared" ref="G1623:G1628" si="145">TEXT(F1623,"000000")</f>
        <v>840310</v>
      </c>
      <c r="H1623" s="74" t="s">
        <v>5657</v>
      </c>
    </row>
    <row r="1624" spans="1:8" ht="18.75">
      <c r="A1624" s="70">
        <v>84</v>
      </c>
      <c r="B1624" s="70">
        <v>3</v>
      </c>
      <c r="C1624" s="70">
        <v>11</v>
      </c>
      <c r="D1624" s="71" t="s">
        <v>5447</v>
      </c>
      <c r="E1624" s="72" t="s">
        <v>4406</v>
      </c>
      <c r="F1624" s="73" t="str">
        <f t="shared" si="144"/>
        <v>840311</v>
      </c>
      <c r="G1624" s="72" t="str">
        <f t="shared" si="145"/>
        <v>840311</v>
      </c>
      <c r="H1624" s="74" t="s">
        <v>5658</v>
      </c>
    </row>
    <row r="1625" spans="1:8" ht="18.75">
      <c r="A1625" s="70">
        <v>84</v>
      </c>
      <c r="B1625" s="70">
        <v>3</v>
      </c>
      <c r="C1625" s="70">
        <v>12</v>
      </c>
      <c r="D1625" s="71" t="s">
        <v>5448</v>
      </c>
      <c r="E1625" s="72" t="s">
        <v>4406</v>
      </c>
      <c r="F1625" s="73" t="str">
        <f t="shared" si="144"/>
        <v>840312</v>
      </c>
      <c r="G1625" s="72" t="str">
        <f t="shared" si="145"/>
        <v>840312</v>
      </c>
      <c r="H1625" s="74" t="s">
        <v>5659</v>
      </c>
    </row>
    <row r="1626" spans="1:8" ht="18.75">
      <c r="A1626" s="70">
        <v>84</v>
      </c>
      <c r="B1626" s="70">
        <v>3</v>
      </c>
      <c r="C1626" s="70">
        <v>13</v>
      </c>
      <c r="D1626" s="71" t="s">
        <v>5449</v>
      </c>
      <c r="E1626" s="72" t="s">
        <v>4727</v>
      </c>
      <c r="F1626" s="73" t="str">
        <f t="shared" si="144"/>
        <v>840313</v>
      </c>
      <c r="G1626" s="72" t="str">
        <f t="shared" si="145"/>
        <v>840313</v>
      </c>
      <c r="H1626" s="74" t="s">
        <v>5660</v>
      </c>
    </row>
    <row r="1627" spans="1:8" ht="18.75">
      <c r="A1627" s="70">
        <v>84</v>
      </c>
      <c r="B1627" s="70">
        <v>3</v>
      </c>
      <c r="C1627" s="70">
        <v>14</v>
      </c>
      <c r="D1627" s="71" t="s">
        <v>5450</v>
      </c>
      <c r="E1627" s="72" t="s">
        <v>4727</v>
      </c>
      <c r="F1627" s="73" t="str">
        <f t="shared" si="144"/>
        <v>840314</v>
      </c>
      <c r="G1627" s="72" t="str">
        <f t="shared" si="145"/>
        <v>840314</v>
      </c>
      <c r="H1627" s="74" t="s">
        <v>5661</v>
      </c>
    </row>
    <row r="1628" spans="1:8" ht="18.75">
      <c r="A1628" s="70">
        <v>84</v>
      </c>
      <c r="B1628" s="70">
        <v>3</v>
      </c>
      <c r="C1628" s="70">
        <v>15</v>
      </c>
      <c r="D1628" s="71" t="s">
        <v>5451</v>
      </c>
      <c r="E1628" s="72" t="s">
        <v>4727</v>
      </c>
      <c r="F1628" s="73" t="str">
        <f t="shared" si="144"/>
        <v>840315</v>
      </c>
      <c r="G1628" s="72" t="str">
        <f t="shared" si="145"/>
        <v>840315</v>
      </c>
      <c r="H1628" s="74" t="s">
        <v>5662</v>
      </c>
    </row>
    <row r="1629" spans="1:8" ht="18.75">
      <c r="A1629" s="62">
        <v>85</v>
      </c>
      <c r="B1629" s="62">
        <v>0</v>
      </c>
      <c r="C1629" s="62">
        <v>0</v>
      </c>
      <c r="D1629" s="63" t="s">
        <v>2914</v>
      </c>
      <c r="E1629" s="64"/>
      <c r="F1629" s="75"/>
      <c r="G1629" s="76"/>
      <c r="H1629" s="77"/>
    </row>
    <row r="1630" spans="1:8" ht="18.75">
      <c r="A1630" s="66">
        <v>85</v>
      </c>
      <c r="B1630" s="66">
        <v>1</v>
      </c>
      <c r="C1630" s="66">
        <v>0</v>
      </c>
      <c r="D1630" s="67" t="s">
        <v>3011</v>
      </c>
      <c r="E1630" s="68"/>
      <c r="F1630" s="78"/>
      <c r="G1630" s="79"/>
      <c r="H1630" s="80"/>
    </row>
    <row r="1631" spans="1:8" ht="18.75">
      <c r="A1631" s="70">
        <v>85</v>
      </c>
      <c r="B1631" s="70">
        <v>1</v>
      </c>
      <c r="C1631" s="70">
        <v>10</v>
      </c>
      <c r="D1631" s="71" t="s">
        <v>3490</v>
      </c>
      <c r="E1631" s="72" t="s">
        <v>829</v>
      </c>
      <c r="F1631" s="73" t="str">
        <f>TEXT(A1631,"00")&amp;TEXT(B1631,"00")&amp;TEXT(C1631,"00")</f>
        <v>850110</v>
      </c>
      <c r="G1631" s="72" t="str">
        <f>TEXT(F1631,"000000")</f>
        <v>850110</v>
      </c>
      <c r="H1631" s="74" t="s">
        <v>5154</v>
      </c>
    </row>
    <row r="1632" spans="1:8" ht="18.75">
      <c r="A1632" s="70">
        <v>85</v>
      </c>
      <c r="B1632" s="70">
        <v>1</v>
      </c>
      <c r="C1632" s="70">
        <v>11</v>
      </c>
      <c r="D1632" s="71" t="s">
        <v>3492</v>
      </c>
      <c r="E1632" s="72" t="s">
        <v>829</v>
      </c>
      <c r="F1632" s="73" t="str">
        <f>TEXT(A1632,"00")&amp;TEXT(B1632,"00")&amp;TEXT(C1632,"00")</f>
        <v>850111</v>
      </c>
      <c r="G1632" s="72" t="str">
        <f>TEXT(F1632,"000000")</f>
        <v>850111</v>
      </c>
      <c r="H1632" s="74" t="s">
        <v>5155</v>
      </c>
    </row>
    <row r="1633" spans="1:8" ht="18.75">
      <c r="A1633" s="70">
        <v>85</v>
      </c>
      <c r="B1633" s="70">
        <v>1</v>
      </c>
      <c r="C1633" s="70">
        <v>12</v>
      </c>
      <c r="D1633" s="71" t="s">
        <v>3491</v>
      </c>
      <c r="E1633" s="72" t="s">
        <v>829</v>
      </c>
      <c r="F1633" s="73" t="str">
        <f>TEXT(A1633,"00")&amp;TEXT(B1633,"00")&amp;TEXT(C1633,"00")</f>
        <v>850112</v>
      </c>
      <c r="G1633" s="72" t="str">
        <f>TEXT(F1633,"000000")</f>
        <v>850112</v>
      </c>
      <c r="H1633" s="74" t="s">
        <v>5156</v>
      </c>
    </row>
    <row r="1634" spans="1:8" ht="18.75">
      <c r="A1634" s="70">
        <v>85</v>
      </c>
      <c r="B1634" s="70">
        <v>1</v>
      </c>
      <c r="C1634" s="70">
        <v>13</v>
      </c>
      <c r="D1634" s="71" t="s">
        <v>3493</v>
      </c>
      <c r="E1634" s="72" t="s">
        <v>829</v>
      </c>
      <c r="F1634" s="73" t="str">
        <f>TEXT(A1634,"00")&amp;TEXT(B1634,"00")&amp;TEXT(C1634,"00")</f>
        <v>850113</v>
      </c>
      <c r="G1634" s="72" t="str">
        <f>TEXT(F1634,"000000")</f>
        <v>850113</v>
      </c>
      <c r="H1634" s="74" t="s">
        <v>5157</v>
      </c>
    </row>
    <row r="1635" spans="1:8" ht="18.75">
      <c r="A1635" s="70">
        <v>85</v>
      </c>
      <c r="B1635" s="70">
        <v>1</v>
      </c>
      <c r="C1635" s="70">
        <v>14</v>
      </c>
      <c r="D1635" s="71" t="s">
        <v>5158</v>
      </c>
      <c r="E1635" s="72" t="s">
        <v>829</v>
      </c>
      <c r="F1635" s="73" t="str">
        <f>TEXT(A1635,"00")&amp;TEXT(B1635,"00")&amp;TEXT(C1635,"00")</f>
        <v>850114</v>
      </c>
      <c r="G1635" s="72" t="str">
        <f>TEXT(F1635,"000000")</f>
        <v>850114</v>
      </c>
      <c r="H1635" s="74" t="s">
        <v>5663</v>
      </c>
    </row>
    <row r="1636" spans="1:8" ht="18.75">
      <c r="A1636" s="66">
        <v>85</v>
      </c>
      <c r="B1636" s="66">
        <v>2</v>
      </c>
      <c r="C1636" s="66">
        <v>0</v>
      </c>
      <c r="D1636" s="67" t="s">
        <v>3012</v>
      </c>
      <c r="E1636" s="68"/>
      <c r="F1636" s="78"/>
      <c r="G1636" s="79"/>
      <c r="H1636" s="80"/>
    </row>
    <row r="1637" spans="1:8" ht="18.75">
      <c r="A1637" s="70">
        <v>85</v>
      </c>
      <c r="B1637" s="70">
        <v>2</v>
      </c>
      <c r="C1637" s="70">
        <v>11</v>
      </c>
      <c r="D1637" s="71" t="s">
        <v>3494</v>
      </c>
      <c r="E1637" s="72" t="s">
        <v>829</v>
      </c>
      <c r="F1637" s="73" t="str">
        <f>TEXT(A1637,"00")&amp;TEXT(B1637,"00")&amp;TEXT(C1637,"00")</f>
        <v>850211</v>
      </c>
      <c r="G1637" s="72" t="str">
        <f>TEXT(F1637,"000000")</f>
        <v>850211</v>
      </c>
      <c r="H1637" s="74" t="s">
        <v>5159</v>
      </c>
    </row>
    <row r="1638" spans="1:8" ht="18.75">
      <c r="A1638" s="70">
        <v>85</v>
      </c>
      <c r="B1638" s="70">
        <v>2</v>
      </c>
      <c r="C1638" s="70">
        <v>21</v>
      </c>
      <c r="D1638" s="71" t="s">
        <v>2774</v>
      </c>
      <c r="E1638" s="72" t="s">
        <v>829</v>
      </c>
      <c r="F1638" s="73" t="str">
        <f>TEXT(A1638,"00")&amp;TEXT(B1638,"00")&amp;TEXT(C1638,"00")</f>
        <v>850221</v>
      </c>
      <c r="G1638" s="72" t="str">
        <f>TEXT(F1638,"000000")</f>
        <v>850221</v>
      </c>
      <c r="H1638" s="74" t="s">
        <v>5160</v>
      </c>
    </row>
    <row r="1639" spans="1:8" ht="18.75">
      <c r="A1639" s="62">
        <v>86</v>
      </c>
      <c r="B1639" s="62">
        <v>0</v>
      </c>
      <c r="C1639" s="62">
        <v>0</v>
      </c>
      <c r="D1639" s="63" t="s">
        <v>2915</v>
      </c>
      <c r="E1639" s="64"/>
      <c r="F1639" s="75"/>
      <c r="G1639" s="76"/>
      <c r="H1639" s="77"/>
    </row>
    <row r="1640" spans="1:8" ht="18.75">
      <c r="A1640" s="66">
        <v>86</v>
      </c>
      <c r="B1640" s="66">
        <v>1</v>
      </c>
      <c r="C1640" s="66">
        <v>0</v>
      </c>
      <c r="D1640" s="67" t="s">
        <v>2954</v>
      </c>
      <c r="E1640" s="68"/>
      <c r="F1640" s="78"/>
      <c r="G1640" s="79"/>
      <c r="H1640" s="80"/>
    </row>
    <row r="1641" spans="1:8" ht="18.75">
      <c r="A1641" s="70">
        <v>86</v>
      </c>
      <c r="B1641" s="70">
        <v>1</v>
      </c>
      <c r="C1641" s="70">
        <v>11</v>
      </c>
      <c r="D1641" s="71" t="s">
        <v>165</v>
      </c>
      <c r="E1641" s="72" t="s">
        <v>4489</v>
      </c>
      <c r="F1641" s="73" t="str">
        <f>TEXT(A1641,"00")&amp;TEXT(B1641,"00")&amp;TEXT(C1641,"00")</f>
        <v>860111</v>
      </c>
      <c r="G1641" s="72" t="str">
        <f>TEXT(F1641,"000000")</f>
        <v>860111</v>
      </c>
      <c r="H1641" s="74" t="s">
        <v>5161</v>
      </c>
    </row>
    <row r="1642" spans="1:8" ht="18.75">
      <c r="A1642" s="70">
        <v>86</v>
      </c>
      <c r="B1642" s="70">
        <v>1</v>
      </c>
      <c r="C1642" s="70">
        <v>12</v>
      </c>
      <c r="D1642" s="71" t="s">
        <v>3433</v>
      </c>
      <c r="E1642" s="72" t="s">
        <v>829</v>
      </c>
      <c r="F1642" s="73" t="str">
        <f>TEXT(A1642,"00")&amp;TEXT(B1642,"00")&amp;TEXT(C1642,"00")</f>
        <v>860112</v>
      </c>
      <c r="G1642" s="72" t="str">
        <f>TEXT(F1642,"000000")</f>
        <v>860112</v>
      </c>
      <c r="H1642" s="74" t="s">
        <v>5162</v>
      </c>
    </row>
    <row r="1643" spans="1:8" ht="18.75">
      <c r="A1643" s="70">
        <v>86</v>
      </c>
      <c r="B1643" s="70">
        <v>1</v>
      </c>
      <c r="C1643" s="70">
        <v>13</v>
      </c>
      <c r="D1643" s="71" t="s">
        <v>3462</v>
      </c>
      <c r="E1643" s="72" t="s">
        <v>829</v>
      </c>
      <c r="F1643" s="73" t="str">
        <f>TEXT(A1643,"00")&amp;TEXT(B1643,"00")&amp;TEXT(C1643,"00")</f>
        <v>860113</v>
      </c>
      <c r="G1643" s="72" t="str">
        <f>TEXT(F1643,"000000")</f>
        <v>860113</v>
      </c>
      <c r="H1643" s="74" t="s">
        <v>5163</v>
      </c>
    </row>
    <row r="1644" spans="1:8" ht="18.75">
      <c r="A1644" s="70">
        <v>86</v>
      </c>
      <c r="B1644" s="70">
        <v>1</v>
      </c>
      <c r="C1644" s="70">
        <v>14</v>
      </c>
      <c r="D1644" s="71" t="s">
        <v>349</v>
      </c>
      <c r="E1644" s="72" t="s">
        <v>829</v>
      </c>
      <c r="F1644" s="73" t="str">
        <f>TEXT(A1644,"00")&amp;TEXT(B1644,"00")&amp;TEXT(C1644,"00")</f>
        <v>860114</v>
      </c>
      <c r="G1644" s="72" t="str">
        <f>TEXT(F1644,"000000")</f>
        <v>860114</v>
      </c>
      <c r="H1644" s="74" t="s">
        <v>5164</v>
      </c>
    </row>
    <row r="1645" spans="1:8" ht="18.75">
      <c r="A1645" s="70">
        <v>86</v>
      </c>
      <c r="B1645" s="70">
        <v>1</v>
      </c>
      <c r="C1645" s="70">
        <v>15</v>
      </c>
      <c r="D1645" s="71" t="s">
        <v>6040</v>
      </c>
      <c r="E1645" s="72" t="s">
        <v>829</v>
      </c>
      <c r="F1645" s="73" t="str">
        <f>TEXT(A1645,"00")&amp;TEXT(B1645,"00")&amp;TEXT(C1645,"00")</f>
        <v>860115</v>
      </c>
      <c r="G1645" s="72" t="str">
        <f>TEXT(F1645,"000000")</f>
        <v>860115</v>
      </c>
      <c r="H1645" s="74" t="s">
        <v>6041</v>
      </c>
    </row>
    <row r="1646" spans="1:8" ht="18.75">
      <c r="A1646" s="66">
        <v>86</v>
      </c>
      <c r="B1646" s="66">
        <v>2</v>
      </c>
      <c r="C1646" s="66">
        <v>0</v>
      </c>
      <c r="D1646" s="67" t="s">
        <v>2955</v>
      </c>
      <c r="E1646" s="68"/>
      <c r="F1646" s="78"/>
      <c r="G1646" s="79"/>
      <c r="H1646" s="80"/>
    </row>
    <row r="1647" spans="1:8" ht="18.75">
      <c r="A1647" s="70">
        <v>86</v>
      </c>
      <c r="B1647" s="70">
        <v>2</v>
      </c>
      <c r="C1647" s="70">
        <v>11</v>
      </c>
      <c r="D1647" s="71" t="s">
        <v>171</v>
      </c>
      <c r="E1647" s="72" t="s">
        <v>829</v>
      </c>
      <c r="F1647" s="73" t="str">
        <f t="shared" ref="F1647:F1668" si="146">TEXT(A1647,"00")&amp;TEXT(B1647,"00")&amp;TEXT(C1647,"00")</f>
        <v>860211</v>
      </c>
      <c r="G1647" s="72" t="str">
        <f t="shared" ref="G1647:G1668" si="147">TEXT(F1647,"000000")</f>
        <v>860211</v>
      </c>
      <c r="H1647" s="74" t="s">
        <v>5165</v>
      </c>
    </row>
    <row r="1648" spans="1:8" ht="18.75">
      <c r="A1648" s="70">
        <v>86</v>
      </c>
      <c r="B1648" s="70">
        <v>2</v>
      </c>
      <c r="C1648" s="70">
        <v>13</v>
      </c>
      <c r="D1648" s="71" t="s">
        <v>5664</v>
      </c>
      <c r="E1648" s="72" t="s">
        <v>829</v>
      </c>
      <c r="F1648" s="73" t="str">
        <f t="shared" si="146"/>
        <v>860213</v>
      </c>
      <c r="G1648" s="72" t="str">
        <f t="shared" si="147"/>
        <v>860213</v>
      </c>
      <c r="H1648" s="74" t="s">
        <v>5166</v>
      </c>
    </row>
    <row r="1649" spans="1:8" ht="18.75">
      <c r="A1649" s="70">
        <v>86</v>
      </c>
      <c r="B1649" s="70">
        <v>2</v>
      </c>
      <c r="C1649" s="70">
        <v>14</v>
      </c>
      <c r="D1649" s="71" t="s">
        <v>269</v>
      </c>
      <c r="E1649" s="72" t="s">
        <v>4489</v>
      </c>
      <c r="F1649" s="73" t="str">
        <f t="shared" si="146"/>
        <v>860214</v>
      </c>
      <c r="G1649" s="72" t="str">
        <f t="shared" si="147"/>
        <v>860214</v>
      </c>
      <c r="H1649" s="74" t="s">
        <v>5167</v>
      </c>
    </row>
    <row r="1650" spans="1:8" ht="18.75">
      <c r="A1650" s="70">
        <v>86</v>
      </c>
      <c r="B1650" s="70">
        <v>2</v>
      </c>
      <c r="C1650" s="70">
        <v>15</v>
      </c>
      <c r="D1650" s="71" t="s">
        <v>94</v>
      </c>
      <c r="E1650" s="72" t="s">
        <v>829</v>
      </c>
      <c r="F1650" s="73" t="str">
        <f t="shared" si="146"/>
        <v>860215</v>
      </c>
      <c r="G1650" s="72" t="str">
        <f t="shared" si="147"/>
        <v>860215</v>
      </c>
      <c r="H1650" s="74" t="s">
        <v>5665</v>
      </c>
    </row>
    <row r="1651" spans="1:8" ht="18.75">
      <c r="A1651" s="70">
        <v>86</v>
      </c>
      <c r="B1651" s="70">
        <v>2</v>
      </c>
      <c r="C1651" s="70">
        <v>41</v>
      </c>
      <c r="D1651" s="71" t="s">
        <v>6042</v>
      </c>
      <c r="E1651" s="72" t="s">
        <v>4489</v>
      </c>
      <c r="F1651" s="73" t="str">
        <f t="shared" si="146"/>
        <v>860241</v>
      </c>
      <c r="G1651" s="72" t="str">
        <f t="shared" si="147"/>
        <v>860241</v>
      </c>
      <c r="H1651" s="74" t="s">
        <v>5168</v>
      </c>
    </row>
    <row r="1652" spans="1:8" ht="18.75">
      <c r="A1652" s="70">
        <v>86</v>
      </c>
      <c r="B1652" s="70">
        <v>2</v>
      </c>
      <c r="C1652" s="70">
        <v>42</v>
      </c>
      <c r="D1652" s="71" t="s">
        <v>6043</v>
      </c>
      <c r="E1652" s="72" t="s">
        <v>4489</v>
      </c>
      <c r="F1652" s="73" t="str">
        <f t="shared" si="146"/>
        <v>860242</v>
      </c>
      <c r="G1652" s="72" t="str">
        <f t="shared" si="147"/>
        <v>860242</v>
      </c>
      <c r="H1652" s="74" t="s">
        <v>5169</v>
      </c>
    </row>
    <row r="1653" spans="1:8" ht="18.75">
      <c r="A1653" s="70">
        <v>86</v>
      </c>
      <c r="B1653" s="70">
        <v>2</v>
      </c>
      <c r="C1653" s="70">
        <v>51</v>
      </c>
      <c r="D1653" s="71" t="s">
        <v>95</v>
      </c>
      <c r="E1653" s="72" t="s">
        <v>4489</v>
      </c>
      <c r="F1653" s="73" t="str">
        <f t="shared" si="146"/>
        <v>860251</v>
      </c>
      <c r="G1653" s="72" t="str">
        <f t="shared" si="147"/>
        <v>860251</v>
      </c>
      <c r="H1653" s="74" t="s">
        <v>5170</v>
      </c>
    </row>
    <row r="1654" spans="1:8" ht="18.75">
      <c r="A1654" s="70">
        <v>86</v>
      </c>
      <c r="B1654" s="70">
        <v>2</v>
      </c>
      <c r="C1654" s="70">
        <v>52</v>
      </c>
      <c r="D1654" s="71" t="s">
        <v>96</v>
      </c>
      <c r="E1654" s="72" t="s">
        <v>4489</v>
      </c>
      <c r="F1654" s="73" t="str">
        <f t="shared" si="146"/>
        <v>860252</v>
      </c>
      <c r="G1654" s="72" t="str">
        <f t="shared" si="147"/>
        <v>860252</v>
      </c>
      <c r="H1654" s="74" t="s">
        <v>5171</v>
      </c>
    </row>
    <row r="1655" spans="1:8" ht="18.75">
      <c r="A1655" s="70">
        <v>86</v>
      </c>
      <c r="B1655" s="70">
        <v>2</v>
      </c>
      <c r="C1655" s="70">
        <v>61</v>
      </c>
      <c r="D1655" s="71" t="s">
        <v>178</v>
      </c>
      <c r="E1655" s="72" t="s">
        <v>4489</v>
      </c>
      <c r="F1655" s="73" t="str">
        <f t="shared" si="146"/>
        <v>860261</v>
      </c>
      <c r="G1655" s="72" t="str">
        <f t="shared" si="147"/>
        <v>860261</v>
      </c>
      <c r="H1655" s="74" t="s">
        <v>5666</v>
      </c>
    </row>
    <row r="1656" spans="1:8" ht="18.75">
      <c r="A1656" s="70">
        <v>86</v>
      </c>
      <c r="B1656" s="70">
        <v>2</v>
      </c>
      <c r="C1656" s="70">
        <v>62</v>
      </c>
      <c r="D1656" s="71" t="s">
        <v>5667</v>
      </c>
      <c r="E1656" s="72" t="s">
        <v>829</v>
      </c>
      <c r="F1656" s="73" t="str">
        <f t="shared" si="146"/>
        <v>860262</v>
      </c>
      <c r="G1656" s="72" t="str">
        <f t="shared" si="147"/>
        <v>860262</v>
      </c>
      <c r="H1656" s="74" t="s">
        <v>5172</v>
      </c>
    </row>
    <row r="1657" spans="1:8" ht="18.75">
      <c r="A1657" s="70">
        <v>86</v>
      </c>
      <c r="B1657" s="70">
        <v>2</v>
      </c>
      <c r="C1657" s="70">
        <v>63</v>
      </c>
      <c r="D1657" s="71" t="s">
        <v>5668</v>
      </c>
      <c r="E1657" s="72" t="s">
        <v>829</v>
      </c>
      <c r="F1657" s="73" t="str">
        <f t="shared" si="146"/>
        <v>860263</v>
      </c>
      <c r="G1657" s="72" t="str">
        <f t="shared" si="147"/>
        <v>860263</v>
      </c>
      <c r="H1657" s="74" t="s">
        <v>5173</v>
      </c>
    </row>
    <row r="1658" spans="1:8" ht="18.75">
      <c r="A1658" s="70">
        <v>86</v>
      </c>
      <c r="B1658" s="70">
        <v>2</v>
      </c>
      <c r="C1658" s="70">
        <v>71</v>
      </c>
      <c r="D1658" s="71" t="s">
        <v>3474</v>
      </c>
      <c r="E1658" s="72" t="s">
        <v>829</v>
      </c>
      <c r="F1658" s="73" t="str">
        <f t="shared" si="146"/>
        <v>860271</v>
      </c>
      <c r="G1658" s="72" t="str">
        <f t="shared" si="147"/>
        <v>860271</v>
      </c>
      <c r="H1658" s="74" t="s">
        <v>5174</v>
      </c>
    </row>
    <row r="1659" spans="1:8" ht="18.75">
      <c r="A1659" s="70">
        <v>86</v>
      </c>
      <c r="B1659" s="70">
        <v>2</v>
      </c>
      <c r="C1659" s="70">
        <v>72</v>
      </c>
      <c r="D1659" s="71" t="s">
        <v>3687</v>
      </c>
      <c r="E1659" s="72" t="s">
        <v>829</v>
      </c>
      <c r="F1659" s="73" t="str">
        <f t="shared" si="146"/>
        <v>860272</v>
      </c>
      <c r="G1659" s="72" t="str">
        <f t="shared" si="147"/>
        <v>860272</v>
      </c>
      <c r="H1659" s="74" t="s">
        <v>5175</v>
      </c>
    </row>
    <row r="1660" spans="1:8" ht="18.75">
      <c r="A1660" s="70">
        <v>86</v>
      </c>
      <c r="B1660" s="70">
        <v>2</v>
      </c>
      <c r="C1660" s="70">
        <v>73</v>
      </c>
      <c r="D1660" s="71" t="s">
        <v>5772</v>
      </c>
      <c r="E1660" s="72" t="s">
        <v>829</v>
      </c>
      <c r="F1660" s="73" t="str">
        <f t="shared" si="146"/>
        <v>860273</v>
      </c>
      <c r="G1660" s="72" t="str">
        <f t="shared" si="147"/>
        <v>860273</v>
      </c>
      <c r="H1660" s="74" t="s">
        <v>5176</v>
      </c>
    </row>
    <row r="1661" spans="1:8" ht="18.75">
      <c r="A1661" s="70">
        <v>86</v>
      </c>
      <c r="B1661" s="70">
        <v>2</v>
      </c>
      <c r="C1661" s="70">
        <v>74</v>
      </c>
      <c r="D1661" s="71" t="s">
        <v>5177</v>
      </c>
      <c r="E1661" s="72" t="s">
        <v>829</v>
      </c>
      <c r="F1661" s="73" t="str">
        <f t="shared" si="146"/>
        <v>860274</v>
      </c>
      <c r="G1661" s="72" t="str">
        <f t="shared" si="147"/>
        <v>860274</v>
      </c>
      <c r="H1661" s="74" t="s">
        <v>5178</v>
      </c>
    </row>
    <row r="1662" spans="1:8" ht="18.75">
      <c r="A1662" s="70">
        <v>86</v>
      </c>
      <c r="B1662" s="70">
        <v>2</v>
      </c>
      <c r="C1662" s="70">
        <v>75</v>
      </c>
      <c r="D1662" s="71" t="s">
        <v>5179</v>
      </c>
      <c r="E1662" s="72" t="s">
        <v>829</v>
      </c>
      <c r="F1662" s="73" t="str">
        <f t="shared" si="146"/>
        <v>860275</v>
      </c>
      <c r="G1662" s="72" t="str">
        <f t="shared" si="147"/>
        <v>860275</v>
      </c>
      <c r="H1662" s="74" t="s">
        <v>5180</v>
      </c>
    </row>
    <row r="1663" spans="1:8" ht="18.75">
      <c r="A1663" s="70">
        <v>86</v>
      </c>
      <c r="B1663" s="70">
        <v>2</v>
      </c>
      <c r="C1663" s="70">
        <v>76</v>
      </c>
      <c r="D1663" s="71" t="s">
        <v>5181</v>
      </c>
      <c r="E1663" s="72" t="s">
        <v>829</v>
      </c>
      <c r="F1663" s="73" t="str">
        <f t="shared" si="146"/>
        <v>860276</v>
      </c>
      <c r="G1663" s="72" t="str">
        <f t="shared" si="147"/>
        <v>860276</v>
      </c>
      <c r="H1663" s="74" t="s">
        <v>5669</v>
      </c>
    </row>
    <row r="1664" spans="1:8" ht="18.75">
      <c r="A1664" s="70">
        <v>86</v>
      </c>
      <c r="B1664" s="70">
        <v>2</v>
      </c>
      <c r="C1664" s="70">
        <v>77</v>
      </c>
      <c r="D1664" s="71" t="s">
        <v>6044</v>
      </c>
      <c r="E1664" s="72" t="s">
        <v>829</v>
      </c>
      <c r="F1664" s="73" t="str">
        <f t="shared" si="146"/>
        <v>860277</v>
      </c>
      <c r="G1664" s="72" t="str">
        <f t="shared" si="147"/>
        <v>860277</v>
      </c>
      <c r="H1664" s="74" t="s">
        <v>5670</v>
      </c>
    </row>
    <row r="1665" spans="1:8" ht="18.75">
      <c r="A1665" s="70">
        <v>86</v>
      </c>
      <c r="B1665" s="70">
        <v>2</v>
      </c>
      <c r="C1665" s="70">
        <v>78</v>
      </c>
      <c r="D1665" s="71" t="s">
        <v>5909</v>
      </c>
      <c r="E1665" s="72" t="s">
        <v>829</v>
      </c>
      <c r="F1665" s="73" t="str">
        <f t="shared" si="146"/>
        <v>860278</v>
      </c>
      <c r="G1665" s="72" t="str">
        <f t="shared" si="147"/>
        <v>860278</v>
      </c>
      <c r="H1665" s="74" t="s">
        <v>5910</v>
      </c>
    </row>
    <row r="1666" spans="1:8" ht="18.75">
      <c r="A1666" s="70">
        <v>86</v>
      </c>
      <c r="B1666" s="70">
        <v>2</v>
      </c>
      <c r="C1666" s="70">
        <v>79</v>
      </c>
      <c r="D1666" s="71" t="s">
        <v>6045</v>
      </c>
      <c r="E1666" s="72" t="s">
        <v>829</v>
      </c>
      <c r="F1666" s="73" t="str">
        <f t="shared" si="146"/>
        <v>860279</v>
      </c>
      <c r="G1666" s="72" t="str">
        <f t="shared" si="147"/>
        <v>860279</v>
      </c>
      <c r="H1666" s="74" t="s">
        <v>6046</v>
      </c>
    </row>
    <row r="1667" spans="1:8" ht="18.75">
      <c r="A1667" s="70">
        <v>86</v>
      </c>
      <c r="B1667" s="70">
        <v>2</v>
      </c>
      <c r="C1667" s="70">
        <v>80</v>
      </c>
      <c r="D1667" s="71" t="s">
        <v>6047</v>
      </c>
      <c r="E1667" s="72" t="s">
        <v>829</v>
      </c>
      <c r="F1667" s="73" t="str">
        <f t="shared" si="146"/>
        <v>860280</v>
      </c>
      <c r="G1667" s="72" t="str">
        <f t="shared" si="147"/>
        <v>860280</v>
      </c>
      <c r="H1667" s="74" t="s">
        <v>6048</v>
      </c>
    </row>
    <row r="1668" spans="1:8" ht="18.75">
      <c r="A1668" s="70">
        <v>86</v>
      </c>
      <c r="B1668" s="70">
        <v>2</v>
      </c>
      <c r="C1668" s="70">
        <v>12</v>
      </c>
      <c r="D1668" s="71" t="s">
        <v>6049</v>
      </c>
      <c r="E1668" s="72" t="s">
        <v>829</v>
      </c>
      <c r="F1668" s="73" t="str">
        <f t="shared" si="146"/>
        <v>860212</v>
      </c>
      <c r="G1668" s="72" t="str">
        <f t="shared" si="147"/>
        <v>860212</v>
      </c>
      <c r="H1668" s="74" t="s">
        <v>6050</v>
      </c>
    </row>
    <row r="1669" spans="1:8" ht="18.75">
      <c r="A1669" s="66">
        <v>86</v>
      </c>
      <c r="B1669" s="66">
        <v>3</v>
      </c>
      <c r="C1669" s="66">
        <v>0</v>
      </c>
      <c r="D1669" s="67" t="s">
        <v>2956</v>
      </c>
      <c r="E1669" s="68"/>
      <c r="F1669" s="78"/>
      <c r="G1669" s="79"/>
      <c r="H1669" s="80"/>
    </row>
    <row r="1670" spans="1:8" ht="18.75">
      <c r="A1670" s="70">
        <v>86</v>
      </c>
      <c r="B1670" s="70">
        <v>3</v>
      </c>
      <c r="C1670" s="70">
        <v>11</v>
      </c>
      <c r="D1670" s="71" t="s">
        <v>265</v>
      </c>
      <c r="E1670" s="72" t="s">
        <v>829</v>
      </c>
      <c r="F1670" s="73" t="str">
        <f>TEXT(A1670,"00")&amp;TEXT(B1670,"00")&amp;TEXT(C1670,"00")</f>
        <v>860311</v>
      </c>
      <c r="G1670" s="72" t="str">
        <f>TEXT(F1670,"000000")</f>
        <v>860311</v>
      </c>
      <c r="H1670" s="74" t="s">
        <v>5182</v>
      </c>
    </row>
    <row r="1671" spans="1:8" ht="18.75">
      <c r="A1671" s="70">
        <v>86</v>
      </c>
      <c r="B1671" s="70">
        <v>3</v>
      </c>
      <c r="C1671" s="70">
        <v>21</v>
      </c>
      <c r="D1671" s="71" t="s">
        <v>3497</v>
      </c>
      <c r="E1671" s="72" t="s">
        <v>829</v>
      </c>
      <c r="F1671" s="73" t="str">
        <f>TEXT(A1671,"00")&amp;TEXT(B1671,"00")&amp;TEXT(C1671,"00")</f>
        <v>860321</v>
      </c>
      <c r="G1671" s="72" t="str">
        <f>TEXT(F1671,"000000")</f>
        <v>860321</v>
      </c>
      <c r="H1671" s="74" t="s">
        <v>5183</v>
      </c>
    </row>
    <row r="1672" spans="1:8" ht="18.75">
      <c r="A1672" s="70">
        <v>86</v>
      </c>
      <c r="B1672" s="70">
        <v>3</v>
      </c>
      <c r="C1672" s="70">
        <v>31</v>
      </c>
      <c r="D1672" s="71" t="s">
        <v>5671</v>
      </c>
      <c r="E1672" s="72" t="s">
        <v>829</v>
      </c>
      <c r="F1672" s="73" t="str">
        <f>TEXT(A1672,"00")&amp;TEXT(B1672,"00")&amp;TEXT(C1672,"00")</f>
        <v>860331</v>
      </c>
      <c r="G1672" s="72" t="str">
        <f>TEXT(F1672,"000000")</f>
        <v>860331</v>
      </c>
      <c r="H1672" s="74" t="s">
        <v>5184</v>
      </c>
    </row>
    <row r="1673" spans="1:8" ht="18.75">
      <c r="A1673" s="70">
        <v>86</v>
      </c>
      <c r="B1673" s="70">
        <v>3</v>
      </c>
      <c r="C1673" s="70">
        <v>51</v>
      </c>
      <c r="D1673" s="71" t="s">
        <v>270</v>
      </c>
      <c r="E1673" s="72" t="s">
        <v>829</v>
      </c>
      <c r="F1673" s="73" t="str">
        <f>TEXT(A1673,"00")&amp;TEXT(B1673,"00")&amp;TEXT(C1673,"00")</f>
        <v>860351</v>
      </c>
      <c r="G1673" s="72" t="str">
        <f>TEXT(F1673,"000000")</f>
        <v>860351</v>
      </c>
      <c r="H1673" s="74" t="s">
        <v>5185</v>
      </c>
    </row>
    <row r="1674" spans="1:8" ht="18.75">
      <c r="A1674" s="66">
        <v>86</v>
      </c>
      <c r="B1674" s="66">
        <v>4</v>
      </c>
      <c r="C1674" s="66">
        <v>0</v>
      </c>
      <c r="D1674" s="67" t="s">
        <v>3010</v>
      </c>
      <c r="E1674" s="68"/>
      <c r="F1674" s="78"/>
      <c r="G1674" s="79"/>
      <c r="H1674" s="80"/>
    </row>
    <row r="1675" spans="1:8" ht="18.75">
      <c r="A1675" s="70">
        <v>86</v>
      </c>
      <c r="B1675" s="70">
        <v>4</v>
      </c>
      <c r="C1675" s="70">
        <v>15</v>
      </c>
      <c r="D1675" s="71" t="s">
        <v>176</v>
      </c>
      <c r="E1675" s="72" t="s">
        <v>829</v>
      </c>
      <c r="F1675" s="73" t="str">
        <f t="shared" ref="F1675:F1685" si="148">TEXT(A1675,"00")&amp;TEXT(B1675,"00")&amp;TEXT(C1675,"00")</f>
        <v>860415</v>
      </c>
      <c r="G1675" s="72" t="str">
        <f t="shared" ref="G1675:G1685" si="149">TEXT(F1675,"000000")</f>
        <v>860415</v>
      </c>
      <c r="H1675" s="74" t="s">
        <v>5186</v>
      </c>
    </row>
    <row r="1676" spans="1:8" ht="18.75">
      <c r="A1676" s="70">
        <v>86</v>
      </c>
      <c r="B1676" s="70">
        <v>4</v>
      </c>
      <c r="C1676" s="70">
        <v>21</v>
      </c>
      <c r="D1676" s="71" t="s">
        <v>3688</v>
      </c>
      <c r="E1676" s="72" t="s">
        <v>829</v>
      </c>
      <c r="F1676" s="73" t="str">
        <f t="shared" si="148"/>
        <v>860421</v>
      </c>
      <c r="G1676" s="72" t="str">
        <f t="shared" si="149"/>
        <v>860421</v>
      </c>
      <c r="H1676" s="74" t="s">
        <v>5187</v>
      </c>
    </row>
    <row r="1677" spans="1:8" ht="18.75">
      <c r="A1677" s="70">
        <v>86</v>
      </c>
      <c r="B1677" s="70">
        <v>4</v>
      </c>
      <c r="C1677" s="70">
        <v>22</v>
      </c>
      <c r="D1677" s="71" t="s">
        <v>3689</v>
      </c>
      <c r="E1677" s="72" t="s">
        <v>829</v>
      </c>
      <c r="F1677" s="73" t="str">
        <f t="shared" si="148"/>
        <v>860422</v>
      </c>
      <c r="G1677" s="72" t="str">
        <f t="shared" si="149"/>
        <v>860422</v>
      </c>
      <c r="H1677" s="74" t="s">
        <v>5188</v>
      </c>
    </row>
    <row r="1678" spans="1:8" ht="18.75">
      <c r="A1678" s="70">
        <v>86</v>
      </c>
      <c r="B1678" s="70">
        <v>4</v>
      </c>
      <c r="C1678" s="70">
        <v>31</v>
      </c>
      <c r="D1678" s="71" t="s">
        <v>183</v>
      </c>
      <c r="E1678" s="72" t="s">
        <v>829</v>
      </c>
      <c r="F1678" s="73" t="str">
        <f t="shared" si="148"/>
        <v>860431</v>
      </c>
      <c r="G1678" s="72" t="str">
        <f t="shared" si="149"/>
        <v>860431</v>
      </c>
      <c r="H1678" s="74" t="s">
        <v>5189</v>
      </c>
    </row>
    <row r="1679" spans="1:8" ht="18.75">
      <c r="A1679" s="70">
        <v>86</v>
      </c>
      <c r="B1679" s="70">
        <v>4</v>
      </c>
      <c r="C1679" s="70">
        <v>41</v>
      </c>
      <c r="D1679" s="71" t="s">
        <v>3495</v>
      </c>
      <c r="E1679" s="72" t="s">
        <v>829</v>
      </c>
      <c r="F1679" s="73" t="str">
        <f t="shared" si="148"/>
        <v>860441</v>
      </c>
      <c r="G1679" s="72" t="str">
        <f t="shared" si="149"/>
        <v>860441</v>
      </c>
      <c r="H1679" s="74" t="s">
        <v>5190</v>
      </c>
    </row>
    <row r="1680" spans="1:8" ht="18.75">
      <c r="A1680" s="70">
        <v>86</v>
      </c>
      <c r="B1680" s="70">
        <v>4</v>
      </c>
      <c r="C1680" s="70">
        <v>42</v>
      </c>
      <c r="D1680" s="71" t="s">
        <v>3496</v>
      </c>
      <c r="E1680" s="72" t="s">
        <v>829</v>
      </c>
      <c r="F1680" s="73" t="str">
        <f t="shared" si="148"/>
        <v>860442</v>
      </c>
      <c r="G1680" s="72" t="str">
        <f t="shared" si="149"/>
        <v>860442</v>
      </c>
      <c r="H1680" s="74" t="s">
        <v>5191</v>
      </c>
    </row>
    <row r="1681" spans="1:8" ht="18.75">
      <c r="A1681" s="70">
        <v>86</v>
      </c>
      <c r="B1681" s="70">
        <v>4</v>
      </c>
      <c r="C1681" s="70">
        <v>51</v>
      </c>
      <c r="D1681" s="71" t="s">
        <v>5672</v>
      </c>
      <c r="E1681" s="72" t="s">
        <v>829</v>
      </c>
      <c r="F1681" s="73" t="str">
        <f t="shared" si="148"/>
        <v>860451</v>
      </c>
      <c r="G1681" s="72" t="str">
        <f t="shared" si="149"/>
        <v>860451</v>
      </c>
      <c r="H1681" s="74" t="s">
        <v>5192</v>
      </c>
    </row>
    <row r="1682" spans="1:8" ht="18.75">
      <c r="A1682" s="70">
        <v>86</v>
      </c>
      <c r="B1682" s="70">
        <v>4</v>
      </c>
      <c r="C1682" s="70">
        <v>52</v>
      </c>
      <c r="D1682" s="71" t="s">
        <v>5673</v>
      </c>
      <c r="E1682" s="72" t="s">
        <v>829</v>
      </c>
      <c r="F1682" s="73" t="str">
        <f t="shared" si="148"/>
        <v>860452</v>
      </c>
      <c r="G1682" s="72" t="str">
        <f t="shared" si="149"/>
        <v>860452</v>
      </c>
      <c r="H1682" s="74" t="s">
        <v>5193</v>
      </c>
    </row>
    <row r="1683" spans="1:8" ht="18.75">
      <c r="A1683" s="70">
        <v>86</v>
      </c>
      <c r="B1683" s="70">
        <v>4</v>
      </c>
      <c r="C1683" s="70">
        <v>53</v>
      </c>
      <c r="D1683" s="71" t="s">
        <v>5674</v>
      </c>
      <c r="E1683" s="72" t="s">
        <v>829</v>
      </c>
      <c r="F1683" s="73" t="str">
        <f t="shared" si="148"/>
        <v>860453</v>
      </c>
      <c r="G1683" s="72" t="str">
        <f t="shared" si="149"/>
        <v>860453</v>
      </c>
      <c r="H1683" s="74" t="s">
        <v>5194</v>
      </c>
    </row>
    <row r="1684" spans="1:8" ht="18.75">
      <c r="A1684" s="70">
        <v>86</v>
      </c>
      <c r="B1684" s="70">
        <v>4</v>
      </c>
      <c r="C1684" s="70">
        <v>54</v>
      </c>
      <c r="D1684" s="71" t="s">
        <v>5675</v>
      </c>
      <c r="E1684" s="72" t="s">
        <v>829</v>
      </c>
      <c r="F1684" s="73" t="str">
        <f t="shared" si="148"/>
        <v>860454</v>
      </c>
      <c r="G1684" s="72" t="str">
        <f t="shared" si="149"/>
        <v>860454</v>
      </c>
      <c r="H1684" s="74" t="s">
        <v>5195</v>
      </c>
    </row>
    <row r="1685" spans="1:8" ht="18.75">
      <c r="A1685" s="70">
        <v>86</v>
      </c>
      <c r="B1685" s="70">
        <v>4</v>
      </c>
      <c r="C1685" s="70">
        <v>55</v>
      </c>
      <c r="D1685" s="71" t="s">
        <v>5676</v>
      </c>
      <c r="E1685" s="72" t="s">
        <v>829</v>
      </c>
      <c r="F1685" s="73" t="str">
        <f t="shared" si="148"/>
        <v>860455</v>
      </c>
      <c r="G1685" s="72" t="str">
        <f t="shared" si="149"/>
        <v>860455</v>
      </c>
      <c r="H1685" s="74" t="s">
        <v>5196</v>
      </c>
    </row>
    <row r="1686" spans="1:8" ht="18.75">
      <c r="A1686" s="62">
        <v>87</v>
      </c>
      <c r="B1686" s="62">
        <v>0</v>
      </c>
      <c r="C1686" s="62">
        <v>0</v>
      </c>
      <c r="D1686" s="63" t="s">
        <v>2917</v>
      </c>
      <c r="E1686" s="64"/>
      <c r="F1686" s="75"/>
      <c r="G1686" s="76"/>
      <c r="H1686" s="77"/>
    </row>
    <row r="1687" spans="1:8" ht="18.75">
      <c r="A1687" s="66">
        <v>87</v>
      </c>
      <c r="B1687" s="66">
        <v>1</v>
      </c>
      <c r="C1687" s="66">
        <v>0</v>
      </c>
      <c r="D1687" s="67" t="s">
        <v>2917</v>
      </c>
      <c r="E1687" s="68"/>
      <c r="F1687" s="78"/>
      <c r="G1687" s="79"/>
      <c r="H1687" s="80"/>
    </row>
    <row r="1688" spans="1:8" ht="18.75">
      <c r="A1688" s="70">
        <v>87</v>
      </c>
      <c r="B1688" s="70">
        <v>1</v>
      </c>
      <c r="C1688" s="70">
        <v>11</v>
      </c>
      <c r="D1688" s="71" t="s">
        <v>189</v>
      </c>
      <c r="E1688" s="72" t="s">
        <v>4406</v>
      </c>
      <c r="F1688" s="73" t="str">
        <f t="shared" ref="F1688:F1705" si="150">TEXT(A1688,"00")&amp;TEXT(B1688,"00")&amp;TEXT(C1688,"00")</f>
        <v>870111</v>
      </c>
      <c r="G1688" s="72" t="str">
        <f t="shared" ref="G1688:G1705" si="151">TEXT(F1688,"000000")</f>
        <v>870111</v>
      </c>
      <c r="H1688" s="74" t="s">
        <v>5197</v>
      </c>
    </row>
    <row r="1689" spans="1:8" ht="18.75">
      <c r="A1689" s="70">
        <v>87</v>
      </c>
      <c r="B1689" s="70">
        <v>1</v>
      </c>
      <c r="C1689" s="70">
        <v>12</v>
      </c>
      <c r="D1689" s="71" t="s">
        <v>5198</v>
      </c>
      <c r="E1689" s="72" t="s">
        <v>829</v>
      </c>
      <c r="F1689" s="73" t="str">
        <f t="shared" si="150"/>
        <v>870112</v>
      </c>
      <c r="G1689" s="72" t="str">
        <f t="shared" si="151"/>
        <v>870112</v>
      </c>
      <c r="H1689" s="74" t="s">
        <v>5199</v>
      </c>
    </row>
    <row r="1690" spans="1:8" ht="18.75">
      <c r="A1690" s="70">
        <v>87</v>
      </c>
      <c r="B1690" s="70">
        <v>1</v>
      </c>
      <c r="C1690" s="70">
        <v>13</v>
      </c>
      <c r="D1690" s="71" t="s">
        <v>5200</v>
      </c>
      <c r="E1690" s="72" t="s">
        <v>829</v>
      </c>
      <c r="F1690" s="73" t="str">
        <f t="shared" si="150"/>
        <v>870113</v>
      </c>
      <c r="G1690" s="72" t="str">
        <f t="shared" si="151"/>
        <v>870113</v>
      </c>
      <c r="H1690" s="74" t="s">
        <v>5201</v>
      </c>
    </row>
    <row r="1691" spans="1:8" ht="18.75">
      <c r="A1691" s="70">
        <v>87</v>
      </c>
      <c r="B1691" s="70">
        <v>1</v>
      </c>
      <c r="C1691" s="70">
        <v>14</v>
      </c>
      <c r="D1691" s="71" t="s">
        <v>5202</v>
      </c>
      <c r="E1691" s="72" t="s">
        <v>829</v>
      </c>
      <c r="F1691" s="73" t="str">
        <f t="shared" si="150"/>
        <v>870114</v>
      </c>
      <c r="G1691" s="72" t="str">
        <f t="shared" si="151"/>
        <v>870114</v>
      </c>
      <c r="H1691" s="74" t="s">
        <v>5203</v>
      </c>
    </row>
    <row r="1692" spans="1:8" ht="18.75">
      <c r="A1692" s="70">
        <v>87</v>
      </c>
      <c r="B1692" s="70">
        <v>1</v>
      </c>
      <c r="C1692" s="70">
        <v>15</v>
      </c>
      <c r="D1692" s="71" t="s">
        <v>5204</v>
      </c>
      <c r="E1692" s="72" t="s">
        <v>829</v>
      </c>
      <c r="F1692" s="73" t="str">
        <f t="shared" si="150"/>
        <v>870115</v>
      </c>
      <c r="G1692" s="72" t="str">
        <f t="shared" si="151"/>
        <v>870115</v>
      </c>
      <c r="H1692" s="74" t="s">
        <v>5205</v>
      </c>
    </row>
    <row r="1693" spans="1:8" ht="18.75">
      <c r="A1693" s="70">
        <v>87</v>
      </c>
      <c r="B1693" s="70">
        <v>1</v>
      </c>
      <c r="C1693" s="70">
        <v>16</v>
      </c>
      <c r="D1693" s="71" t="s">
        <v>5206</v>
      </c>
      <c r="E1693" s="72" t="s">
        <v>829</v>
      </c>
      <c r="F1693" s="73" t="str">
        <f t="shared" si="150"/>
        <v>870116</v>
      </c>
      <c r="G1693" s="72" t="str">
        <f t="shared" si="151"/>
        <v>870116</v>
      </c>
      <c r="H1693" s="74" t="s">
        <v>5207</v>
      </c>
    </row>
    <row r="1694" spans="1:8" ht="18.75">
      <c r="A1694" s="70">
        <v>87</v>
      </c>
      <c r="B1694" s="70">
        <v>1</v>
      </c>
      <c r="C1694" s="70">
        <v>17</v>
      </c>
      <c r="D1694" s="71" t="s">
        <v>5208</v>
      </c>
      <c r="E1694" s="72" t="s">
        <v>829</v>
      </c>
      <c r="F1694" s="73" t="str">
        <f t="shared" si="150"/>
        <v>870117</v>
      </c>
      <c r="G1694" s="72" t="str">
        <f t="shared" si="151"/>
        <v>870117</v>
      </c>
      <c r="H1694" s="74" t="s">
        <v>5209</v>
      </c>
    </row>
    <row r="1695" spans="1:8" ht="18.75">
      <c r="A1695" s="70">
        <v>87</v>
      </c>
      <c r="B1695" s="70">
        <v>1</v>
      </c>
      <c r="C1695" s="70">
        <v>18</v>
      </c>
      <c r="D1695" s="71" t="s">
        <v>5210</v>
      </c>
      <c r="E1695" s="72" t="s">
        <v>829</v>
      </c>
      <c r="F1695" s="73" t="str">
        <f t="shared" si="150"/>
        <v>870118</v>
      </c>
      <c r="G1695" s="72" t="str">
        <f t="shared" si="151"/>
        <v>870118</v>
      </c>
      <c r="H1695" s="74" t="s">
        <v>5211</v>
      </c>
    </row>
    <row r="1696" spans="1:8" ht="18.75">
      <c r="A1696" s="70">
        <v>87</v>
      </c>
      <c r="B1696" s="70">
        <v>1</v>
      </c>
      <c r="C1696" s="70">
        <v>19</v>
      </c>
      <c r="D1696" s="71" t="s">
        <v>5212</v>
      </c>
      <c r="E1696" s="72" t="s">
        <v>829</v>
      </c>
      <c r="F1696" s="73" t="str">
        <f t="shared" si="150"/>
        <v>870119</v>
      </c>
      <c r="G1696" s="72" t="str">
        <f t="shared" si="151"/>
        <v>870119</v>
      </c>
      <c r="H1696" s="74" t="s">
        <v>5213</v>
      </c>
    </row>
    <row r="1697" spans="1:8" ht="18.75">
      <c r="A1697" s="70">
        <v>87</v>
      </c>
      <c r="B1697" s="70">
        <v>1</v>
      </c>
      <c r="C1697" s="70">
        <v>20</v>
      </c>
      <c r="D1697" s="71" t="s">
        <v>5214</v>
      </c>
      <c r="E1697" s="72" t="s">
        <v>829</v>
      </c>
      <c r="F1697" s="73" t="str">
        <f t="shared" si="150"/>
        <v>870120</v>
      </c>
      <c r="G1697" s="72" t="str">
        <f t="shared" si="151"/>
        <v>870120</v>
      </c>
      <c r="H1697" s="74" t="s">
        <v>5215</v>
      </c>
    </row>
    <row r="1698" spans="1:8" ht="18.75">
      <c r="A1698" s="70">
        <v>87</v>
      </c>
      <c r="B1698" s="70">
        <v>1</v>
      </c>
      <c r="C1698" s="70">
        <v>21</v>
      </c>
      <c r="D1698" s="71" t="s">
        <v>5216</v>
      </c>
      <c r="E1698" s="72" t="s">
        <v>829</v>
      </c>
      <c r="F1698" s="73" t="str">
        <f t="shared" si="150"/>
        <v>870121</v>
      </c>
      <c r="G1698" s="72" t="str">
        <f t="shared" si="151"/>
        <v>870121</v>
      </c>
      <c r="H1698" s="74" t="s">
        <v>5217</v>
      </c>
    </row>
    <row r="1699" spans="1:8" ht="18.75">
      <c r="A1699" s="70">
        <v>87</v>
      </c>
      <c r="B1699" s="70">
        <v>1</v>
      </c>
      <c r="C1699" s="70">
        <v>22</v>
      </c>
      <c r="D1699" s="71" t="s">
        <v>5218</v>
      </c>
      <c r="E1699" s="72" t="s">
        <v>829</v>
      </c>
      <c r="F1699" s="73" t="str">
        <f t="shared" si="150"/>
        <v>870122</v>
      </c>
      <c r="G1699" s="72" t="str">
        <f t="shared" si="151"/>
        <v>870122</v>
      </c>
      <c r="H1699" s="74" t="s">
        <v>5219</v>
      </c>
    </row>
    <row r="1700" spans="1:8" ht="18.75">
      <c r="A1700" s="70">
        <v>87</v>
      </c>
      <c r="B1700" s="70">
        <v>1</v>
      </c>
      <c r="C1700" s="70">
        <v>23</v>
      </c>
      <c r="D1700" s="71" t="s">
        <v>5220</v>
      </c>
      <c r="E1700" s="72" t="s">
        <v>829</v>
      </c>
      <c r="F1700" s="73" t="str">
        <f t="shared" si="150"/>
        <v>870123</v>
      </c>
      <c r="G1700" s="72" t="str">
        <f t="shared" si="151"/>
        <v>870123</v>
      </c>
      <c r="H1700" s="74" t="s">
        <v>5221</v>
      </c>
    </row>
    <row r="1701" spans="1:8" ht="18.75">
      <c r="A1701" s="70">
        <v>87</v>
      </c>
      <c r="B1701" s="70">
        <v>1</v>
      </c>
      <c r="C1701" s="70">
        <v>24</v>
      </c>
      <c r="D1701" s="71" t="s">
        <v>5222</v>
      </c>
      <c r="E1701" s="72" t="s">
        <v>829</v>
      </c>
      <c r="F1701" s="73" t="str">
        <f t="shared" si="150"/>
        <v>870124</v>
      </c>
      <c r="G1701" s="72" t="str">
        <f t="shared" si="151"/>
        <v>870124</v>
      </c>
      <c r="H1701" s="74" t="s">
        <v>5223</v>
      </c>
    </row>
    <row r="1702" spans="1:8" ht="18.75">
      <c r="A1702" s="70">
        <v>87</v>
      </c>
      <c r="B1702" s="70">
        <v>1</v>
      </c>
      <c r="C1702" s="70">
        <v>25</v>
      </c>
      <c r="D1702" s="71" t="s">
        <v>5224</v>
      </c>
      <c r="E1702" s="72" t="s">
        <v>829</v>
      </c>
      <c r="F1702" s="73" t="str">
        <f t="shared" si="150"/>
        <v>870125</v>
      </c>
      <c r="G1702" s="72" t="str">
        <f t="shared" si="151"/>
        <v>870125</v>
      </c>
      <c r="H1702" s="74" t="s">
        <v>5225</v>
      </c>
    </row>
    <row r="1703" spans="1:8" ht="18.75">
      <c r="A1703" s="70">
        <v>87</v>
      </c>
      <c r="B1703" s="70">
        <v>1</v>
      </c>
      <c r="C1703" s="70">
        <v>26</v>
      </c>
      <c r="D1703" s="71" t="s">
        <v>5226</v>
      </c>
      <c r="E1703" s="72" t="s">
        <v>829</v>
      </c>
      <c r="F1703" s="73" t="str">
        <f t="shared" si="150"/>
        <v>870126</v>
      </c>
      <c r="G1703" s="72" t="str">
        <f t="shared" si="151"/>
        <v>870126</v>
      </c>
      <c r="H1703" s="74" t="s">
        <v>5227</v>
      </c>
    </row>
    <row r="1704" spans="1:8" ht="18.75">
      <c r="A1704" s="70">
        <v>87</v>
      </c>
      <c r="B1704" s="70">
        <v>1</v>
      </c>
      <c r="C1704" s="70">
        <v>27</v>
      </c>
      <c r="D1704" s="71" t="s">
        <v>5228</v>
      </c>
      <c r="E1704" s="72" t="s">
        <v>829</v>
      </c>
      <c r="F1704" s="73" t="str">
        <f t="shared" si="150"/>
        <v>870127</v>
      </c>
      <c r="G1704" s="72" t="str">
        <f t="shared" si="151"/>
        <v>870127</v>
      </c>
      <c r="H1704" s="74" t="s">
        <v>5229</v>
      </c>
    </row>
    <row r="1705" spans="1:8" ht="18.75">
      <c r="A1705" s="70">
        <v>87</v>
      </c>
      <c r="B1705" s="70">
        <v>1</v>
      </c>
      <c r="C1705" s="70">
        <v>28</v>
      </c>
      <c r="D1705" s="71" t="s">
        <v>5230</v>
      </c>
      <c r="E1705" s="72" t="s">
        <v>829</v>
      </c>
      <c r="F1705" s="73" t="str">
        <f t="shared" si="150"/>
        <v>870128</v>
      </c>
      <c r="G1705" s="72" t="str">
        <f t="shared" si="151"/>
        <v>870128</v>
      </c>
      <c r="H1705" s="74" t="s">
        <v>5231</v>
      </c>
    </row>
    <row r="1706" spans="1:8" ht="18.75">
      <c r="A1706" s="62">
        <v>88</v>
      </c>
      <c r="B1706" s="62">
        <v>0</v>
      </c>
      <c r="C1706" s="62">
        <v>0</v>
      </c>
      <c r="D1706" s="63" t="s">
        <v>2918</v>
      </c>
      <c r="E1706" s="64"/>
      <c r="F1706" s="75"/>
      <c r="G1706" s="76"/>
      <c r="H1706" s="77"/>
    </row>
    <row r="1707" spans="1:8" ht="18.75">
      <c r="A1707" s="66">
        <v>88</v>
      </c>
      <c r="B1707" s="66">
        <v>1</v>
      </c>
      <c r="C1707" s="66">
        <v>0</v>
      </c>
      <c r="D1707" s="67" t="s">
        <v>2919</v>
      </c>
      <c r="E1707" s="68"/>
      <c r="F1707" s="78"/>
      <c r="G1707" s="79"/>
      <c r="H1707" s="80"/>
    </row>
    <row r="1708" spans="1:8" ht="18.75">
      <c r="A1708" s="70">
        <v>88</v>
      </c>
      <c r="B1708" s="70">
        <v>1</v>
      </c>
      <c r="C1708" s="70">
        <v>11</v>
      </c>
      <c r="D1708" s="71" t="s">
        <v>445</v>
      </c>
      <c r="E1708" s="72" t="s">
        <v>829</v>
      </c>
      <c r="F1708" s="73" t="str">
        <f>TEXT(A1708,"00")&amp;TEXT(B1708,"00")&amp;TEXT(C1708,"00")</f>
        <v>880111</v>
      </c>
      <c r="G1708" s="72" t="str">
        <f>TEXT(F1708,"000000")</f>
        <v>880111</v>
      </c>
      <c r="H1708" s="74" t="s">
        <v>5232</v>
      </c>
    </row>
    <row r="1709" spans="1:8" ht="18.75">
      <c r="A1709" s="70">
        <v>88</v>
      </c>
      <c r="B1709" s="70">
        <v>1</v>
      </c>
      <c r="C1709" s="70">
        <v>12</v>
      </c>
      <c r="D1709" s="71" t="s">
        <v>3778</v>
      </c>
      <c r="E1709" s="72" t="s">
        <v>829</v>
      </c>
      <c r="F1709" s="73" t="str">
        <f>TEXT(A1709,"00")&amp;TEXT(B1709,"00")&amp;TEXT(C1709,"00")</f>
        <v>880112</v>
      </c>
      <c r="G1709" s="72" t="str">
        <f>TEXT(F1709,"000000")</f>
        <v>880112</v>
      </c>
      <c r="H1709" s="74" t="s">
        <v>5233</v>
      </c>
    </row>
    <row r="1710" spans="1:8" ht="18.75">
      <c r="A1710" s="62">
        <v>90</v>
      </c>
      <c r="B1710" s="62">
        <v>0</v>
      </c>
      <c r="C1710" s="62">
        <v>0</v>
      </c>
      <c r="D1710" s="63" t="s">
        <v>2920</v>
      </c>
      <c r="E1710" s="64"/>
      <c r="F1710" s="75"/>
      <c r="G1710" s="76"/>
      <c r="H1710" s="77"/>
    </row>
    <row r="1711" spans="1:8" ht="18.75">
      <c r="A1711" s="66">
        <v>90</v>
      </c>
      <c r="B1711" s="66">
        <v>1</v>
      </c>
      <c r="C1711" s="66">
        <v>0</v>
      </c>
      <c r="D1711" s="67" t="s">
        <v>2973</v>
      </c>
      <c r="E1711" s="68"/>
      <c r="F1711" s="78"/>
      <c r="G1711" s="79"/>
      <c r="H1711" s="80"/>
    </row>
    <row r="1712" spans="1:8" ht="18.75">
      <c r="A1712" s="70">
        <v>90</v>
      </c>
      <c r="B1712" s="70">
        <v>1</v>
      </c>
      <c r="C1712" s="70">
        <v>11</v>
      </c>
      <c r="D1712" s="71" t="s">
        <v>431</v>
      </c>
      <c r="E1712" s="72" t="s">
        <v>829</v>
      </c>
      <c r="F1712" s="73" t="str">
        <f t="shared" ref="F1712:F1755" si="152">TEXT(A1712,"00")&amp;TEXT(B1712,"00")&amp;TEXT(C1712,"00")</f>
        <v>900111</v>
      </c>
      <c r="G1712" s="72" t="str">
        <f t="shared" ref="G1712:G1755" si="153">TEXT(F1712,"000000")</f>
        <v>900111</v>
      </c>
      <c r="H1712" s="74" t="s">
        <v>5234</v>
      </c>
    </row>
    <row r="1713" spans="1:8" ht="18.75">
      <c r="A1713" s="70">
        <v>90</v>
      </c>
      <c r="B1713" s="70">
        <v>1</v>
      </c>
      <c r="C1713" s="70">
        <v>12</v>
      </c>
      <c r="D1713" s="71" t="s">
        <v>432</v>
      </c>
      <c r="E1713" s="72" t="s">
        <v>829</v>
      </c>
      <c r="F1713" s="73" t="str">
        <f t="shared" si="152"/>
        <v>900112</v>
      </c>
      <c r="G1713" s="72" t="str">
        <f t="shared" si="153"/>
        <v>900112</v>
      </c>
      <c r="H1713" s="74" t="s">
        <v>5235</v>
      </c>
    </row>
    <row r="1714" spans="1:8" ht="18.75">
      <c r="A1714" s="70">
        <v>90</v>
      </c>
      <c r="B1714" s="70">
        <v>1</v>
      </c>
      <c r="C1714" s="70">
        <v>13</v>
      </c>
      <c r="D1714" s="71" t="s">
        <v>433</v>
      </c>
      <c r="E1714" s="72" t="s">
        <v>829</v>
      </c>
      <c r="F1714" s="73" t="str">
        <f t="shared" si="152"/>
        <v>900113</v>
      </c>
      <c r="G1714" s="72" t="str">
        <f t="shared" si="153"/>
        <v>900113</v>
      </c>
      <c r="H1714" s="74" t="s">
        <v>5236</v>
      </c>
    </row>
    <row r="1715" spans="1:8" ht="18.75">
      <c r="A1715" s="70">
        <v>90</v>
      </c>
      <c r="B1715" s="70">
        <v>1</v>
      </c>
      <c r="C1715" s="70">
        <v>14</v>
      </c>
      <c r="D1715" s="71" t="s">
        <v>3434</v>
      </c>
      <c r="E1715" s="72" t="s">
        <v>829</v>
      </c>
      <c r="F1715" s="73" t="str">
        <f t="shared" si="152"/>
        <v>900114</v>
      </c>
      <c r="G1715" s="72" t="str">
        <f t="shared" si="153"/>
        <v>900114</v>
      </c>
      <c r="H1715" s="74" t="s">
        <v>5237</v>
      </c>
    </row>
    <row r="1716" spans="1:8" ht="18.75">
      <c r="A1716" s="70">
        <v>90</v>
      </c>
      <c r="B1716" s="70">
        <v>1</v>
      </c>
      <c r="C1716" s="70">
        <v>15</v>
      </c>
      <c r="D1716" s="71" t="s">
        <v>434</v>
      </c>
      <c r="E1716" s="72" t="s">
        <v>829</v>
      </c>
      <c r="F1716" s="73" t="str">
        <f t="shared" si="152"/>
        <v>900115</v>
      </c>
      <c r="G1716" s="72" t="str">
        <f t="shared" si="153"/>
        <v>900115</v>
      </c>
      <c r="H1716" s="74" t="s">
        <v>5238</v>
      </c>
    </row>
    <row r="1717" spans="1:8" ht="18.75">
      <c r="A1717" s="70">
        <v>90</v>
      </c>
      <c r="B1717" s="70">
        <v>1</v>
      </c>
      <c r="C1717" s="70">
        <v>16</v>
      </c>
      <c r="D1717" s="71" t="s">
        <v>3435</v>
      </c>
      <c r="E1717" s="72" t="s">
        <v>829</v>
      </c>
      <c r="F1717" s="73" t="str">
        <f t="shared" si="152"/>
        <v>900116</v>
      </c>
      <c r="G1717" s="72" t="str">
        <f t="shared" si="153"/>
        <v>900116</v>
      </c>
      <c r="H1717" s="74" t="s">
        <v>5239</v>
      </c>
    </row>
    <row r="1718" spans="1:8" ht="18.75">
      <c r="A1718" s="70">
        <v>90</v>
      </c>
      <c r="B1718" s="70">
        <v>1</v>
      </c>
      <c r="C1718" s="70">
        <v>51</v>
      </c>
      <c r="D1718" s="71" t="s">
        <v>3666</v>
      </c>
      <c r="E1718" s="72" t="s">
        <v>829</v>
      </c>
      <c r="F1718" s="73" t="str">
        <f t="shared" si="152"/>
        <v>900151</v>
      </c>
      <c r="G1718" s="72" t="str">
        <f t="shared" si="153"/>
        <v>900151</v>
      </c>
      <c r="H1718" s="74" t="s">
        <v>5240</v>
      </c>
    </row>
    <row r="1719" spans="1:8" ht="18.75">
      <c r="A1719" s="70">
        <v>90</v>
      </c>
      <c r="B1719" s="70">
        <v>1</v>
      </c>
      <c r="C1719" s="70">
        <v>50</v>
      </c>
      <c r="D1719" s="71" t="s">
        <v>3667</v>
      </c>
      <c r="E1719" s="72" t="s">
        <v>829</v>
      </c>
      <c r="F1719" s="73" t="str">
        <f t="shared" si="152"/>
        <v>900150</v>
      </c>
      <c r="G1719" s="72" t="str">
        <f t="shared" si="153"/>
        <v>900150</v>
      </c>
      <c r="H1719" s="74" t="s">
        <v>5241</v>
      </c>
    </row>
    <row r="1720" spans="1:8" ht="18.75">
      <c r="A1720" s="70">
        <v>90</v>
      </c>
      <c r="B1720" s="70">
        <v>1</v>
      </c>
      <c r="C1720" s="70">
        <v>17</v>
      </c>
      <c r="D1720" s="71" t="s">
        <v>421</v>
      </c>
      <c r="E1720" s="72" t="s">
        <v>829</v>
      </c>
      <c r="F1720" s="73" t="str">
        <f t="shared" si="152"/>
        <v>900117</v>
      </c>
      <c r="G1720" s="72" t="str">
        <f t="shared" si="153"/>
        <v>900117</v>
      </c>
      <c r="H1720" s="74" t="s">
        <v>5242</v>
      </c>
    </row>
    <row r="1721" spans="1:8" ht="18.75">
      <c r="A1721" s="70">
        <v>90</v>
      </c>
      <c r="B1721" s="70">
        <v>1</v>
      </c>
      <c r="C1721" s="70">
        <v>18</v>
      </c>
      <c r="D1721" s="71" t="s">
        <v>422</v>
      </c>
      <c r="E1721" s="72" t="s">
        <v>829</v>
      </c>
      <c r="F1721" s="73" t="str">
        <f t="shared" si="152"/>
        <v>900118</v>
      </c>
      <c r="G1721" s="72" t="str">
        <f t="shared" si="153"/>
        <v>900118</v>
      </c>
      <c r="H1721" s="74" t="s">
        <v>5243</v>
      </c>
    </row>
    <row r="1722" spans="1:8" ht="18.75">
      <c r="A1722" s="70">
        <v>90</v>
      </c>
      <c r="B1722" s="70">
        <v>1</v>
      </c>
      <c r="C1722" s="70">
        <v>19</v>
      </c>
      <c r="D1722" s="71" t="s">
        <v>423</v>
      </c>
      <c r="E1722" s="72" t="s">
        <v>829</v>
      </c>
      <c r="F1722" s="73" t="str">
        <f t="shared" si="152"/>
        <v>900119</v>
      </c>
      <c r="G1722" s="72" t="str">
        <f t="shared" si="153"/>
        <v>900119</v>
      </c>
      <c r="H1722" s="74" t="s">
        <v>5244</v>
      </c>
    </row>
    <row r="1723" spans="1:8" ht="18.75">
      <c r="A1723" s="70">
        <v>90</v>
      </c>
      <c r="B1723" s="70">
        <v>1</v>
      </c>
      <c r="C1723" s="70">
        <v>20</v>
      </c>
      <c r="D1723" s="71" t="s">
        <v>2972</v>
      </c>
      <c r="E1723" s="72" t="s">
        <v>829</v>
      </c>
      <c r="F1723" s="73" t="str">
        <f t="shared" si="152"/>
        <v>900120</v>
      </c>
      <c r="G1723" s="72" t="str">
        <f t="shared" si="153"/>
        <v>900120</v>
      </c>
      <c r="H1723" s="74" t="s">
        <v>5245</v>
      </c>
    </row>
    <row r="1724" spans="1:8" ht="18.75">
      <c r="A1724" s="70">
        <v>90</v>
      </c>
      <c r="B1724" s="70">
        <v>1</v>
      </c>
      <c r="C1724" s="70">
        <v>21</v>
      </c>
      <c r="D1724" s="71" t="s">
        <v>3436</v>
      </c>
      <c r="E1724" s="72" t="s">
        <v>829</v>
      </c>
      <c r="F1724" s="73" t="str">
        <f t="shared" si="152"/>
        <v>900121</v>
      </c>
      <c r="G1724" s="72" t="str">
        <f t="shared" si="153"/>
        <v>900121</v>
      </c>
      <c r="H1724" s="74" t="s">
        <v>5246</v>
      </c>
    </row>
    <row r="1725" spans="1:8" ht="18.75">
      <c r="A1725" s="70">
        <v>90</v>
      </c>
      <c r="B1725" s="70">
        <v>1</v>
      </c>
      <c r="C1725" s="70">
        <v>22</v>
      </c>
      <c r="D1725" s="71" t="s">
        <v>3437</v>
      </c>
      <c r="E1725" s="72" t="s">
        <v>829</v>
      </c>
      <c r="F1725" s="73" t="str">
        <f t="shared" si="152"/>
        <v>900122</v>
      </c>
      <c r="G1725" s="72" t="str">
        <f t="shared" si="153"/>
        <v>900122</v>
      </c>
      <c r="H1725" s="74" t="s">
        <v>5247</v>
      </c>
    </row>
    <row r="1726" spans="1:8" ht="18.75">
      <c r="A1726" s="70">
        <v>90</v>
      </c>
      <c r="B1726" s="70">
        <v>1</v>
      </c>
      <c r="C1726" s="70">
        <v>23</v>
      </c>
      <c r="D1726" s="71" t="s">
        <v>3741</v>
      </c>
      <c r="E1726" s="72" t="s">
        <v>829</v>
      </c>
      <c r="F1726" s="73" t="str">
        <f t="shared" si="152"/>
        <v>900123</v>
      </c>
      <c r="G1726" s="72" t="str">
        <f t="shared" si="153"/>
        <v>900123</v>
      </c>
      <c r="H1726" s="74" t="s">
        <v>5248</v>
      </c>
    </row>
    <row r="1727" spans="1:8" ht="18.75">
      <c r="A1727" s="70">
        <v>90</v>
      </c>
      <c r="B1727" s="70">
        <v>1</v>
      </c>
      <c r="C1727" s="70">
        <v>24</v>
      </c>
      <c r="D1727" s="71" t="s">
        <v>3439</v>
      </c>
      <c r="E1727" s="72" t="s">
        <v>829</v>
      </c>
      <c r="F1727" s="73" t="str">
        <f t="shared" si="152"/>
        <v>900124</v>
      </c>
      <c r="G1727" s="72" t="str">
        <f t="shared" si="153"/>
        <v>900124</v>
      </c>
      <c r="H1727" s="74" t="s">
        <v>5249</v>
      </c>
    </row>
    <row r="1728" spans="1:8" ht="18.75">
      <c r="A1728" s="70">
        <v>90</v>
      </c>
      <c r="B1728" s="70">
        <v>1</v>
      </c>
      <c r="C1728" s="70">
        <v>25</v>
      </c>
      <c r="D1728" s="71" t="s">
        <v>3440</v>
      </c>
      <c r="E1728" s="72" t="s">
        <v>829</v>
      </c>
      <c r="F1728" s="73" t="str">
        <f t="shared" si="152"/>
        <v>900125</v>
      </c>
      <c r="G1728" s="72" t="str">
        <f t="shared" si="153"/>
        <v>900125</v>
      </c>
      <c r="H1728" s="74" t="s">
        <v>5250</v>
      </c>
    </row>
    <row r="1729" spans="1:8" ht="18.75">
      <c r="A1729" s="70">
        <v>90</v>
      </c>
      <c r="B1729" s="70">
        <v>1</v>
      </c>
      <c r="C1729" s="70">
        <v>26</v>
      </c>
      <c r="D1729" s="71" t="s">
        <v>3438</v>
      </c>
      <c r="E1729" s="72" t="s">
        <v>829</v>
      </c>
      <c r="F1729" s="73" t="str">
        <f t="shared" si="152"/>
        <v>900126</v>
      </c>
      <c r="G1729" s="72" t="str">
        <f t="shared" si="153"/>
        <v>900126</v>
      </c>
      <c r="H1729" s="74" t="s">
        <v>5251</v>
      </c>
    </row>
    <row r="1730" spans="1:8" ht="18.75">
      <c r="A1730" s="70">
        <v>90</v>
      </c>
      <c r="B1730" s="70">
        <v>1</v>
      </c>
      <c r="C1730" s="70">
        <v>27</v>
      </c>
      <c r="D1730" s="71" t="s">
        <v>427</v>
      </c>
      <c r="E1730" s="72" t="s">
        <v>829</v>
      </c>
      <c r="F1730" s="73" t="str">
        <f t="shared" si="152"/>
        <v>900127</v>
      </c>
      <c r="G1730" s="72" t="str">
        <f t="shared" si="153"/>
        <v>900127</v>
      </c>
      <c r="H1730" s="74" t="s">
        <v>5252</v>
      </c>
    </row>
    <row r="1731" spans="1:8" ht="18.75">
      <c r="A1731" s="70">
        <v>90</v>
      </c>
      <c r="B1731" s="70">
        <v>1</v>
      </c>
      <c r="C1731" s="70">
        <v>28</v>
      </c>
      <c r="D1731" s="71" t="s">
        <v>428</v>
      </c>
      <c r="E1731" s="72" t="s">
        <v>829</v>
      </c>
      <c r="F1731" s="73" t="str">
        <f t="shared" si="152"/>
        <v>900128</v>
      </c>
      <c r="G1731" s="72" t="str">
        <f t="shared" si="153"/>
        <v>900128</v>
      </c>
      <c r="H1731" s="74" t="s">
        <v>5677</v>
      </c>
    </row>
    <row r="1732" spans="1:8" ht="18.75">
      <c r="A1732" s="70">
        <v>90</v>
      </c>
      <c r="B1732" s="70">
        <v>1</v>
      </c>
      <c r="C1732" s="70">
        <v>29</v>
      </c>
      <c r="D1732" s="71" t="s">
        <v>3444</v>
      </c>
      <c r="E1732" s="72" t="s">
        <v>829</v>
      </c>
      <c r="F1732" s="73" t="str">
        <f t="shared" si="152"/>
        <v>900129</v>
      </c>
      <c r="G1732" s="72" t="str">
        <f t="shared" si="153"/>
        <v>900129</v>
      </c>
      <c r="H1732" s="74" t="s">
        <v>5253</v>
      </c>
    </row>
    <row r="1733" spans="1:8" ht="18.75">
      <c r="A1733" s="70">
        <v>90</v>
      </c>
      <c r="B1733" s="70">
        <v>1</v>
      </c>
      <c r="C1733" s="70">
        <v>30</v>
      </c>
      <c r="D1733" s="71" t="s">
        <v>3445</v>
      </c>
      <c r="E1733" s="72" t="s">
        <v>829</v>
      </c>
      <c r="F1733" s="73" t="str">
        <f t="shared" si="152"/>
        <v>900130</v>
      </c>
      <c r="G1733" s="72" t="str">
        <f t="shared" si="153"/>
        <v>900130</v>
      </c>
      <c r="H1733" s="74" t="s">
        <v>5254</v>
      </c>
    </row>
    <row r="1734" spans="1:8" ht="18.75">
      <c r="A1734" s="70">
        <v>90</v>
      </c>
      <c r="B1734" s="70">
        <v>1</v>
      </c>
      <c r="C1734" s="70">
        <v>31</v>
      </c>
      <c r="D1734" s="71" t="s">
        <v>3446</v>
      </c>
      <c r="E1734" s="72" t="s">
        <v>829</v>
      </c>
      <c r="F1734" s="73" t="str">
        <f t="shared" si="152"/>
        <v>900131</v>
      </c>
      <c r="G1734" s="72" t="str">
        <f t="shared" si="153"/>
        <v>900131</v>
      </c>
      <c r="H1734" s="74" t="s">
        <v>5255</v>
      </c>
    </row>
    <row r="1735" spans="1:8" ht="18.75">
      <c r="A1735" s="70">
        <v>90</v>
      </c>
      <c r="B1735" s="70">
        <v>1</v>
      </c>
      <c r="C1735" s="70">
        <v>32</v>
      </c>
      <c r="D1735" s="71" t="s">
        <v>3447</v>
      </c>
      <c r="E1735" s="72" t="s">
        <v>829</v>
      </c>
      <c r="F1735" s="73" t="str">
        <f t="shared" si="152"/>
        <v>900132</v>
      </c>
      <c r="G1735" s="72" t="str">
        <f t="shared" si="153"/>
        <v>900132</v>
      </c>
      <c r="H1735" s="74" t="s">
        <v>5256</v>
      </c>
    </row>
    <row r="1736" spans="1:8" ht="18.75">
      <c r="A1736" s="70">
        <v>90</v>
      </c>
      <c r="B1736" s="70">
        <v>1</v>
      </c>
      <c r="C1736" s="70">
        <v>33</v>
      </c>
      <c r="D1736" s="71" t="s">
        <v>3450</v>
      </c>
      <c r="E1736" s="72" t="s">
        <v>829</v>
      </c>
      <c r="F1736" s="73" t="str">
        <f t="shared" si="152"/>
        <v>900133</v>
      </c>
      <c r="G1736" s="72" t="str">
        <f t="shared" si="153"/>
        <v>900133</v>
      </c>
      <c r="H1736" s="74" t="s">
        <v>5257</v>
      </c>
    </row>
    <row r="1737" spans="1:8" ht="18.75">
      <c r="A1737" s="70">
        <v>90</v>
      </c>
      <c r="B1737" s="70">
        <v>1</v>
      </c>
      <c r="C1737" s="70">
        <v>34</v>
      </c>
      <c r="D1737" s="71" t="s">
        <v>3451</v>
      </c>
      <c r="E1737" s="72" t="s">
        <v>829</v>
      </c>
      <c r="F1737" s="73" t="str">
        <f t="shared" si="152"/>
        <v>900134</v>
      </c>
      <c r="G1737" s="72" t="str">
        <f t="shared" si="153"/>
        <v>900134</v>
      </c>
      <c r="H1737" s="74" t="s">
        <v>5258</v>
      </c>
    </row>
    <row r="1738" spans="1:8" ht="18.75">
      <c r="A1738" s="70">
        <v>90</v>
      </c>
      <c r="B1738" s="70">
        <v>1</v>
      </c>
      <c r="C1738" s="70">
        <v>35</v>
      </c>
      <c r="D1738" s="71" t="s">
        <v>3442</v>
      </c>
      <c r="E1738" s="72" t="s">
        <v>829</v>
      </c>
      <c r="F1738" s="73" t="str">
        <f t="shared" si="152"/>
        <v>900135</v>
      </c>
      <c r="G1738" s="72" t="str">
        <f t="shared" si="153"/>
        <v>900135</v>
      </c>
      <c r="H1738" s="74" t="s">
        <v>5259</v>
      </c>
    </row>
    <row r="1739" spans="1:8" ht="18.75">
      <c r="A1739" s="70">
        <v>90</v>
      </c>
      <c r="B1739" s="70">
        <v>1</v>
      </c>
      <c r="C1739" s="70">
        <v>36</v>
      </c>
      <c r="D1739" s="71" t="s">
        <v>3443</v>
      </c>
      <c r="E1739" s="72" t="s">
        <v>829</v>
      </c>
      <c r="F1739" s="73" t="str">
        <f t="shared" si="152"/>
        <v>900136</v>
      </c>
      <c r="G1739" s="72" t="str">
        <f t="shared" si="153"/>
        <v>900136</v>
      </c>
      <c r="H1739" s="74" t="s">
        <v>5260</v>
      </c>
    </row>
    <row r="1740" spans="1:8" ht="18.75">
      <c r="A1740" s="70">
        <v>90</v>
      </c>
      <c r="B1740" s="70">
        <v>1</v>
      </c>
      <c r="C1740" s="70">
        <v>37</v>
      </c>
      <c r="D1740" s="71" t="s">
        <v>675</v>
      </c>
      <c r="E1740" s="72" t="s">
        <v>829</v>
      </c>
      <c r="F1740" s="73" t="str">
        <f t="shared" si="152"/>
        <v>900137</v>
      </c>
      <c r="G1740" s="72" t="str">
        <f t="shared" si="153"/>
        <v>900137</v>
      </c>
      <c r="H1740" s="74" t="s">
        <v>5261</v>
      </c>
    </row>
    <row r="1741" spans="1:8" ht="18.75">
      <c r="A1741" s="70">
        <v>90</v>
      </c>
      <c r="B1741" s="70">
        <v>1</v>
      </c>
      <c r="C1741" s="70">
        <v>38</v>
      </c>
      <c r="D1741" s="71" t="s">
        <v>3448</v>
      </c>
      <c r="E1741" s="72" t="s">
        <v>829</v>
      </c>
      <c r="F1741" s="73" t="str">
        <f t="shared" si="152"/>
        <v>900138</v>
      </c>
      <c r="G1741" s="72" t="str">
        <f t="shared" si="153"/>
        <v>900138</v>
      </c>
      <c r="H1741" s="74" t="s">
        <v>5262</v>
      </c>
    </row>
    <row r="1742" spans="1:8" ht="18.75">
      <c r="A1742" s="70">
        <v>90</v>
      </c>
      <c r="B1742" s="70">
        <v>1</v>
      </c>
      <c r="C1742" s="70">
        <v>39</v>
      </c>
      <c r="D1742" s="71" t="s">
        <v>429</v>
      </c>
      <c r="E1742" s="72" t="s">
        <v>829</v>
      </c>
      <c r="F1742" s="73" t="str">
        <f t="shared" si="152"/>
        <v>900139</v>
      </c>
      <c r="G1742" s="72" t="str">
        <f t="shared" si="153"/>
        <v>900139</v>
      </c>
      <c r="H1742" s="74" t="s">
        <v>5263</v>
      </c>
    </row>
    <row r="1743" spans="1:8" ht="18.75">
      <c r="A1743" s="70">
        <v>90</v>
      </c>
      <c r="B1743" s="70">
        <v>1</v>
      </c>
      <c r="C1743" s="70">
        <v>40</v>
      </c>
      <c r="D1743" s="71" t="s">
        <v>430</v>
      </c>
      <c r="E1743" s="72" t="s">
        <v>829</v>
      </c>
      <c r="F1743" s="73" t="str">
        <f t="shared" si="152"/>
        <v>900140</v>
      </c>
      <c r="G1743" s="72" t="str">
        <f t="shared" si="153"/>
        <v>900140</v>
      </c>
      <c r="H1743" s="74" t="s">
        <v>5264</v>
      </c>
    </row>
    <row r="1744" spans="1:8" ht="18.75">
      <c r="A1744" s="70">
        <v>90</v>
      </c>
      <c r="B1744" s="70">
        <v>1</v>
      </c>
      <c r="C1744" s="70">
        <v>41</v>
      </c>
      <c r="D1744" s="71" t="s">
        <v>3686</v>
      </c>
      <c r="E1744" s="72" t="s">
        <v>829</v>
      </c>
      <c r="F1744" s="73" t="str">
        <f t="shared" si="152"/>
        <v>900141</v>
      </c>
      <c r="G1744" s="72" t="str">
        <f t="shared" si="153"/>
        <v>900141</v>
      </c>
      <c r="H1744" s="74" t="s">
        <v>5265</v>
      </c>
    </row>
    <row r="1745" spans="1:8" ht="18.75">
      <c r="A1745" s="70">
        <v>90</v>
      </c>
      <c r="B1745" s="70">
        <v>1</v>
      </c>
      <c r="C1745" s="70">
        <v>42</v>
      </c>
      <c r="D1745" s="71" t="s">
        <v>3653</v>
      </c>
      <c r="E1745" s="72" t="s">
        <v>829</v>
      </c>
      <c r="F1745" s="73" t="str">
        <f t="shared" si="152"/>
        <v>900142</v>
      </c>
      <c r="G1745" s="72" t="str">
        <f t="shared" si="153"/>
        <v>900142</v>
      </c>
      <c r="H1745" s="74" t="s">
        <v>5266</v>
      </c>
    </row>
    <row r="1746" spans="1:8" ht="18.75">
      <c r="A1746" s="70">
        <v>90</v>
      </c>
      <c r="B1746" s="70">
        <v>1</v>
      </c>
      <c r="C1746" s="70">
        <v>43</v>
      </c>
      <c r="D1746" s="71" t="s">
        <v>3452</v>
      </c>
      <c r="E1746" s="72" t="s">
        <v>829</v>
      </c>
      <c r="F1746" s="73" t="str">
        <f t="shared" si="152"/>
        <v>900143</v>
      </c>
      <c r="G1746" s="72" t="str">
        <f t="shared" si="153"/>
        <v>900143</v>
      </c>
      <c r="H1746" s="74" t="s">
        <v>5267</v>
      </c>
    </row>
    <row r="1747" spans="1:8" ht="18.75">
      <c r="A1747" s="70">
        <v>90</v>
      </c>
      <c r="B1747" s="70">
        <v>1</v>
      </c>
      <c r="C1747" s="70">
        <v>44</v>
      </c>
      <c r="D1747" s="71" t="s">
        <v>3453</v>
      </c>
      <c r="E1747" s="72" t="s">
        <v>829</v>
      </c>
      <c r="F1747" s="73" t="str">
        <f t="shared" si="152"/>
        <v>900144</v>
      </c>
      <c r="G1747" s="72" t="str">
        <f t="shared" si="153"/>
        <v>900144</v>
      </c>
      <c r="H1747" s="74" t="s">
        <v>5268</v>
      </c>
    </row>
    <row r="1748" spans="1:8" ht="18.75">
      <c r="A1748" s="70">
        <v>90</v>
      </c>
      <c r="B1748" s="70">
        <v>1</v>
      </c>
      <c r="C1748" s="70">
        <v>45</v>
      </c>
      <c r="D1748" s="71" t="s">
        <v>3449</v>
      </c>
      <c r="E1748" s="72" t="s">
        <v>829</v>
      </c>
      <c r="F1748" s="73" t="str">
        <f t="shared" si="152"/>
        <v>900145</v>
      </c>
      <c r="G1748" s="72" t="str">
        <f t="shared" si="153"/>
        <v>900145</v>
      </c>
      <c r="H1748" s="74" t="s">
        <v>5269</v>
      </c>
    </row>
    <row r="1749" spans="1:8" ht="18.75">
      <c r="A1749" s="70">
        <v>90</v>
      </c>
      <c r="B1749" s="70">
        <v>1</v>
      </c>
      <c r="C1749" s="70">
        <v>46</v>
      </c>
      <c r="D1749" s="71" t="s">
        <v>435</v>
      </c>
      <c r="E1749" s="72" t="s">
        <v>829</v>
      </c>
      <c r="F1749" s="73" t="str">
        <f t="shared" si="152"/>
        <v>900146</v>
      </c>
      <c r="G1749" s="72" t="str">
        <f t="shared" si="153"/>
        <v>900146</v>
      </c>
      <c r="H1749" s="74" t="s">
        <v>5270</v>
      </c>
    </row>
    <row r="1750" spans="1:8" ht="18.75">
      <c r="A1750" s="70">
        <v>90</v>
      </c>
      <c r="B1750" s="70">
        <v>1</v>
      </c>
      <c r="C1750" s="70">
        <v>47</v>
      </c>
      <c r="D1750" s="71" t="s">
        <v>436</v>
      </c>
      <c r="E1750" s="72" t="s">
        <v>829</v>
      </c>
      <c r="F1750" s="73" t="str">
        <f t="shared" si="152"/>
        <v>900147</v>
      </c>
      <c r="G1750" s="72" t="str">
        <f t="shared" si="153"/>
        <v>900147</v>
      </c>
      <c r="H1750" s="74" t="s">
        <v>5271</v>
      </c>
    </row>
    <row r="1751" spans="1:8" ht="18.75">
      <c r="A1751" s="70">
        <v>90</v>
      </c>
      <c r="B1751" s="70">
        <v>1</v>
      </c>
      <c r="C1751" s="70">
        <v>48</v>
      </c>
      <c r="D1751" s="71" t="s">
        <v>437</v>
      </c>
      <c r="E1751" s="72" t="s">
        <v>829</v>
      </c>
      <c r="F1751" s="73" t="str">
        <f t="shared" si="152"/>
        <v>900148</v>
      </c>
      <c r="G1751" s="72" t="str">
        <f t="shared" si="153"/>
        <v>900148</v>
      </c>
      <c r="H1751" s="74" t="s">
        <v>5272</v>
      </c>
    </row>
    <row r="1752" spans="1:8" ht="18.75">
      <c r="A1752" s="70">
        <v>90</v>
      </c>
      <c r="B1752" s="70">
        <v>1</v>
      </c>
      <c r="C1752" s="70">
        <v>49</v>
      </c>
      <c r="D1752" s="71" t="s">
        <v>3441</v>
      </c>
      <c r="E1752" s="72" t="s">
        <v>829</v>
      </c>
      <c r="F1752" s="73" t="str">
        <f t="shared" si="152"/>
        <v>900149</v>
      </c>
      <c r="G1752" s="72" t="str">
        <f t="shared" si="153"/>
        <v>900149</v>
      </c>
      <c r="H1752" s="74" t="s">
        <v>5273</v>
      </c>
    </row>
    <row r="1753" spans="1:8" ht="18.75">
      <c r="A1753" s="70">
        <v>90</v>
      </c>
      <c r="B1753" s="70">
        <v>1</v>
      </c>
      <c r="C1753" s="70">
        <v>52</v>
      </c>
      <c r="D1753" s="71" t="s">
        <v>3803</v>
      </c>
      <c r="E1753" s="72" t="s">
        <v>829</v>
      </c>
      <c r="F1753" s="73" t="str">
        <f t="shared" si="152"/>
        <v>900152</v>
      </c>
      <c r="G1753" s="72" t="str">
        <f t="shared" si="153"/>
        <v>900152</v>
      </c>
      <c r="H1753" s="74" t="s">
        <v>5274</v>
      </c>
    </row>
    <row r="1754" spans="1:8" ht="18.75">
      <c r="A1754" s="70">
        <v>90</v>
      </c>
      <c r="B1754" s="70">
        <v>1</v>
      </c>
      <c r="C1754" s="70">
        <v>53</v>
      </c>
      <c r="D1754" s="71" t="s">
        <v>5275</v>
      </c>
      <c r="E1754" s="72" t="s">
        <v>829</v>
      </c>
      <c r="F1754" s="73" t="str">
        <f t="shared" si="152"/>
        <v>900153</v>
      </c>
      <c r="G1754" s="72" t="str">
        <f t="shared" si="153"/>
        <v>900153</v>
      </c>
      <c r="H1754" s="74" t="s">
        <v>5276</v>
      </c>
    </row>
    <row r="1755" spans="1:8" ht="18.75">
      <c r="A1755" s="70">
        <v>90</v>
      </c>
      <c r="B1755" s="70">
        <v>1</v>
      </c>
      <c r="C1755" s="70">
        <v>54</v>
      </c>
      <c r="D1755" s="71" t="s">
        <v>421</v>
      </c>
      <c r="E1755" s="72" t="s">
        <v>829</v>
      </c>
      <c r="F1755" s="73" t="str">
        <f t="shared" si="152"/>
        <v>900154</v>
      </c>
      <c r="G1755" s="72" t="str">
        <f t="shared" si="153"/>
        <v>900154</v>
      </c>
      <c r="H1755" s="74" t="s">
        <v>5911</v>
      </c>
    </row>
    <row r="1756" spans="1:8" ht="18.75">
      <c r="A1756" s="66">
        <v>91</v>
      </c>
      <c r="B1756" s="66">
        <v>2</v>
      </c>
      <c r="C1756" s="66">
        <v>0</v>
      </c>
      <c r="D1756" s="67" t="s">
        <v>3692</v>
      </c>
      <c r="E1756" s="68"/>
      <c r="F1756" s="78"/>
      <c r="G1756" s="79"/>
      <c r="H1756" s="80"/>
    </row>
    <row r="1757" spans="1:8" ht="18.75">
      <c r="A1757" s="70">
        <v>91</v>
      </c>
      <c r="B1757" s="70">
        <v>2</v>
      </c>
      <c r="C1757" s="70">
        <v>10</v>
      </c>
      <c r="D1757" s="71" t="s">
        <v>3693</v>
      </c>
      <c r="E1757" s="72" t="s">
        <v>829</v>
      </c>
      <c r="F1757" s="73" t="str">
        <f t="shared" ref="F1757:F1797" si="154">TEXT(A1757,"00")&amp;TEXT(B1757,"00")&amp;TEXT(C1757,"00")</f>
        <v>910210</v>
      </c>
      <c r="G1757" s="72" t="str">
        <f t="shared" ref="G1757:G1797" si="155">TEXT(F1757,"000000")</f>
        <v>910210</v>
      </c>
      <c r="H1757" s="74" t="s">
        <v>5277</v>
      </c>
    </row>
    <row r="1758" spans="1:8" ht="18.75">
      <c r="A1758" s="70">
        <v>91</v>
      </c>
      <c r="B1758" s="70">
        <v>2</v>
      </c>
      <c r="C1758" s="70">
        <v>11</v>
      </c>
      <c r="D1758" s="71" t="s">
        <v>3694</v>
      </c>
      <c r="E1758" s="72" t="s">
        <v>829</v>
      </c>
      <c r="F1758" s="73" t="str">
        <f t="shared" si="154"/>
        <v>910211</v>
      </c>
      <c r="G1758" s="72" t="str">
        <f t="shared" si="155"/>
        <v>910211</v>
      </c>
      <c r="H1758" s="74" t="s">
        <v>5278</v>
      </c>
    </row>
    <row r="1759" spans="1:8" ht="18.75">
      <c r="A1759" s="70">
        <v>91</v>
      </c>
      <c r="B1759" s="70">
        <v>2</v>
      </c>
      <c r="C1759" s="70">
        <v>12</v>
      </c>
      <c r="D1759" s="71" t="s">
        <v>3695</v>
      </c>
      <c r="E1759" s="72" t="s">
        <v>829</v>
      </c>
      <c r="F1759" s="73" t="str">
        <f t="shared" si="154"/>
        <v>910212</v>
      </c>
      <c r="G1759" s="72" t="str">
        <f t="shared" si="155"/>
        <v>910212</v>
      </c>
      <c r="H1759" s="74" t="s">
        <v>5279</v>
      </c>
    </row>
    <row r="1760" spans="1:8" ht="18.75">
      <c r="A1760" s="70">
        <v>91</v>
      </c>
      <c r="B1760" s="70">
        <v>2</v>
      </c>
      <c r="C1760" s="70">
        <v>13</v>
      </c>
      <c r="D1760" s="71" t="s">
        <v>3696</v>
      </c>
      <c r="E1760" s="72" t="s">
        <v>829</v>
      </c>
      <c r="F1760" s="73" t="str">
        <f t="shared" si="154"/>
        <v>910213</v>
      </c>
      <c r="G1760" s="72" t="str">
        <f t="shared" si="155"/>
        <v>910213</v>
      </c>
      <c r="H1760" s="74" t="s">
        <v>5280</v>
      </c>
    </row>
    <row r="1761" spans="1:8" ht="18.75">
      <c r="A1761" s="70">
        <v>91</v>
      </c>
      <c r="B1761" s="70">
        <v>2</v>
      </c>
      <c r="C1761" s="70">
        <v>14</v>
      </c>
      <c r="D1761" s="71" t="s">
        <v>3697</v>
      </c>
      <c r="E1761" s="72" t="s">
        <v>829</v>
      </c>
      <c r="F1761" s="73" t="str">
        <f t="shared" si="154"/>
        <v>910214</v>
      </c>
      <c r="G1761" s="72" t="str">
        <f t="shared" si="155"/>
        <v>910214</v>
      </c>
      <c r="H1761" s="74" t="s">
        <v>5281</v>
      </c>
    </row>
    <row r="1762" spans="1:8" ht="18.75">
      <c r="A1762" s="70">
        <v>91</v>
      </c>
      <c r="B1762" s="70">
        <v>2</v>
      </c>
      <c r="C1762" s="70">
        <v>15</v>
      </c>
      <c r="D1762" s="71" t="s">
        <v>3698</v>
      </c>
      <c r="E1762" s="72" t="s">
        <v>829</v>
      </c>
      <c r="F1762" s="73" t="str">
        <f t="shared" si="154"/>
        <v>910215</v>
      </c>
      <c r="G1762" s="72" t="str">
        <f t="shared" si="155"/>
        <v>910215</v>
      </c>
      <c r="H1762" s="74" t="s">
        <v>5282</v>
      </c>
    </row>
    <row r="1763" spans="1:8" ht="18.75">
      <c r="A1763" s="70">
        <v>91</v>
      </c>
      <c r="B1763" s="70">
        <v>2</v>
      </c>
      <c r="C1763" s="70">
        <v>16</v>
      </c>
      <c r="D1763" s="71" t="s">
        <v>3699</v>
      </c>
      <c r="E1763" s="72" t="s">
        <v>829</v>
      </c>
      <c r="F1763" s="73" t="str">
        <f t="shared" si="154"/>
        <v>910216</v>
      </c>
      <c r="G1763" s="72" t="str">
        <f t="shared" si="155"/>
        <v>910216</v>
      </c>
      <c r="H1763" s="74" t="s">
        <v>5283</v>
      </c>
    </row>
    <row r="1764" spans="1:8" ht="18.75">
      <c r="A1764" s="70">
        <v>91</v>
      </c>
      <c r="B1764" s="70">
        <v>2</v>
      </c>
      <c r="C1764" s="70">
        <v>17</v>
      </c>
      <c r="D1764" s="71" t="s">
        <v>3700</v>
      </c>
      <c r="E1764" s="72" t="s">
        <v>829</v>
      </c>
      <c r="F1764" s="73" t="str">
        <f t="shared" si="154"/>
        <v>910217</v>
      </c>
      <c r="G1764" s="72" t="str">
        <f t="shared" si="155"/>
        <v>910217</v>
      </c>
      <c r="H1764" s="74" t="s">
        <v>5284</v>
      </c>
    </row>
    <row r="1765" spans="1:8" ht="18.75">
      <c r="A1765" s="70">
        <v>91</v>
      </c>
      <c r="B1765" s="70">
        <v>2</v>
      </c>
      <c r="C1765" s="70">
        <v>18</v>
      </c>
      <c r="D1765" s="71" t="s">
        <v>3701</v>
      </c>
      <c r="E1765" s="72" t="s">
        <v>829</v>
      </c>
      <c r="F1765" s="73" t="str">
        <f t="shared" si="154"/>
        <v>910218</v>
      </c>
      <c r="G1765" s="72" t="str">
        <f t="shared" si="155"/>
        <v>910218</v>
      </c>
      <c r="H1765" s="74" t="s">
        <v>5285</v>
      </c>
    </row>
    <row r="1766" spans="1:8" ht="18.75">
      <c r="A1766" s="70">
        <v>91</v>
      </c>
      <c r="B1766" s="70">
        <v>2</v>
      </c>
      <c r="C1766" s="70">
        <v>19</v>
      </c>
      <c r="D1766" s="71" t="s">
        <v>3702</v>
      </c>
      <c r="E1766" s="72" t="s">
        <v>829</v>
      </c>
      <c r="F1766" s="73" t="str">
        <f t="shared" si="154"/>
        <v>910219</v>
      </c>
      <c r="G1766" s="72" t="str">
        <f t="shared" si="155"/>
        <v>910219</v>
      </c>
      <c r="H1766" s="74" t="s">
        <v>5286</v>
      </c>
    </row>
    <row r="1767" spans="1:8" ht="18.75">
      <c r="A1767" s="70">
        <v>91</v>
      </c>
      <c r="B1767" s="70">
        <v>2</v>
      </c>
      <c r="C1767" s="70">
        <v>20</v>
      </c>
      <c r="D1767" s="71" t="s">
        <v>3703</v>
      </c>
      <c r="E1767" s="72" t="s">
        <v>829</v>
      </c>
      <c r="F1767" s="73" t="str">
        <f t="shared" si="154"/>
        <v>910220</v>
      </c>
      <c r="G1767" s="72" t="str">
        <f t="shared" si="155"/>
        <v>910220</v>
      </c>
      <c r="H1767" s="74" t="s">
        <v>5287</v>
      </c>
    </row>
    <row r="1768" spans="1:8" ht="18.75">
      <c r="A1768" s="70">
        <v>91</v>
      </c>
      <c r="B1768" s="70">
        <v>2</v>
      </c>
      <c r="C1768" s="70">
        <v>21</v>
      </c>
      <c r="D1768" s="71" t="s">
        <v>3704</v>
      </c>
      <c r="E1768" s="72" t="s">
        <v>829</v>
      </c>
      <c r="F1768" s="73" t="str">
        <f t="shared" si="154"/>
        <v>910221</v>
      </c>
      <c r="G1768" s="72" t="str">
        <f t="shared" si="155"/>
        <v>910221</v>
      </c>
      <c r="H1768" s="74" t="s">
        <v>5288</v>
      </c>
    </row>
    <row r="1769" spans="1:8" ht="18.75">
      <c r="A1769" s="70">
        <v>91</v>
      </c>
      <c r="B1769" s="70">
        <v>2</v>
      </c>
      <c r="C1769" s="70">
        <v>22</v>
      </c>
      <c r="D1769" s="71" t="s">
        <v>3705</v>
      </c>
      <c r="E1769" s="72" t="s">
        <v>829</v>
      </c>
      <c r="F1769" s="73" t="str">
        <f t="shared" si="154"/>
        <v>910222</v>
      </c>
      <c r="G1769" s="72" t="str">
        <f t="shared" si="155"/>
        <v>910222</v>
      </c>
      <c r="H1769" s="74" t="s">
        <v>5289</v>
      </c>
    </row>
    <row r="1770" spans="1:8" ht="18.75">
      <c r="A1770" s="70">
        <v>91</v>
      </c>
      <c r="B1770" s="70">
        <v>2</v>
      </c>
      <c r="C1770" s="70">
        <v>23</v>
      </c>
      <c r="D1770" s="71" t="s">
        <v>3706</v>
      </c>
      <c r="E1770" s="72" t="s">
        <v>829</v>
      </c>
      <c r="F1770" s="73" t="str">
        <f t="shared" si="154"/>
        <v>910223</v>
      </c>
      <c r="G1770" s="72" t="str">
        <f t="shared" si="155"/>
        <v>910223</v>
      </c>
      <c r="H1770" s="74" t="s">
        <v>5290</v>
      </c>
    </row>
    <row r="1771" spans="1:8" ht="18.75">
      <c r="A1771" s="70">
        <v>91</v>
      </c>
      <c r="B1771" s="70">
        <v>2</v>
      </c>
      <c r="C1771" s="70">
        <v>24</v>
      </c>
      <c r="D1771" s="71" t="s">
        <v>3707</v>
      </c>
      <c r="E1771" s="72" t="s">
        <v>829</v>
      </c>
      <c r="F1771" s="73" t="str">
        <f t="shared" si="154"/>
        <v>910224</v>
      </c>
      <c r="G1771" s="72" t="str">
        <f t="shared" si="155"/>
        <v>910224</v>
      </c>
      <c r="H1771" s="74" t="s">
        <v>5678</v>
      </c>
    </row>
    <row r="1772" spans="1:8" ht="18.75">
      <c r="A1772" s="70">
        <v>91</v>
      </c>
      <c r="B1772" s="70">
        <v>2</v>
      </c>
      <c r="C1772" s="70">
        <v>25</v>
      </c>
      <c r="D1772" s="71" t="s">
        <v>3708</v>
      </c>
      <c r="E1772" s="72" t="s">
        <v>829</v>
      </c>
      <c r="F1772" s="73" t="str">
        <f t="shared" si="154"/>
        <v>910225</v>
      </c>
      <c r="G1772" s="72" t="str">
        <f t="shared" si="155"/>
        <v>910225</v>
      </c>
      <c r="H1772" s="74" t="s">
        <v>5291</v>
      </c>
    </row>
    <row r="1773" spans="1:8" ht="18.75">
      <c r="A1773" s="70">
        <v>91</v>
      </c>
      <c r="B1773" s="70">
        <v>2</v>
      </c>
      <c r="C1773" s="70">
        <v>26</v>
      </c>
      <c r="D1773" s="71" t="s">
        <v>3709</v>
      </c>
      <c r="E1773" s="72" t="s">
        <v>829</v>
      </c>
      <c r="F1773" s="73" t="str">
        <f t="shared" si="154"/>
        <v>910226</v>
      </c>
      <c r="G1773" s="72" t="str">
        <f t="shared" si="155"/>
        <v>910226</v>
      </c>
      <c r="H1773" s="74" t="s">
        <v>5292</v>
      </c>
    </row>
    <row r="1774" spans="1:8" ht="18.75">
      <c r="A1774" s="70">
        <v>91</v>
      </c>
      <c r="B1774" s="70">
        <v>2</v>
      </c>
      <c r="C1774" s="70">
        <v>27</v>
      </c>
      <c r="D1774" s="71" t="s">
        <v>3710</v>
      </c>
      <c r="E1774" s="72" t="s">
        <v>829</v>
      </c>
      <c r="F1774" s="73" t="str">
        <f t="shared" si="154"/>
        <v>910227</v>
      </c>
      <c r="G1774" s="72" t="str">
        <f t="shared" si="155"/>
        <v>910227</v>
      </c>
      <c r="H1774" s="74" t="s">
        <v>5293</v>
      </c>
    </row>
    <row r="1775" spans="1:8" ht="18.75">
      <c r="A1775" s="70">
        <v>91</v>
      </c>
      <c r="B1775" s="70">
        <v>2</v>
      </c>
      <c r="C1775" s="70">
        <v>28</v>
      </c>
      <c r="D1775" s="71" t="s">
        <v>3711</v>
      </c>
      <c r="E1775" s="72" t="s">
        <v>829</v>
      </c>
      <c r="F1775" s="73" t="str">
        <f t="shared" si="154"/>
        <v>910228</v>
      </c>
      <c r="G1775" s="72" t="str">
        <f t="shared" si="155"/>
        <v>910228</v>
      </c>
      <c r="H1775" s="74" t="s">
        <v>5294</v>
      </c>
    </row>
    <row r="1776" spans="1:8" ht="18.75">
      <c r="A1776" s="70">
        <v>91</v>
      </c>
      <c r="B1776" s="70">
        <v>2</v>
      </c>
      <c r="C1776" s="70">
        <v>29</v>
      </c>
      <c r="D1776" s="71" t="s">
        <v>3712</v>
      </c>
      <c r="E1776" s="72" t="s">
        <v>829</v>
      </c>
      <c r="F1776" s="73" t="str">
        <f t="shared" si="154"/>
        <v>910229</v>
      </c>
      <c r="G1776" s="72" t="str">
        <f t="shared" si="155"/>
        <v>910229</v>
      </c>
      <c r="H1776" s="74" t="s">
        <v>5295</v>
      </c>
    </row>
    <row r="1777" spans="1:8" ht="18.75">
      <c r="A1777" s="70">
        <v>91</v>
      </c>
      <c r="B1777" s="70">
        <v>2</v>
      </c>
      <c r="C1777" s="70">
        <v>30</v>
      </c>
      <c r="D1777" s="71" t="s">
        <v>3713</v>
      </c>
      <c r="E1777" s="72" t="s">
        <v>829</v>
      </c>
      <c r="F1777" s="73" t="str">
        <f t="shared" si="154"/>
        <v>910230</v>
      </c>
      <c r="G1777" s="72" t="str">
        <f t="shared" si="155"/>
        <v>910230</v>
      </c>
      <c r="H1777" s="74" t="s">
        <v>5296</v>
      </c>
    </row>
    <row r="1778" spans="1:8" ht="18.75">
      <c r="A1778" s="70">
        <v>91</v>
      </c>
      <c r="B1778" s="70">
        <v>2</v>
      </c>
      <c r="C1778" s="70">
        <v>31</v>
      </c>
      <c r="D1778" s="71" t="s">
        <v>3714</v>
      </c>
      <c r="E1778" s="72" t="s">
        <v>829</v>
      </c>
      <c r="F1778" s="73" t="str">
        <f t="shared" si="154"/>
        <v>910231</v>
      </c>
      <c r="G1778" s="72" t="str">
        <f t="shared" si="155"/>
        <v>910231</v>
      </c>
      <c r="H1778" s="74" t="s">
        <v>5297</v>
      </c>
    </row>
    <row r="1779" spans="1:8" ht="18.75">
      <c r="A1779" s="70">
        <v>91</v>
      </c>
      <c r="B1779" s="70">
        <v>2</v>
      </c>
      <c r="C1779" s="70">
        <v>32</v>
      </c>
      <c r="D1779" s="71" t="s">
        <v>3715</v>
      </c>
      <c r="E1779" s="72" t="s">
        <v>829</v>
      </c>
      <c r="F1779" s="73" t="str">
        <f t="shared" si="154"/>
        <v>910232</v>
      </c>
      <c r="G1779" s="72" t="str">
        <f t="shared" si="155"/>
        <v>910232</v>
      </c>
      <c r="H1779" s="74" t="s">
        <v>5298</v>
      </c>
    </row>
    <row r="1780" spans="1:8" ht="18.75">
      <c r="A1780" s="70">
        <v>91</v>
      </c>
      <c r="B1780" s="70">
        <v>2</v>
      </c>
      <c r="C1780" s="70">
        <v>33</v>
      </c>
      <c r="D1780" s="71" t="s">
        <v>3716</v>
      </c>
      <c r="E1780" s="72" t="s">
        <v>829</v>
      </c>
      <c r="F1780" s="73" t="str">
        <f t="shared" si="154"/>
        <v>910233</v>
      </c>
      <c r="G1780" s="72" t="str">
        <f t="shared" si="155"/>
        <v>910233</v>
      </c>
      <c r="H1780" s="74" t="s">
        <v>5299</v>
      </c>
    </row>
    <row r="1781" spans="1:8" ht="18.75">
      <c r="A1781" s="70">
        <v>91</v>
      </c>
      <c r="B1781" s="70">
        <v>2</v>
      </c>
      <c r="C1781" s="70">
        <v>34</v>
      </c>
      <c r="D1781" s="71" t="s">
        <v>3717</v>
      </c>
      <c r="E1781" s="72" t="s">
        <v>829</v>
      </c>
      <c r="F1781" s="73" t="str">
        <f t="shared" si="154"/>
        <v>910234</v>
      </c>
      <c r="G1781" s="72" t="str">
        <f t="shared" si="155"/>
        <v>910234</v>
      </c>
      <c r="H1781" s="74" t="s">
        <v>5300</v>
      </c>
    </row>
    <row r="1782" spans="1:8" ht="18.75">
      <c r="A1782" s="70">
        <v>91</v>
      </c>
      <c r="B1782" s="70">
        <v>2</v>
      </c>
      <c r="C1782" s="70">
        <v>35</v>
      </c>
      <c r="D1782" s="71" t="s">
        <v>3718</v>
      </c>
      <c r="E1782" s="72" t="s">
        <v>829</v>
      </c>
      <c r="F1782" s="73" t="str">
        <f t="shared" si="154"/>
        <v>910235</v>
      </c>
      <c r="G1782" s="72" t="str">
        <f t="shared" si="155"/>
        <v>910235</v>
      </c>
      <c r="H1782" s="74" t="s">
        <v>5301</v>
      </c>
    </row>
    <row r="1783" spans="1:8" ht="18.75">
      <c r="A1783" s="70">
        <v>91</v>
      </c>
      <c r="B1783" s="70">
        <v>2</v>
      </c>
      <c r="C1783" s="70">
        <v>36</v>
      </c>
      <c r="D1783" s="71" t="s">
        <v>3719</v>
      </c>
      <c r="E1783" s="72" t="s">
        <v>829</v>
      </c>
      <c r="F1783" s="73" t="str">
        <f t="shared" si="154"/>
        <v>910236</v>
      </c>
      <c r="G1783" s="72" t="str">
        <f t="shared" si="155"/>
        <v>910236</v>
      </c>
      <c r="H1783" s="74" t="s">
        <v>5302</v>
      </c>
    </row>
    <row r="1784" spans="1:8" ht="18.75">
      <c r="A1784" s="70">
        <v>91</v>
      </c>
      <c r="B1784" s="70">
        <v>2</v>
      </c>
      <c r="C1784" s="70">
        <v>37</v>
      </c>
      <c r="D1784" s="71" t="s">
        <v>3720</v>
      </c>
      <c r="E1784" s="72" t="s">
        <v>829</v>
      </c>
      <c r="F1784" s="73" t="str">
        <f t="shared" si="154"/>
        <v>910237</v>
      </c>
      <c r="G1784" s="72" t="str">
        <f t="shared" si="155"/>
        <v>910237</v>
      </c>
      <c r="H1784" s="74" t="s">
        <v>5303</v>
      </c>
    </row>
    <row r="1785" spans="1:8" ht="18.75">
      <c r="A1785" s="70">
        <v>91</v>
      </c>
      <c r="B1785" s="70">
        <v>2</v>
      </c>
      <c r="C1785" s="70">
        <v>38</v>
      </c>
      <c r="D1785" s="71" t="s">
        <v>3721</v>
      </c>
      <c r="E1785" s="72" t="s">
        <v>829</v>
      </c>
      <c r="F1785" s="73" t="str">
        <f t="shared" si="154"/>
        <v>910238</v>
      </c>
      <c r="G1785" s="72" t="str">
        <f t="shared" si="155"/>
        <v>910238</v>
      </c>
      <c r="H1785" s="74" t="s">
        <v>5304</v>
      </c>
    </row>
    <row r="1786" spans="1:8" ht="18.75">
      <c r="A1786" s="70">
        <v>91</v>
      </c>
      <c r="B1786" s="70">
        <v>2</v>
      </c>
      <c r="C1786" s="70">
        <v>39</v>
      </c>
      <c r="D1786" s="71" t="s">
        <v>3722</v>
      </c>
      <c r="E1786" s="72" t="s">
        <v>829</v>
      </c>
      <c r="F1786" s="73" t="str">
        <f t="shared" si="154"/>
        <v>910239</v>
      </c>
      <c r="G1786" s="72" t="str">
        <f t="shared" si="155"/>
        <v>910239</v>
      </c>
      <c r="H1786" s="74" t="s">
        <v>5305</v>
      </c>
    </row>
    <row r="1787" spans="1:8" ht="18.75">
      <c r="A1787" s="70">
        <v>91</v>
      </c>
      <c r="B1787" s="70">
        <v>2</v>
      </c>
      <c r="C1787" s="70">
        <v>40</v>
      </c>
      <c r="D1787" s="71" t="s">
        <v>3723</v>
      </c>
      <c r="E1787" s="72" t="s">
        <v>829</v>
      </c>
      <c r="F1787" s="73" t="str">
        <f t="shared" si="154"/>
        <v>910240</v>
      </c>
      <c r="G1787" s="72" t="str">
        <f t="shared" si="155"/>
        <v>910240</v>
      </c>
      <c r="H1787" s="74" t="s">
        <v>5306</v>
      </c>
    </row>
    <row r="1788" spans="1:8" ht="18.75">
      <c r="A1788" s="70">
        <v>91</v>
      </c>
      <c r="B1788" s="70">
        <v>2</v>
      </c>
      <c r="C1788" s="70">
        <v>41</v>
      </c>
      <c r="D1788" s="71" t="s">
        <v>3724</v>
      </c>
      <c r="E1788" s="72" t="s">
        <v>829</v>
      </c>
      <c r="F1788" s="73" t="str">
        <f t="shared" si="154"/>
        <v>910241</v>
      </c>
      <c r="G1788" s="72" t="str">
        <f t="shared" si="155"/>
        <v>910241</v>
      </c>
      <c r="H1788" s="74" t="s">
        <v>5307</v>
      </c>
    </row>
    <row r="1789" spans="1:8" ht="18.75">
      <c r="A1789" s="70">
        <v>91</v>
      </c>
      <c r="B1789" s="70">
        <v>2</v>
      </c>
      <c r="C1789" s="70">
        <v>42</v>
      </c>
      <c r="D1789" s="71" t="s">
        <v>3725</v>
      </c>
      <c r="E1789" s="72" t="s">
        <v>829</v>
      </c>
      <c r="F1789" s="73" t="str">
        <f t="shared" si="154"/>
        <v>910242</v>
      </c>
      <c r="G1789" s="72" t="str">
        <f t="shared" si="155"/>
        <v>910242</v>
      </c>
      <c r="H1789" s="74" t="s">
        <v>5308</v>
      </c>
    </row>
    <row r="1790" spans="1:8" ht="18.75">
      <c r="A1790" s="70">
        <v>91</v>
      </c>
      <c r="B1790" s="70">
        <v>2</v>
      </c>
      <c r="C1790" s="70">
        <v>43</v>
      </c>
      <c r="D1790" s="71" t="s">
        <v>3726</v>
      </c>
      <c r="E1790" s="72" t="s">
        <v>829</v>
      </c>
      <c r="F1790" s="73" t="str">
        <f t="shared" si="154"/>
        <v>910243</v>
      </c>
      <c r="G1790" s="72" t="str">
        <f t="shared" si="155"/>
        <v>910243</v>
      </c>
      <c r="H1790" s="74" t="s">
        <v>5309</v>
      </c>
    </row>
    <row r="1791" spans="1:8" ht="18.75">
      <c r="A1791" s="70">
        <v>91</v>
      </c>
      <c r="B1791" s="70">
        <v>2</v>
      </c>
      <c r="C1791" s="70">
        <v>44</v>
      </c>
      <c r="D1791" s="71" t="s">
        <v>3727</v>
      </c>
      <c r="E1791" s="72" t="s">
        <v>829</v>
      </c>
      <c r="F1791" s="73" t="str">
        <f t="shared" si="154"/>
        <v>910244</v>
      </c>
      <c r="G1791" s="72" t="str">
        <f t="shared" si="155"/>
        <v>910244</v>
      </c>
      <c r="H1791" s="74" t="s">
        <v>5310</v>
      </c>
    </row>
    <row r="1792" spans="1:8" ht="18.75">
      <c r="A1792" s="70">
        <v>91</v>
      </c>
      <c r="B1792" s="70">
        <v>2</v>
      </c>
      <c r="C1792" s="70">
        <v>45</v>
      </c>
      <c r="D1792" s="71" t="s">
        <v>3728</v>
      </c>
      <c r="E1792" s="72" t="s">
        <v>829</v>
      </c>
      <c r="F1792" s="73" t="str">
        <f t="shared" si="154"/>
        <v>910245</v>
      </c>
      <c r="G1792" s="72" t="str">
        <f t="shared" si="155"/>
        <v>910245</v>
      </c>
      <c r="H1792" s="74" t="s">
        <v>5311</v>
      </c>
    </row>
    <row r="1793" spans="1:8" ht="18.75">
      <c r="A1793" s="70">
        <v>91</v>
      </c>
      <c r="B1793" s="70">
        <v>2</v>
      </c>
      <c r="C1793" s="70">
        <v>46</v>
      </c>
      <c r="D1793" s="71" t="s">
        <v>3729</v>
      </c>
      <c r="E1793" s="72" t="s">
        <v>829</v>
      </c>
      <c r="F1793" s="73" t="str">
        <f t="shared" si="154"/>
        <v>910246</v>
      </c>
      <c r="G1793" s="72" t="str">
        <f t="shared" si="155"/>
        <v>910246</v>
      </c>
      <c r="H1793" s="74" t="s">
        <v>5312</v>
      </c>
    </row>
    <row r="1794" spans="1:8" ht="18.75">
      <c r="A1794" s="70">
        <v>91</v>
      </c>
      <c r="B1794" s="70">
        <v>2</v>
      </c>
      <c r="C1794" s="70">
        <v>47</v>
      </c>
      <c r="D1794" s="71" t="s">
        <v>3730</v>
      </c>
      <c r="E1794" s="72" t="s">
        <v>829</v>
      </c>
      <c r="F1794" s="73" t="str">
        <f t="shared" si="154"/>
        <v>910247</v>
      </c>
      <c r="G1794" s="72" t="str">
        <f t="shared" si="155"/>
        <v>910247</v>
      </c>
      <c r="H1794" s="74" t="s">
        <v>5313</v>
      </c>
    </row>
    <row r="1795" spans="1:8" ht="18.75">
      <c r="A1795" s="70">
        <v>91</v>
      </c>
      <c r="B1795" s="70">
        <v>2</v>
      </c>
      <c r="C1795" s="70">
        <v>48</v>
      </c>
      <c r="D1795" s="71" t="s">
        <v>3731</v>
      </c>
      <c r="E1795" s="72" t="s">
        <v>829</v>
      </c>
      <c r="F1795" s="73" t="str">
        <f t="shared" si="154"/>
        <v>910248</v>
      </c>
      <c r="G1795" s="72" t="str">
        <f t="shared" si="155"/>
        <v>910248</v>
      </c>
      <c r="H1795" s="74" t="s">
        <v>5314</v>
      </c>
    </row>
    <row r="1796" spans="1:8" ht="18.75">
      <c r="A1796" s="70">
        <v>91</v>
      </c>
      <c r="B1796" s="70">
        <v>2</v>
      </c>
      <c r="C1796" s="70">
        <v>49</v>
      </c>
      <c r="D1796" s="71" t="s">
        <v>3732</v>
      </c>
      <c r="E1796" s="72" t="s">
        <v>829</v>
      </c>
      <c r="F1796" s="73" t="str">
        <f t="shared" si="154"/>
        <v>910249</v>
      </c>
      <c r="G1796" s="72" t="str">
        <f t="shared" si="155"/>
        <v>910249</v>
      </c>
      <c r="H1796" s="74" t="s">
        <v>5315</v>
      </c>
    </row>
    <row r="1797" spans="1:8" ht="18.75">
      <c r="A1797" s="70">
        <v>91</v>
      </c>
      <c r="B1797" s="70">
        <v>2</v>
      </c>
      <c r="C1797" s="70">
        <v>50</v>
      </c>
      <c r="D1797" s="71" t="s">
        <v>3733</v>
      </c>
      <c r="E1797" s="72" t="s">
        <v>829</v>
      </c>
      <c r="F1797" s="73" t="str">
        <f t="shared" si="154"/>
        <v>910250</v>
      </c>
      <c r="G1797" s="72" t="str">
        <f t="shared" si="155"/>
        <v>910250</v>
      </c>
      <c r="H1797" s="74" t="s">
        <v>5316</v>
      </c>
    </row>
    <row r="1798" spans="1:8" ht="18.75">
      <c r="A1798" s="62">
        <v>93</v>
      </c>
      <c r="B1798" s="62">
        <v>0</v>
      </c>
      <c r="C1798" s="62">
        <v>0</v>
      </c>
      <c r="D1798" s="63" t="s">
        <v>2921</v>
      </c>
      <c r="E1798" s="64"/>
      <c r="F1798" s="75"/>
      <c r="G1798" s="76"/>
      <c r="H1798" s="77"/>
    </row>
    <row r="1799" spans="1:8" ht="18.75">
      <c r="A1799" s="66">
        <v>93</v>
      </c>
      <c r="B1799" s="66">
        <v>1</v>
      </c>
      <c r="C1799" s="66">
        <v>0</v>
      </c>
      <c r="D1799" s="67" t="s">
        <v>2875</v>
      </c>
      <c r="E1799" s="68"/>
      <c r="F1799" s="78"/>
      <c r="G1799" s="79"/>
      <c r="H1799" s="80"/>
    </row>
    <row r="1800" spans="1:8" ht="18.75">
      <c r="A1800" s="70">
        <v>93</v>
      </c>
      <c r="B1800" s="70">
        <v>1</v>
      </c>
      <c r="C1800" s="70">
        <v>11</v>
      </c>
      <c r="D1800" s="71" t="s">
        <v>522</v>
      </c>
      <c r="E1800" s="72" t="s">
        <v>829</v>
      </c>
      <c r="F1800" s="73" t="str">
        <f t="shared" ref="F1800:F1806" si="156">TEXT(A1800,"00")&amp;TEXT(B1800,"00")&amp;TEXT(C1800,"00")</f>
        <v>930111</v>
      </c>
      <c r="G1800" s="72" t="str">
        <f t="shared" ref="G1800:G1806" si="157">TEXT(F1800,"000000")</f>
        <v>930111</v>
      </c>
      <c r="H1800" s="74" t="s">
        <v>5317</v>
      </c>
    </row>
    <row r="1801" spans="1:8" ht="18.75">
      <c r="A1801" s="70">
        <v>93</v>
      </c>
      <c r="B1801" s="70">
        <v>1</v>
      </c>
      <c r="C1801" s="70">
        <v>21</v>
      </c>
      <c r="D1801" s="71" t="s">
        <v>2942</v>
      </c>
      <c r="E1801" s="72" t="s">
        <v>829</v>
      </c>
      <c r="F1801" s="73" t="str">
        <f t="shared" si="156"/>
        <v>930121</v>
      </c>
      <c r="G1801" s="72" t="str">
        <f t="shared" si="157"/>
        <v>930121</v>
      </c>
      <c r="H1801" s="74" t="s">
        <v>5318</v>
      </c>
    </row>
    <row r="1802" spans="1:8" ht="18.75">
      <c r="A1802" s="70">
        <v>93</v>
      </c>
      <c r="B1802" s="70">
        <v>1</v>
      </c>
      <c r="C1802" s="70">
        <v>51</v>
      </c>
      <c r="D1802" s="71" t="s">
        <v>2981</v>
      </c>
      <c r="E1802" s="72" t="s">
        <v>829</v>
      </c>
      <c r="F1802" s="73" t="str">
        <f t="shared" si="156"/>
        <v>930151</v>
      </c>
      <c r="G1802" s="72" t="str">
        <f t="shared" si="157"/>
        <v>930151</v>
      </c>
      <c r="H1802" s="74" t="s">
        <v>5319</v>
      </c>
    </row>
    <row r="1803" spans="1:8" ht="18.75">
      <c r="A1803" s="70">
        <v>93</v>
      </c>
      <c r="B1803" s="70">
        <v>1</v>
      </c>
      <c r="C1803" s="70">
        <v>52</v>
      </c>
      <c r="D1803" s="71" t="s">
        <v>2982</v>
      </c>
      <c r="E1803" s="72" t="s">
        <v>829</v>
      </c>
      <c r="F1803" s="73" t="str">
        <f t="shared" si="156"/>
        <v>930152</v>
      </c>
      <c r="G1803" s="72" t="str">
        <f t="shared" si="157"/>
        <v>930152</v>
      </c>
      <c r="H1803" s="74" t="s">
        <v>5320</v>
      </c>
    </row>
    <row r="1804" spans="1:8" ht="18.75">
      <c r="A1804" s="70">
        <v>93</v>
      </c>
      <c r="B1804" s="70">
        <v>1</v>
      </c>
      <c r="C1804" s="70">
        <v>53</v>
      </c>
      <c r="D1804" s="71" t="s">
        <v>2983</v>
      </c>
      <c r="E1804" s="72" t="s">
        <v>829</v>
      </c>
      <c r="F1804" s="73" t="str">
        <f t="shared" si="156"/>
        <v>930153</v>
      </c>
      <c r="G1804" s="72" t="str">
        <f t="shared" si="157"/>
        <v>930153</v>
      </c>
      <c r="H1804" s="74" t="s">
        <v>5321</v>
      </c>
    </row>
    <row r="1805" spans="1:8" ht="18.75">
      <c r="A1805" s="70">
        <v>93</v>
      </c>
      <c r="B1805" s="70">
        <v>1</v>
      </c>
      <c r="C1805" s="70">
        <v>55</v>
      </c>
      <c r="D1805" s="71" t="s">
        <v>2984</v>
      </c>
      <c r="E1805" s="72" t="s">
        <v>829</v>
      </c>
      <c r="F1805" s="73" t="str">
        <f t="shared" si="156"/>
        <v>930155</v>
      </c>
      <c r="G1805" s="72" t="str">
        <f t="shared" si="157"/>
        <v>930155</v>
      </c>
      <c r="H1805" s="74" t="s">
        <v>5322</v>
      </c>
    </row>
    <row r="1806" spans="1:8" ht="18.75">
      <c r="A1806" s="70">
        <v>93</v>
      </c>
      <c r="B1806" s="70">
        <v>1</v>
      </c>
      <c r="C1806" s="70">
        <v>71</v>
      </c>
      <c r="D1806" s="71" t="s">
        <v>344</v>
      </c>
      <c r="E1806" s="72" t="s">
        <v>829</v>
      </c>
      <c r="F1806" s="73" t="str">
        <f t="shared" si="156"/>
        <v>930171</v>
      </c>
      <c r="G1806" s="72" t="str">
        <f t="shared" si="157"/>
        <v>930171</v>
      </c>
      <c r="H1806" s="74" t="s">
        <v>5323</v>
      </c>
    </row>
    <row r="1807" spans="1:8" ht="18.75">
      <c r="A1807" s="66">
        <v>93</v>
      </c>
      <c r="B1807" s="66">
        <v>2</v>
      </c>
      <c r="C1807" s="66">
        <v>0</v>
      </c>
      <c r="D1807" s="67" t="s">
        <v>2948</v>
      </c>
      <c r="E1807" s="68"/>
      <c r="F1807" s="78"/>
      <c r="G1807" s="79"/>
      <c r="H1807" s="80"/>
    </row>
    <row r="1808" spans="1:8" ht="18.75">
      <c r="A1808" s="70">
        <v>93</v>
      </c>
      <c r="B1808" s="70">
        <v>2</v>
      </c>
      <c r="C1808" s="70">
        <v>11</v>
      </c>
      <c r="D1808" s="71" t="s">
        <v>3780</v>
      </c>
      <c r="E1808" s="72" t="s">
        <v>829</v>
      </c>
      <c r="F1808" s="73" t="str">
        <f t="shared" ref="F1808:F1828" si="158">TEXT(A1808,"00")&amp;TEXT(B1808,"00")&amp;TEXT(C1808,"00")</f>
        <v>930211</v>
      </c>
      <c r="G1808" s="72" t="str">
        <f t="shared" ref="G1808:G1828" si="159">TEXT(F1808,"000000")</f>
        <v>930211</v>
      </c>
      <c r="H1808" s="74" t="s">
        <v>5324</v>
      </c>
    </row>
    <row r="1809" spans="1:8" ht="18.75">
      <c r="A1809" s="70">
        <v>93</v>
      </c>
      <c r="B1809" s="70">
        <v>2</v>
      </c>
      <c r="C1809" s="70">
        <v>21</v>
      </c>
      <c r="D1809" s="71" t="s">
        <v>3463</v>
      </c>
      <c r="E1809" s="72" t="s">
        <v>829</v>
      </c>
      <c r="F1809" s="73" t="str">
        <f t="shared" si="158"/>
        <v>930221</v>
      </c>
      <c r="G1809" s="72" t="str">
        <f t="shared" si="159"/>
        <v>930221</v>
      </c>
      <c r="H1809" s="74" t="s">
        <v>5325</v>
      </c>
    </row>
    <row r="1810" spans="1:8" ht="18.75">
      <c r="A1810" s="70">
        <v>93</v>
      </c>
      <c r="B1810" s="70">
        <v>2</v>
      </c>
      <c r="C1810" s="70">
        <v>22</v>
      </c>
      <c r="D1810" s="71" t="s">
        <v>3464</v>
      </c>
      <c r="E1810" s="72" t="s">
        <v>829</v>
      </c>
      <c r="F1810" s="73" t="str">
        <f t="shared" si="158"/>
        <v>930222</v>
      </c>
      <c r="G1810" s="72" t="str">
        <f t="shared" si="159"/>
        <v>930222</v>
      </c>
      <c r="H1810" s="74" t="s">
        <v>5326</v>
      </c>
    </row>
    <row r="1811" spans="1:8" ht="18.75">
      <c r="A1811" s="70">
        <v>93</v>
      </c>
      <c r="B1811" s="70">
        <v>2</v>
      </c>
      <c r="C1811" s="70">
        <v>23</v>
      </c>
      <c r="D1811" s="71" t="s">
        <v>3465</v>
      </c>
      <c r="E1811" s="72" t="s">
        <v>829</v>
      </c>
      <c r="F1811" s="73" t="str">
        <f t="shared" si="158"/>
        <v>930223</v>
      </c>
      <c r="G1811" s="72" t="str">
        <f t="shared" si="159"/>
        <v>930223</v>
      </c>
      <c r="H1811" s="74" t="s">
        <v>5327</v>
      </c>
    </row>
    <row r="1812" spans="1:8" ht="18.75">
      <c r="A1812" s="70">
        <v>93</v>
      </c>
      <c r="B1812" s="70">
        <v>2</v>
      </c>
      <c r="C1812" s="70">
        <v>24</v>
      </c>
      <c r="D1812" s="71" t="s">
        <v>3755</v>
      </c>
      <c r="E1812" s="72" t="s">
        <v>829</v>
      </c>
      <c r="F1812" s="73" t="str">
        <f t="shared" si="158"/>
        <v>930224</v>
      </c>
      <c r="G1812" s="72" t="str">
        <f t="shared" si="159"/>
        <v>930224</v>
      </c>
      <c r="H1812" s="74" t="s">
        <v>5328</v>
      </c>
    </row>
    <row r="1813" spans="1:8" ht="18.75">
      <c r="A1813" s="70">
        <v>93</v>
      </c>
      <c r="B1813" s="70">
        <v>2</v>
      </c>
      <c r="C1813" s="70">
        <v>25</v>
      </c>
      <c r="D1813" s="71" t="s">
        <v>3545</v>
      </c>
      <c r="E1813" s="72" t="s">
        <v>829</v>
      </c>
      <c r="F1813" s="73" t="str">
        <f t="shared" si="158"/>
        <v>930225</v>
      </c>
      <c r="G1813" s="72" t="str">
        <f t="shared" si="159"/>
        <v>930225</v>
      </c>
      <c r="H1813" s="74" t="s">
        <v>5329</v>
      </c>
    </row>
    <row r="1814" spans="1:8" ht="18.75">
      <c r="A1814" s="70">
        <v>93</v>
      </c>
      <c r="B1814" s="70">
        <v>2</v>
      </c>
      <c r="C1814" s="70">
        <v>41</v>
      </c>
      <c r="D1814" s="71" t="s">
        <v>636</v>
      </c>
      <c r="E1814" s="72" t="s">
        <v>829</v>
      </c>
      <c r="F1814" s="73" t="str">
        <f t="shared" si="158"/>
        <v>930241</v>
      </c>
      <c r="G1814" s="72" t="str">
        <f t="shared" si="159"/>
        <v>930241</v>
      </c>
      <c r="H1814" s="74" t="s">
        <v>5330</v>
      </c>
    </row>
    <row r="1815" spans="1:8" ht="18.75">
      <c r="A1815" s="70">
        <v>93</v>
      </c>
      <c r="B1815" s="70">
        <v>2</v>
      </c>
      <c r="C1815" s="70">
        <v>51</v>
      </c>
      <c r="D1815" s="71" t="s">
        <v>5767</v>
      </c>
      <c r="E1815" s="72" t="s">
        <v>829</v>
      </c>
      <c r="F1815" s="73" t="str">
        <f t="shared" si="158"/>
        <v>930251</v>
      </c>
      <c r="G1815" s="72" t="str">
        <f t="shared" si="159"/>
        <v>930251</v>
      </c>
      <c r="H1815" s="74" t="s">
        <v>5331</v>
      </c>
    </row>
    <row r="1816" spans="1:8" ht="18.75">
      <c r="A1816" s="70">
        <v>93</v>
      </c>
      <c r="B1816" s="70">
        <v>2</v>
      </c>
      <c r="C1816" s="70">
        <v>61</v>
      </c>
      <c r="D1816" s="71" t="s">
        <v>237</v>
      </c>
      <c r="E1816" s="72" t="s">
        <v>4651</v>
      </c>
      <c r="F1816" s="73" t="str">
        <f t="shared" si="158"/>
        <v>930261</v>
      </c>
      <c r="G1816" s="72" t="str">
        <f t="shared" si="159"/>
        <v>930261</v>
      </c>
      <c r="H1816" s="74" t="s">
        <v>5332</v>
      </c>
    </row>
    <row r="1817" spans="1:8" ht="18.75">
      <c r="A1817" s="70">
        <v>93</v>
      </c>
      <c r="B1817" s="70">
        <v>2</v>
      </c>
      <c r="C1817" s="70">
        <v>71</v>
      </c>
      <c r="D1817" s="71" t="s">
        <v>6051</v>
      </c>
      <c r="E1817" s="72" t="s">
        <v>4049</v>
      </c>
      <c r="F1817" s="73" t="str">
        <f t="shared" si="158"/>
        <v>930271</v>
      </c>
      <c r="G1817" s="72" t="str">
        <f t="shared" si="159"/>
        <v>930271</v>
      </c>
      <c r="H1817" s="74" t="s">
        <v>5333</v>
      </c>
    </row>
    <row r="1818" spans="1:8" ht="18.75">
      <c r="A1818" s="70">
        <v>93</v>
      </c>
      <c r="B1818" s="70">
        <v>2</v>
      </c>
      <c r="C1818" s="70">
        <v>75</v>
      </c>
      <c r="D1818" s="71" t="s">
        <v>2943</v>
      </c>
      <c r="E1818" s="72" t="s">
        <v>829</v>
      </c>
      <c r="F1818" s="73" t="str">
        <f t="shared" si="158"/>
        <v>930275</v>
      </c>
      <c r="G1818" s="72" t="str">
        <f t="shared" si="159"/>
        <v>930275</v>
      </c>
      <c r="H1818" s="74" t="s">
        <v>5334</v>
      </c>
    </row>
    <row r="1819" spans="1:8" ht="18.75">
      <c r="A1819" s="70">
        <v>93</v>
      </c>
      <c r="B1819" s="70">
        <v>2</v>
      </c>
      <c r="C1819" s="70">
        <v>76</v>
      </c>
      <c r="D1819" s="71" t="s">
        <v>3757</v>
      </c>
      <c r="E1819" s="72" t="s">
        <v>829</v>
      </c>
      <c r="F1819" s="73" t="str">
        <f t="shared" si="158"/>
        <v>930276</v>
      </c>
      <c r="G1819" s="72" t="str">
        <f t="shared" si="159"/>
        <v>930276</v>
      </c>
      <c r="H1819" s="74" t="s">
        <v>5335</v>
      </c>
    </row>
    <row r="1820" spans="1:8" ht="18.75">
      <c r="A1820" s="70">
        <v>93</v>
      </c>
      <c r="B1820" s="70">
        <v>2</v>
      </c>
      <c r="C1820" s="70">
        <v>77</v>
      </c>
      <c r="D1820" s="71" t="s">
        <v>3758</v>
      </c>
      <c r="E1820" s="72" t="s">
        <v>829</v>
      </c>
      <c r="F1820" s="73" t="str">
        <f t="shared" si="158"/>
        <v>930277</v>
      </c>
      <c r="G1820" s="72" t="str">
        <f t="shared" si="159"/>
        <v>930277</v>
      </c>
      <c r="H1820" s="74" t="s">
        <v>5336</v>
      </c>
    </row>
    <row r="1821" spans="1:8" ht="18.75">
      <c r="A1821" s="70">
        <v>93</v>
      </c>
      <c r="B1821" s="70">
        <v>2</v>
      </c>
      <c r="C1821" s="70">
        <v>78</v>
      </c>
      <c r="D1821" s="71" t="s">
        <v>3760</v>
      </c>
      <c r="E1821" s="72" t="s">
        <v>829</v>
      </c>
      <c r="F1821" s="73" t="str">
        <f t="shared" si="158"/>
        <v>930278</v>
      </c>
      <c r="G1821" s="72" t="str">
        <f t="shared" si="159"/>
        <v>930278</v>
      </c>
      <c r="H1821" s="74" t="s">
        <v>5337</v>
      </c>
    </row>
    <row r="1822" spans="1:8" ht="18.75">
      <c r="A1822" s="70">
        <v>93</v>
      </c>
      <c r="B1822" s="70">
        <v>2</v>
      </c>
      <c r="C1822" s="70">
        <v>79</v>
      </c>
      <c r="D1822" s="71" t="s">
        <v>3759</v>
      </c>
      <c r="E1822" s="72" t="s">
        <v>829</v>
      </c>
      <c r="F1822" s="73" t="str">
        <f t="shared" si="158"/>
        <v>930279</v>
      </c>
      <c r="G1822" s="72" t="str">
        <f t="shared" si="159"/>
        <v>930279</v>
      </c>
      <c r="H1822" s="74" t="s">
        <v>5338</v>
      </c>
    </row>
    <row r="1823" spans="1:8" ht="18.75">
      <c r="A1823" s="70">
        <v>93</v>
      </c>
      <c r="B1823" s="70">
        <v>2</v>
      </c>
      <c r="C1823" s="70">
        <v>80</v>
      </c>
      <c r="D1823" s="71" t="s">
        <v>3756</v>
      </c>
      <c r="E1823" s="72" t="s">
        <v>829</v>
      </c>
      <c r="F1823" s="73" t="str">
        <f t="shared" si="158"/>
        <v>930280</v>
      </c>
      <c r="G1823" s="72" t="str">
        <f t="shared" si="159"/>
        <v>930280</v>
      </c>
      <c r="H1823" s="74" t="s">
        <v>5339</v>
      </c>
    </row>
    <row r="1824" spans="1:8" ht="18.75">
      <c r="A1824" s="70">
        <v>93</v>
      </c>
      <c r="B1824" s="70">
        <v>2</v>
      </c>
      <c r="C1824" s="70">
        <v>81</v>
      </c>
      <c r="D1824" s="71" t="s">
        <v>3782</v>
      </c>
      <c r="E1824" s="72" t="s">
        <v>829</v>
      </c>
      <c r="F1824" s="73" t="str">
        <f t="shared" si="158"/>
        <v>930281</v>
      </c>
      <c r="G1824" s="72" t="str">
        <f t="shared" si="159"/>
        <v>930281</v>
      </c>
      <c r="H1824" s="74" t="s">
        <v>5340</v>
      </c>
    </row>
    <row r="1825" spans="1:8" ht="18.75">
      <c r="A1825" s="70">
        <v>93</v>
      </c>
      <c r="B1825" s="70">
        <v>2</v>
      </c>
      <c r="C1825" s="70">
        <v>82</v>
      </c>
      <c r="D1825" s="71" t="s">
        <v>6052</v>
      </c>
      <c r="E1825" s="72" t="s">
        <v>829</v>
      </c>
      <c r="F1825" s="73" t="str">
        <f t="shared" si="158"/>
        <v>930282</v>
      </c>
      <c r="G1825" s="72" t="str">
        <f t="shared" si="159"/>
        <v>930282</v>
      </c>
      <c r="H1825" s="74" t="s">
        <v>5341</v>
      </c>
    </row>
    <row r="1826" spans="1:8" ht="18.75">
      <c r="A1826" s="70">
        <v>93</v>
      </c>
      <c r="B1826" s="70">
        <v>2</v>
      </c>
      <c r="C1826" s="70">
        <v>83</v>
      </c>
      <c r="D1826" s="71" t="s">
        <v>3818</v>
      </c>
      <c r="E1826" s="72" t="s">
        <v>829</v>
      </c>
      <c r="F1826" s="73" t="str">
        <f t="shared" si="158"/>
        <v>930283</v>
      </c>
      <c r="G1826" s="72" t="str">
        <f t="shared" si="159"/>
        <v>930283</v>
      </c>
      <c r="H1826" s="74" t="s">
        <v>5342</v>
      </c>
    </row>
    <row r="1827" spans="1:8" ht="18.75">
      <c r="A1827" s="70">
        <v>93</v>
      </c>
      <c r="B1827" s="70">
        <v>2</v>
      </c>
      <c r="C1827" s="70">
        <v>84</v>
      </c>
      <c r="D1827" s="71" t="s">
        <v>5912</v>
      </c>
      <c r="E1827" s="72" t="s">
        <v>829</v>
      </c>
      <c r="F1827" s="73" t="str">
        <f t="shared" si="158"/>
        <v>930284</v>
      </c>
      <c r="G1827" s="72" t="str">
        <f t="shared" si="159"/>
        <v>930284</v>
      </c>
      <c r="H1827" s="74" t="s">
        <v>5913</v>
      </c>
    </row>
    <row r="1828" spans="1:8" ht="18.75">
      <c r="A1828" s="70">
        <v>93</v>
      </c>
      <c r="B1828" s="70">
        <v>2</v>
      </c>
      <c r="C1828" s="70">
        <v>85</v>
      </c>
      <c r="D1828" s="71" t="s">
        <v>6053</v>
      </c>
      <c r="E1828" s="72" t="s">
        <v>829</v>
      </c>
      <c r="F1828" s="73" t="str">
        <f t="shared" si="158"/>
        <v>930285</v>
      </c>
      <c r="G1828" s="72" t="str">
        <f t="shared" si="159"/>
        <v>930285</v>
      </c>
      <c r="H1828" s="74" t="s">
        <v>6054</v>
      </c>
    </row>
    <row r="1829" spans="1:8" ht="18.75">
      <c r="A1829" s="66">
        <v>93</v>
      </c>
      <c r="B1829" s="66">
        <v>3</v>
      </c>
      <c r="C1829" s="66">
        <v>0</v>
      </c>
      <c r="D1829" s="67" t="s">
        <v>2944</v>
      </c>
      <c r="E1829" s="68"/>
      <c r="F1829" s="78"/>
      <c r="G1829" s="79"/>
      <c r="H1829" s="80"/>
    </row>
    <row r="1830" spans="1:8" ht="18.75">
      <c r="A1830" s="70">
        <v>93</v>
      </c>
      <c r="B1830" s="70">
        <v>3</v>
      </c>
      <c r="C1830" s="70">
        <v>11</v>
      </c>
      <c r="D1830" s="71" t="s">
        <v>700</v>
      </c>
      <c r="E1830" s="72" t="s">
        <v>829</v>
      </c>
      <c r="F1830" s="73" t="str">
        <f>TEXT(A1830,"00")&amp;TEXT(B1830,"00")&amp;TEXT(C1830,"00")</f>
        <v>930311</v>
      </c>
      <c r="G1830" s="72" t="str">
        <f>TEXT(F1830,"000000")</f>
        <v>930311</v>
      </c>
      <c r="H1830" s="74" t="s">
        <v>5343</v>
      </c>
    </row>
    <row r="1831" spans="1:8" ht="18.75">
      <c r="A1831" s="70">
        <v>93</v>
      </c>
      <c r="B1831" s="70">
        <v>3</v>
      </c>
      <c r="C1831" s="70">
        <v>21</v>
      </c>
      <c r="D1831" s="71" t="s">
        <v>531</v>
      </c>
      <c r="E1831" s="72" t="s">
        <v>3901</v>
      </c>
      <c r="F1831" s="73" t="str">
        <f>TEXT(A1831,"00")&amp;TEXT(B1831,"00")&amp;TEXT(C1831,"00")</f>
        <v>930321</v>
      </c>
      <c r="G1831" s="72" t="str">
        <f>TEXT(F1831,"000000")</f>
        <v>930321</v>
      </c>
      <c r="H1831" s="74" t="s">
        <v>5344</v>
      </c>
    </row>
    <row r="1832" spans="1:8" ht="18.75">
      <c r="A1832" s="66">
        <v>93</v>
      </c>
      <c r="B1832" s="66">
        <v>4</v>
      </c>
      <c r="C1832" s="66">
        <v>0</v>
      </c>
      <c r="D1832" s="67" t="s">
        <v>2946</v>
      </c>
      <c r="E1832" s="68"/>
      <c r="F1832" s="78"/>
      <c r="G1832" s="79"/>
      <c r="H1832" s="80"/>
    </row>
    <row r="1833" spans="1:8" ht="18.75">
      <c r="A1833" s="70">
        <v>93</v>
      </c>
      <c r="B1833" s="70">
        <v>4</v>
      </c>
      <c r="C1833" s="70">
        <v>11</v>
      </c>
      <c r="D1833" s="71" t="s">
        <v>706</v>
      </c>
      <c r="E1833" s="72" t="s">
        <v>829</v>
      </c>
      <c r="F1833" s="73" t="str">
        <f>TEXT(A1833,"00")&amp;TEXT(B1833,"00")&amp;TEXT(C1833,"00")</f>
        <v>930411</v>
      </c>
      <c r="G1833" s="72" t="str">
        <f>TEXT(F1833,"000000")</f>
        <v>930411</v>
      </c>
      <c r="H1833" s="74" t="s">
        <v>5345</v>
      </c>
    </row>
    <row r="1834" spans="1:8" ht="18.75">
      <c r="A1834" s="70">
        <v>93</v>
      </c>
      <c r="B1834" s="70">
        <v>4</v>
      </c>
      <c r="C1834" s="70">
        <v>21</v>
      </c>
      <c r="D1834" s="71" t="s">
        <v>5914</v>
      </c>
      <c r="E1834" s="72" t="s">
        <v>5915</v>
      </c>
      <c r="F1834" s="73" t="str">
        <f>TEXT(A1834,"00")&amp;TEXT(B1834,"00")&amp;TEXT(C1834,"00")</f>
        <v>930421</v>
      </c>
      <c r="G1834" s="72" t="str">
        <f>TEXT(F1834,"000000")</f>
        <v>930421</v>
      </c>
      <c r="H1834" s="74" t="s">
        <v>5346</v>
      </c>
    </row>
    <row r="1835" spans="1:8" ht="18.75">
      <c r="A1835" s="66">
        <v>93</v>
      </c>
      <c r="B1835" s="66">
        <v>5</v>
      </c>
      <c r="C1835" s="66">
        <v>0</v>
      </c>
      <c r="D1835" s="67" t="s">
        <v>2945</v>
      </c>
      <c r="E1835" s="68"/>
      <c r="F1835" s="78"/>
      <c r="G1835" s="79"/>
      <c r="H1835" s="80"/>
    </row>
    <row r="1836" spans="1:8" ht="18.75">
      <c r="A1836" s="70">
        <v>93</v>
      </c>
      <c r="B1836" s="70">
        <v>5</v>
      </c>
      <c r="C1836" s="70">
        <v>11</v>
      </c>
      <c r="D1836" s="71" t="s">
        <v>748</v>
      </c>
      <c r="E1836" s="72" t="s">
        <v>829</v>
      </c>
      <c r="F1836" s="73" t="str">
        <f>TEXT(A1836,"00")&amp;TEXT(B1836,"00")&amp;TEXT(C1836,"00")</f>
        <v>930511</v>
      </c>
      <c r="G1836" s="72" t="str">
        <f>TEXT(F1836,"000000")</f>
        <v>930511</v>
      </c>
      <c r="H1836" s="74" t="s">
        <v>5347</v>
      </c>
    </row>
    <row r="1837" spans="1:8" ht="18.75">
      <c r="A1837" s="70">
        <v>93</v>
      </c>
      <c r="B1837" s="70">
        <v>5</v>
      </c>
      <c r="C1837" s="70">
        <v>12</v>
      </c>
      <c r="D1837" s="71" t="s">
        <v>3747</v>
      </c>
      <c r="E1837" s="72" t="s">
        <v>829</v>
      </c>
      <c r="F1837" s="73" t="str">
        <f>TEXT(A1837,"00")&amp;TEXT(B1837,"00")&amp;TEXT(C1837,"00")</f>
        <v>930512</v>
      </c>
      <c r="G1837" s="72" t="str">
        <f>TEXT(F1837,"000000")</f>
        <v>930512</v>
      </c>
      <c r="H1837" s="74" t="s">
        <v>5348</v>
      </c>
    </row>
    <row r="1838" spans="1:8" ht="18.75">
      <c r="A1838" s="62">
        <v>94</v>
      </c>
      <c r="B1838" s="62">
        <v>0</v>
      </c>
      <c r="C1838" s="62">
        <v>0</v>
      </c>
      <c r="D1838" s="63" t="s">
        <v>2927</v>
      </c>
      <c r="E1838" s="64"/>
      <c r="F1838" s="75"/>
      <c r="G1838" s="76"/>
      <c r="H1838" s="77"/>
    </row>
    <row r="1839" spans="1:8" ht="18.75">
      <c r="A1839" s="66">
        <v>94</v>
      </c>
      <c r="B1839" s="66">
        <v>1</v>
      </c>
      <c r="C1839" s="66">
        <v>0</v>
      </c>
      <c r="D1839" s="67" t="s">
        <v>2928</v>
      </c>
      <c r="E1839" s="68"/>
      <c r="F1839" s="78"/>
      <c r="G1839" s="79"/>
      <c r="H1839" s="80"/>
    </row>
    <row r="1840" spans="1:8" ht="18.75">
      <c r="A1840" s="70">
        <v>94</v>
      </c>
      <c r="B1840" s="70">
        <v>1</v>
      </c>
      <c r="C1840" s="70">
        <v>11</v>
      </c>
      <c r="D1840" s="71" t="s">
        <v>3597</v>
      </c>
      <c r="E1840" s="72" t="s">
        <v>829</v>
      </c>
      <c r="F1840" s="73" t="str">
        <f>TEXT(A1840,"00")&amp;TEXT(B1840,"00")&amp;TEXT(C1840,"00")</f>
        <v>940111</v>
      </c>
      <c r="G1840" s="72" t="str">
        <f>TEXT(F1840,"000000")</f>
        <v>940111</v>
      </c>
      <c r="H1840" s="74" t="s">
        <v>5349</v>
      </c>
    </row>
    <row r="1841" spans="1:8" ht="18.75">
      <c r="A1841" s="62">
        <v>95</v>
      </c>
      <c r="B1841" s="62">
        <v>0</v>
      </c>
      <c r="C1841" s="62">
        <v>0</v>
      </c>
      <c r="D1841" s="63" t="s">
        <v>2923</v>
      </c>
      <c r="E1841" s="64"/>
      <c r="F1841" s="75"/>
      <c r="G1841" s="76"/>
      <c r="H1841" s="77"/>
    </row>
    <row r="1842" spans="1:8" ht="18.75">
      <c r="A1842" s="66">
        <v>95</v>
      </c>
      <c r="B1842" s="66">
        <v>1</v>
      </c>
      <c r="C1842" s="66">
        <v>0</v>
      </c>
      <c r="D1842" s="67" t="s">
        <v>2924</v>
      </c>
      <c r="E1842" s="68"/>
      <c r="F1842" s="78"/>
      <c r="G1842" s="79"/>
      <c r="H1842" s="80"/>
    </row>
    <row r="1843" spans="1:8" ht="18.75">
      <c r="A1843" s="70">
        <v>95</v>
      </c>
      <c r="B1843" s="70">
        <v>1</v>
      </c>
      <c r="C1843" s="70">
        <v>11</v>
      </c>
      <c r="D1843" s="71" t="s">
        <v>3514</v>
      </c>
      <c r="E1843" s="72" t="s">
        <v>829</v>
      </c>
      <c r="F1843" s="73" t="str">
        <f t="shared" ref="F1843:F1857" si="160">TEXT(A1843,"00")&amp;TEXT(B1843,"00")&amp;TEXT(C1843,"00")</f>
        <v>950111</v>
      </c>
      <c r="G1843" s="72" t="str">
        <f t="shared" ref="G1843:G1857" si="161">TEXT(F1843,"000000")</f>
        <v>950111</v>
      </c>
      <c r="H1843" s="74" t="s">
        <v>5350</v>
      </c>
    </row>
    <row r="1844" spans="1:8" ht="18.75">
      <c r="A1844" s="70">
        <v>95</v>
      </c>
      <c r="B1844" s="70">
        <v>1</v>
      </c>
      <c r="C1844" s="70">
        <v>12</v>
      </c>
      <c r="D1844" s="71" t="s">
        <v>3513</v>
      </c>
      <c r="E1844" s="72" t="s">
        <v>829</v>
      </c>
      <c r="F1844" s="73" t="str">
        <f t="shared" si="160"/>
        <v>950112</v>
      </c>
      <c r="G1844" s="72" t="str">
        <f t="shared" si="161"/>
        <v>950112</v>
      </c>
      <c r="H1844" s="74" t="s">
        <v>5351</v>
      </c>
    </row>
    <row r="1845" spans="1:8" ht="18.75">
      <c r="A1845" s="70">
        <v>95</v>
      </c>
      <c r="B1845" s="70">
        <v>1</v>
      </c>
      <c r="C1845" s="70">
        <v>13</v>
      </c>
      <c r="D1845" s="71" t="s">
        <v>3512</v>
      </c>
      <c r="E1845" s="72" t="s">
        <v>829</v>
      </c>
      <c r="F1845" s="73" t="str">
        <f t="shared" si="160"/>
        <v>950113</v>
      </c>
      <c r="G1845" s="72" t="str">
        <f t="shared" si="161"/>
        <v>950113</v>
      </c>
      <c r="H1845" s="74" t="s">
        <v>5352</v>
      </c>
    </row>
    <row r="1846" spans="1:8" ht="18.75">
      <c r="A1846" s="70">
        <v>95</v>
      </c>
      <c r="B1846" s="70">
        <v>1</v>
      </c>
      <c r="C1846" s="70">
        <v>14</v>
      </c>
      <c r="D1846" s="71" t="s">
        <v>704</v>
      </c>
      <c r="E1846" s="72" t="s">
        <v>829</v>
      </c>
      <c r="F1846" s="73" t="str">
        <f t="shared" si="160"/>
        <v>950114</v>
      </c>
      <c r="G1846" s="72" t="str">
        <f t="shared" si="161"/>
        <v>950114</v>
      </c>
      <c r="H1846" s="74" t="s">
        <v>5353</v>
      </c>
    </row>
    <row r="1847" spans="1:8" ht="18.75">
      <c r="A1847" s="70">
        <v>95</v>
      </c>
      <c r="B1847" s="70">
        <v>1</v>
      </c>
      <c r="C1847" s="70">
        <v>15</v>
      </c>
      <c r="D1847" s="71" t="s">
        <v>167</v>
      </c>
      <c r="E1847" s="72" t="s">
        <v>829</v>
      </c>
      <c r="F1847" s="73" t="str">
        <f t="shared" si="160"/>
        <v>950115</v>
      </c>
      <c r="G1847" s="72" t="str">
        <f t="shared" si="161"/>
        <v>950115</v>
      </c>
      <c r="H1847" s="74" t="s">
        <v>5354</v>
      </c>
    </row>
    <row r="1848" spans="1:8" ht="18.75">
      <c r="A1848" s="70">
        <v>95</v>
      </c>
      <c r="B1848" s="70">
        <v>1</v>
      </c>
      <c r="C1848" s="70">
        <v>16</v>
      </c>
      <c r="D1848" s="71" t="s">
        <v>3515</v>
      </c>
      <c r="E1848" s="72" t="s">
        <v>829</v>
      </c>
      <c r="F1848" s="73" t="str">
        <f t="shared" si="160"/>
        <v>950116</v>
      </c>
      <c r="G1848" s="72" t="str">
        <f t="shared" si="161"/>
        <v>950116</v>
      </c>
      <c r="H1848" s="74" t="s">
        <v>5355</v>
      </c>
    </row>
    <row r="1849" spans="1:8" ht="18.75">
      <c r="A1849" s="70">
        <v>95</v>
      </c>
      <c r="B1849" s="70">
        <v>1</v>
      </c>
      <c r="C1849" s="70">
        <v>17</v>
      </c>
      <c r="D1849" s="71" t="s">
        <v>168</v>
      </c>
      <c r="E1849" s="72" t="s">
        <v>829</v>
      </c>
      <c r="F1849" s="73" t="str">
        <f t="shared" si="160"/>
        <v>950117</v>
      </c>
      <c r="G1849" s="72" t="str">
        <f t="shared" si="161"/>
        <v>950117</v>
      </c>
      <c r="H1849" s="74" t="s">
        <v>5356</v>
      </c>
    </row>
    <row r="1850" spans="1:8" ht="18.75">
      <c r="A1850" s="70">
        <v>95</v>
      </c>
      <c r="B1850" s="70">
        <v>1</v>
      </c>
      <c r="C1850" s="70">
        <v>31</v>
      </c>
      <c r="D1850" s="71" t="s">
        <v>713</v>
      </c>
      <c r="E1850" s="72" t="s">
        <v>829</v>
      </c>
      <c r="F1850" s="73" t="str">
        <f t="shared" si="160"/>
        <v>950131</v>
      </c>
      <c r="G1850" s="72" t="str">
        <f t="shared" si="161"/>
        <v>950131</v>
      </c>
      <c r="H1850" s="74" t="s">
        <v>5357</v>
      </c>
    </row>
    <row r="1851" spans="1:8" ht="18.75">
      <c r="A1851" s="70">
        <v>95</v>
      </c>
      <c r="B1851" s="70">
        <v>1</v>
      </c>
      <c r="C1851" s="70">
        <v>32</v>
      </c>
      <c r="D1851" s="71" t="s">
        <v>170</v>
      </c>
      <c r="E1851" s="72" t="s">
        <v>829</v>
      </c>
      <c r="F1851" s="73" t="str">
        <f t="shared" si="160"/>
        <v>950132</v>
      </c>
      <c r="G1851" s="72" t="str">
        <f t="shared" si="161"/>
        <v>950132</v>
      </c>
      <c r="H1851" s="74" t="s">
        <v>5679</v>
      </c>
    </row>
    <row r="1852" spans="1:8" ht="18.75">
      <c r="A1852" s="70">
        <v>95</v>
      </c>
      <c r="B1852" s="70">
        <v>1</v>
      </c>
      <c r="C1852" s="70">
        <v>33</v>
      </c>
      <c r="D1852" s="71" t="s">
        <v>715</v>
      </c>
      <c r="E1852" s="72" t="s">
        <v>829</v>
      </c>
      <c r="F1852" s="73" t="str">
        <f t="shared" si="160"/>
        <v>950133</v>
      </c>
      <c r="G1852" s="72" t="str">
        <f t="shared" si="161"/>
        <v>950133</v>
      </c>
      <c r="H1852" s="74" t="s">
        <v>5358</v>
      </c>
    </row>
    <row r="1853" spans="1:8" ht="18.75">
      <c r="A1853" s="70">
        <v>95</v>
      </c>
      <c r="B1853" s="70">
        <v>1</v>
      </c>
      <c r="C1853" s="70">
        <v>34</v>
      </c>
      <c r="D1853" s="71" t="s">
        <v>3509</v>
      </c>
      <c r="E1853" s="72" t="s">
        <v>829</v>
      </c>
      <c r="F1853" s="73" t="str">
        <f t="shared" si="160"/>
        <v>950134</v>
      </c>
      <c r="G1853" s="72" t="str">
        <f t="shared" si="161"/>
        <v>950134</v>
      </c>
      <c r="H1853" s="74" t="s">
        <v>5359</v>
      </c>
    </row>
    <row r="1854" spans="1:8" ht="18.75">
      <c r="A1854" s="70">
        <v>95</v>
      </c>
      <c r="B1854" s="70">
        <v>1</v>
      </c>
      <c r="C1854" s="70">
        <v>35</v>
      </c>
      <c r="D1854" s="71" t="s">
        <v>3508</v>
      </c>
      <c r="E1854" s="72" t="s">
        <v>829</v>
      </c>
      <c r="F1854" s="73" t="str">
        <f t="shared" si="160"/>
        <v>950135</v>
      </c>
      <c r="G1854" s="72" t="str">
        <f t="shared" si="161"/>
        <v>950135</v>
      </c>
      <c r="H1854" s="74" t="s">
        <v>5360</v>
      </c>
    </row>
    <row r="1855" spans="1:8" ht="18.75">
      <c r="A1855" s="70">
        <v>95</v>
      </c>
      <c r="B1855" s="70">
        <v>1</v>
      </c>
      <c r="C1855" s="70">
        <v>70</v>
      </c>
      <c r="D1855" s="71" t="s">
        <v>731</v>
      </c>
      <c r="E1855" s="72" t="s">
        <v>829</v>
      </c>
      <c r="F1855" s="73" t="str">
        <f t="shared" si="160"/>
        <v>950170</v>
      </c>
      <c r="G1855" s="72" t="str">
        <f t="shared" si="161"/>
        <v>950170</v>
      </c>
      <c r="H1855" s="74" t="s">
        <v>5361</v>
      </c>
    </row>
    <row r="1856" spans="1:8" ht="18.75">
      <c r="A1856" s="70">
        <v>95</v>
      </c>
      <c r="B1856" s="70">
        <v>1</v>
      </c>
      <c r="C1856" s="70">
        <v>71</v>
      </c>
      <c r="D1856" s="71" t="s">
        <v>3510</v>
      </c>
      <c r="E1856" s="72" t="s">
        <v>829</v>
      </c>
      <c r="F1856" s="73" t="str">
        <f t="shared" si="160"/>
        <v>950171</v>
      </c>
      <c r="G1856" s="72" t="str">
        <f t="shared" si="161"/>
        <v>950171</v>
      </c>
      <c r="H1856" s="74" t="s">
        <v>5362</v>
      </c>
    </row>
    <row r="1857" spans="1:8" ht="18.75">
      <c r="A1857" s="70">
        <v>95</v>
      </c>
      <c r="B1857" s="70">
        <v>1</v>
      </c>
      <c r="C1857" s="70">
        <v>72</v>
      </c>
      <c r="D1857" s="71" t="s">
        <v>3511</v>
      </c>
      <c r="E1857" s="72" t="s">
        <v>829</v>
      </c>
      <c r="F1857" s="73" t="str">
        <f t="shared" si="160"/>
        <v>950172</v>
      </c>
      <c r="G1857" s="72" t="str">
        <f t="shared" si="161"/>
        <v>950172</v>
      </c>
      <c r="H1857" s="74" t="s">
        <v>5363</v>
      </c>
    </row>
    <row r="1858" spans="1:8" ht="18.75">
      <c r="A1858" s="66">
        <v>95</v>
      </c>
      <c r="B1858" s="66">
        <v>2</v>
      </c>
      <c r="C1858" s="66">
        <v>0</v>
      </c>
      <c r="D1858" s="67" t="s">
        <v>2926</v>
      </c>
      <c r="E1858" s="68"/>
      <c r="F1858" s="78"/>
      <c r="G1858" s="79"/>
      <c r="H1858" s="80"/>
    </row>
    <row r="1859" spans="1:8" ht="18.75">
      <c r="A1859" s="70">
        <v>95</v>
      </c>
      <c r="B1859" s="70">
        <v>2</v>
      </c>
      <c r="C1859" s="70">
        <v>13</v>
      </c>
      <c r="D1859" s="71" t="s">
        <v>611</v>
      </c>
      <c r="E1859" s="72" t="s">
        <v>829</v>
      </c>
      <c r="F1859" s="73" t="str">
        <f t="shared" ref="F1859:F1870" si="162">TEXT(A1859,"00")&amp;TEXT(B1859,"00")&amp;TEXT(C1859,"00")</f>
        <v>950213</v>
      </c>
      <c r="G1859" s="72" t="str">
        <f t="shared" ref="G1859:G1870" si="163">TEXT(F1859,"000000")</f>
        <v>950213</v>
      </c>
      <c r="H1859" s="74" t="s">
        <v>5364</v>
      </c>
    </row>
    <row r="1860" spans="1:8" ht="18.75">
      <c r="A1860" s="70">
        <v>95</v>
      </c>
      <c r="B1860" s="70">
        <v>2</v>
      </c>
      <c r="C1860" s="70">
        <v>15</v>
      </c>
      <c r="D1860" s="71" t="s">
        <v>3471</v>
      </c>
      <c r="E1860" s="72" t="s">
        <v>829</v>
      </c>
      <c r="F1860" s="73" t="str">
        <f t="shared" si="162"/>
        <v>950215</v>
      </c>
      <c r="G1860" s="72" t="str">
        <f t="shared" si="163"/>
        <v>950215</v>
      </c>
      <c r="H1860" s="74" t="s">
        <v>5365</v>
      </c>
    </row>
    <row r="1861" spans="1:8" ht="18.75">
      <c r="A1861" s="70">
        <v>95</v>
      </c>
      <c r="B1861" s="70">
        <v>2</v>
      </c>
      <c r="C1861" s="70">
        <v>17</v>
      </c>
      <c r="D1861" s="71" t="s">
        <v>3737</v>
      </c>
      <c r="E1861" s="72" t="s">
        <v>829</v>
      </c>
      <c r="F1861" s="73" t="str">
        <f t="shared" si="162"/>
        <v>950217</v>
      </c>
      <c r="G1861" s="72" t="str">
        <f t="shared" si="163"/>
        <v>950217</v>
      </c>
      <c r="H1861" s="74" t="s">
        <v>5366</v>
      </c>
    </row>
    <row r="1862" spans="1:8" ht="18.75">
      <c r="A1862" s="70">
        <v>95</v>
      </c>
      <c r="B1862" s="70">
        <v>2</v>
      </c>
      <c r="C1862" s="70">
        <v>19</v>
      </c>
      <c r="D1862" s="71" t="s">
        <v>3736</v>
      </c>
      <c r="E1862" s="72" t="s">
        <v>829</v>
      </c>
      <c r="F1862" s="73" t="str">
        <f t="shared" si="162"/>
        <v>950219</v>
      </c>
      <c r="G1862" s="72" t="str">
        <f t="shared" si="163"/>
        <v>950219</v>
      </c>
      <c r="H1862" s="74" t="s">
        <v>5367</v>
      </c>
    </row>
    <row r="1863" spans="1:8" ht="18.75">
      <c r="A1863" s="70">
        <v>95</v>
      </c>
      <c r="B1863" s="70">
        <v>2</v>
      </c>
      <c r="C1863" s="70">
        <v>21</v>
      </c>
      <c r="D1863" s="71" t="s">
        <v>3735</v>
      </c>
      <c r="E1863" s="72" t="s">
        <v>829</v>
      </c>
      <c r="F1863" s="73" t="str">
        <f t="shared" si="162"/>
        <v>950221</v>
      </c>
      <c r="G1863" s="72" t="str">
        <f t="shared" si="163"/>
        <v>950221</v>
      </c>
      <c r="H1863" s="74" t="s">
        <v>5368</v>
      </c>
    </row>
    <row r="1864" spans="1:8" ht="18.75">
      <c r="A1864" s="70">
        <v>95</v>
      </c>
      <c r="B1864" s="70">
        <v>2</v>
      </c>
      <c r="C1864" s="70">
        <v>23</v>
      </c>
      <c r="D1864" s="71" t="s">
        <v>3472</v>
      </c>
      <c r="E1864" s="72" t="s">
        <v>829</v>
      </c>
      <c r="F1864" s="73" t="str">
        <f t="shared" si="162"/>
        <v>950223</v>
      </c>
      <c r="G1864" s="72" t="str">
        <f t="shared" si="163"/>
        <v>950223</v>
      </c>
      <c r="H1864" s="74" t="s">
        <v>5369</v>
      </c>
    </row>
    <row r="1865" spans="1:8" ht="18.75">
      <c r="A1865" s="70">
        <v>95</v>
      </c>
      <c r="B1865" s="70">
        <v>2</v>
      </c>
      <c r="C1865" s="70">
        <v>25</v>
      </c>
      <c r="D1865" s="71" t="s">
        <v>3740</v>
      </c>
      <c r="E1865" s="72" t="s">
        <v>829</v>
      </c>
      <c r="F1865" s="73" t="str">
        <f t="shared" si="162"/>
        <v>950225</v>
      </c>
      <c r="G1865" s="72" t="str">
        <f t="shared" si="163"/>
        <v>950225</v>
      </c>
      <c r="H1865" s="74" t="s">
        <v>5370</v>
      </c>
    </row>
    <row r="1866" spans="1:8" ht="18.75">
      <c r="A1866" s="70">
        <v>95</v>
      </c>
      <c r="B1866" s="70">
        <v>2</v>
      </c>
      <c r="C1866" s="70">
        <v>27</v>
      </c>
      <c r="D1866" s="71" t="s">
        <v>3734</v>
      </c>
      <c r="E1866" s="72" t="s">
        <v>829</v>
      </c>
      <c r="F1866" s="73" t="str">
        <f t="shared" si="162"/>
        <v>950227</v>
      </c>
      <c r="G1866" s="72" t="str">
        <f t="shared" si="163"/>
        <v>950227</v>
      </c>
      <c r="H1866" s="74" t="s">
        <v>5371</v>
      </c>
    </row>
    <row r="1867" spans="1:8" ht="18.75">
      <c r="A1867" s="70">
        <v>95</v>
      </c>
      <c r="B1867" s="70">
        <v>2</v>
      </c>
      <c r="C1867" s="70">
        <v>29</v>
      </c>
      <c r="D1867" s="71" t="s">
        <v>3738</v>
      </c>
      <c r="E1867" s="72" t="s">
        <v>829</v>
      </c>
      <c r="F1867" s="73" t="str">
        <f t="shared" si="162"/>
        <v>950229</v>
      </c>
      <c r="G1867" s="72" t="str">
        <f t="shared" si="163"/>
        <v>950229</v>
      </c>
      <c r="H1867" s="74" t="s">
        <v>5372</v>
      </c>
    </row>
    <row r="1868" spans="1:8" ht="18.75">
      <c r="A1868" s="70">
        <v>95</v>
      </c>
      <c r="B1868" s="70">
        <v>2</v>
      </c>
      <c r="C1868" s="70">
        <v>31</v>
      </c>
      <c r="D1868" s="71" t="s">
        <v>3473</v>
      </c>
      <c r="E1868" s="72" t="s">
        <v>829</v>
      </c>
      <c r="F1868" s="73" t="str">
        <f t="shared" si="162"/>
        <v>950231</v>
      </c>
      <c r="G1868" s="72" t="str">
        <f t="shared" si="163"/>
        <v>950231</v>
      </c>
      <c r="H1868" s="74" t="s">
        <v>5373</v>
      </c>
    </row>
    <row r="1869" spans="1:8" ht="18.75">
      <c r="A1869" s="70">
        <v>95</v>
      </c>
      <c r="B1869" s="70">
        <v>2</v>
      </c>
      <c r="C1869" s="70">
        <v>33</v>
      </c>
      <c r="D1869" s="71" t="s">
        <v>3739</v>
      </c>
      <c r="E1869" s="72" t="s">
        <v>829</v>
      </c>
      <c r="F1869" s="73" t="str">
        <f t="shared" si="162"/>
        <v>950233</v>
      </c>
      <c r="G1869" s="72" t="str">
        <f t="shared" si="163"/>
        <v>950233</v>
      </c>
      <c r="H1869" s="74" t="s">
        <v>5374</v>
      </c>
    </row>
    <row r="1870" spans="1:8" ht="18.75">
      <c r="A1870" s="70">
        <v>95</v>
      </c>
      <c r="B1870" s="70">
        <v>2</v>
      </c>
      <c r="C1870" s="70">
        <v>34</v>
      </c>
      <c r="D1870" s="71" t="s">
        <v>5768</v>
      </c>
      <c r="E1870" s="72" t="s">
        <v>829</v>
      </c>
      <c r="F1870" s="73" t="str">
        <f t="shared" si="162"/>
        <v>950234</v>
      </c>
      <c r="G1870" s="72" t="str">
        <f t="shared" si="163"/>
        <v>950234</v>
      </c>
      <c r="H1870" s="74" t="s">
        <v>5769</v>
      </c>
    </row>
    <row r="1871" spans="1:8" ht="18.75">
      <c r="A1871" s="66">
        <v>95</v>
      </c>
      <c r="B1871" s="66">
        <v>3</v>
      </c>
      <c r="C1871" s="66">
        <v>0</v>
      </c>
      <c r="D1871" s="67" t="s">
        <v>2925</v>
      </c>
      <c r="E1871" s="68"/>
      <c r="F1871" s="78"/>
      <c r="G1871" s="79"/>
      <c r="H1871" s="80"/>
    </row>
    <row r="1872" spans="1:8" ht="18.75">
      <c r="A1872" s="70">
        <v>95</v>
      </c>
      <c r="B1872" s="70">
        <v>3</v>
      </c>
      <c r="C1872" s="70">
        <v>11</v>
      </c>
      <c r="D1872" s="71" t="s">
        <v>606</v>
      </c>
      <c r="E1872" s="72" t="s">
        <v>829</v>
      </c>
      <c r="F1872" s="73" t="str">
        <f t="shared" ref="F1872:F1880" si="164">TEXT(A1872,"00")&amp;TEXT(B1872,"00")&amp;TEXT(C1872,"00")</f>
        <v>950311</v>
      </c>
      <c r="G1872" s="72" t="str">
        <f t="shared" ref="G1872:G1880" si="165">TEXT(F1872,"000000")</f>
        <v>950311</v>
      </c>
      <c r="H1872" s="74" t="s">
        <v>5375</v>
      </c>
    </row>
    <row r="1873" spans="1:8" ht="18.75">
      <c r="A1873" s="70">
        <v>95</v>
      </c>
      <c r="B1873" s="70">
        <v>3</v>
      </c>
      <c r="C1873" s="70">
        <v>12</v>
      </c>
      <c r="D1873" s="71" t="s">
        <v>605</v>
      </c>
      <c r="E1873" s="72" t="s">
        <v>829</v>
      </c>
      <c r="F1873" s="73" t="str">
        <f t="shared" si="164"/>
        <v>950312</v>
      </c>
      <c r="G1873" s="72" t="str">
        <f t="shared" si="165"/>
        <v>950312</v>
      </c>
      <c r="H1873" s="74" t="s">
        <v>5376</v>
      </c>
    </row>
    <row r="1874" spans="1:8" ht="18.75">
      <c r="A1874" s="70">
        <v>95</v>
      </c>
      <c r="B1874" s="70">
        <v>3</v>
      </c>
      <c r="C1874" s="70">
        <v>13</v>
      </c>
      <c r="D1874" s="71" t="s">
        <v>3614</v>
      </c>
      <c r="E1874" s="72" t="s">
        <v>3891</v>
      </c>
      <c r="F1874" s="73" t="str">
        <f t="shared" si="164"/>
        <v>950313</v>
      </c>
      <c r="G1874" s="72" t="str">
        <f t="shared" si="165"/>
        <v>950313</v>
      </c>
      <c r="H1874" s="74" t="s">
        <v>5377</v>
      </c>
    </row>
    <row r="1875" spans="1:8" ht="18.75">
      <c r="A1875" s="70">
        <v>95</v>
      </c>
      <c r="B1875" s="70">
        <v>3</v>
      </c>
      <c r="C1875" s="70">
        <v>15</v>
      </c>
      <c r="D1875" s="71" t="s">
        <v>607</v>
      </c>
      <c r="E1875" s="72" t="s">
        <v>829</v>
      </c>
      <c r="F1875" s="73" t="str">
        <f t="shared" si="164"/>
        <v>950315</v>
      </c>
      <c r="G1875" s="72" t="str">
        <f t="shared" si="165"/>
        <v>950315</v>
      </c>
      <c r="H1875" s="74" t="s">
        <v>5378</v>
      </c>
    </row>
    <row r="1876" spans="1:8" ht="18.75">
      <c r="A1876" s="70">
        <v>95</v>
      </c>
      <c r="B1876" s="70">
        <v>3</v>
      </c>
      <c r="C1876" s="70">
        <v>17</v>
      </c>
      <c r="D1876" s="71" t="s">
        <v>608</v>
      </c>
      <c r="E1876" s="72" t="s">
        <v>829</v>
      </c>
      <c r="F1876" s="73" t="str">
        <f t="shared" si="164"/>
        <v>950317</v>
      </c>
      <c r="G1876" s="72" t="str">
        <f t="shared" si="165"/>
        <v>950317</v>
      </c>
      <c r="H1876" s="74" t="s">
        <v>5379</v>
      </c>
    </row>
    <row r="1877" spans="1:8" ht="18.75">
      <c r="A1877" s="70">
        <v>95</v>
      </c>
      <c r="B1877" s="70">
        <v>3</v>
      </c>
      <c r="C1877" s="70">
        <v>19</v>
      </c>
      <c r="D1877" s="71" t="s">
        <v>613</v>
      </c>
      <c r="E1877" s="72" t="s">
        <v>829</v>
      </c>
      <c r="F1877" s="73" t="str">
        <f t="shared" si="164"/>
        <v>950319</v>
      </c>
      <c r="G1877" s="72" t="str">
        <f t="shared" si="165"/>
        <v>950319</v>
      </c>
      <c r="H1877" s="74" t="s">
        <v>5380</v>
      </c>
    </row>
    <row r="1878" spans="1:8" ht="18.75">
      <c r="A1878" s="70">
        <v>95</v>
      </c>
      <c r="B1878" s="70">
        <v>3</v>
      </c>
      <c r="C1878" s="70">
        <v>21</v>
      </c>
      <c r="D1878" s="71" t="s">
        <v>614</v>
      </c>
      <c r="E1878" s="72" t="s">
        <v>829</v>
      </c>
      <c r="F1878" s="73" t="str">
        <f t="shared" si="164"/>
        <v>950321</v>
      </c>
      <c r="G1878" s="72" t="str">
        <f t="shared" si="165"/>
        <v>950321</v>
      </c>
      <c r="H1878" s="74" t="s">
        <v>5381</v>
      </c>
    </row>
    <row r="1879" spans="1:8" ht="18.75">
      <c r="A1879" s="70">
        <v>95</v>
      </c>
      <c r="B1879" s="70">
        <v>3</v>
      </c>
      <c r="C1879" s="70">
        <v>23</v>
      </c>
      <c r="D1879" s="71" t="s">
        <v>616</v>
      </c>
      <c r="E1879" s="72" t="s">
        <v>829</v>
      </c>
      <c r="F1879" s="73" t="str">
        <f t="shared" si="164"/>
        <v>950323</v>
      </c>
      <c r="G1879" s="72" t="str">
        <f t="shared" si="165"/>
        <v>950323</v>
      </c>
      <c r="H1879" s="74" t="s">
        <v>5382</v>
      </c>
    </row>
    <row r="1880" spans="1:8" ht="18.75">
      <c r="A1880" s="70">
        <v>95</v>
      </c>
      <c r="B1880" s="70">
        <v>3</v>
      </c>
      <c r="C1880" s="70">
        <v>25</v>
      </c>
      <c r="D1880" s="71" t="s">
        <v>604</v>
      </c>
      <c r="E1880" s="72" t="s">
        <v>829</v>
      </c>
      <c r="F1880" s="73" t="str">
        <f t="shared" si="164"/>
        <v>950325</v>
      </c>
      <c r="G1880" s="72" t="str">
        <f t="shared" si="165"/>
        <v>950325</v>
      </c>
      <c r="H1880" s="74" t="s">
        <v>5383</v>
      </c>
    </row>
    <row r="1881" spans="1:8" ht="18.75">
      <c r="A1881" s="66">
        <v>95</v>
      </c>
      <c r="B1881" s="66">
        <v>4</v>
      </c>
      <c r="C1881" s="66">
        <v>0</v>
      </c>
      <c r="D1881" s="67" t="s">
        <v>2944</v>
      </c>
      <c r="E1881" s="68"/>
      <c r="F1881" s="78"/>
      <c r="G1881" s="79"/>
      <c r="H1881" s="80"/>
    </row>
    <row r="1882" spans="1:8" ht="18.75">
      <c r="A1882" s="70">
        <v>95</v>
      </c>
      <c r="B1882" s="70">
        <v>4</v>
      </c>
      <c r="C1882" s="70">
        <v>11</v>
      </c>
      <c r="D1882" s="71" t="s">
        <v>174</v>
      </c>
      <c r="E1882" s="72" t="s">
        <v>829</v>
      </c>
      <c r="F1882" s="73" t="str">
        <f t="shared" ref="F1882:F1925" si="166">TEXT(A1882,"00")&amp;TEXT(B1882,"00")&amp;TEXT(C1882,"00")</f>
        <v>950411</v>
      </c>
      <c r="G1882" s="72" t="str">
        <f t="shared" ref="G1882:G1925" si="167">TEXT(F1882,"000000")</f>
        <v>950411</v>
      </c>
      <c r="H1882" s="74" t="s">
        <v>5384</v>
      </c>
    </row>
    <row r="1883" spans="1:8" ht="18.75">
      <c r="A1883" s="70">
        <v>95</v>
      </c>
      <c r="B1883" s="70">
        <v>4</v>
      </c>
      <c r="C1883" s="70">
        <v>12</v>
      </c>
      <c r="D1883" s="71" t="s">
        <v>3684</v>
      </c>
      <c r="E1883" s="72" t="s">
        <v>829</v>
      </c>
      <c r="F1883" s="73" t="str">
        <f t="shared" si="166"/>
        <v>950412</v>
      </c>
      <c r="G1883" s="72" t="str">
        <f t="shared" si="167"/>
        <v>950412</v>
      </c>
      <c r="H1883" s="74" t="s">
        <v>5385</v>
      </c>
    </row>
    <row r="1884" spans="1:8" ht="18.75">
      <c r="A1884" s="70">
        <v>95</v>
      </c>
      <c r="B1884" s="70">
        <v>4</v>
      </c>
      <c r="C1884" s="70">
        <v>14</v>
      </c>
      <c r="D1884" s="71" t="s">
        <v>5386</v>
      </c>
      <c r="E1884" s="72" t="s">
        <v>829</v>
      </c>
      <c r="F1884" s="73" t="str">
        <f t="shared" si="166"/>
        <v>950414</v>
      </c>
      <c r="G1884" s="72" t="str">
        <f t="shared" si="167"/>
        <v>950414</v>
      </c>
      <c r="H1884" s="74" t="s">
        <v>5387</v>
      </c>
    </row>
    <row r="1885" spans="1:8" ht="18.75">
      <c r="A1885" s="70">
        <v>95</v>
      </c>
      <c r="B1885" s="70">
        <v>4</v>
      </c>
      <c r="C1885" s="70">
        <v>15</v>
      </c>
      <c r="D1885" s="71" t="s">
        <v>3466</v>
      </c>
      <c r="E1885" s="72" t="s">
        <v>829</v>
      </c>
      <c r="F1885" s="73" t="str">
        <f t="shared" si="166"/>
        <v>950415</v>
      </c>
      <c r="G1885" s="72" t="str">
        <f t="shared" si="167"/>
        <v>950415</v>
      </c>
      <c r="H1885" s="74" t="s">
        <v>5388</v>
      </c>
    </row>
    <row r="1886" spans="1:8" ht="18.75">
      <c r="A1886" s="70">
        <v>95</v>
      </c>
      <c r="B1886" s="70">
        <v>4</v>
      </c>
      <c r="C1886" s="70">
        <v>16</v>
      </c>
      <c r="D1886" s="71" t="s">
        <v>3467</v>
      </c>
      <c r="E1886" s="72" t="s">
        <v>829</v>
      </c>
      <c r="F1886" s="73" t="str">
        <f t="shared" si="166"/>
        <v>950416</v>
      </c>
      <c r="G1886" s="72" t="str">
        <f t="shared" si="167"/>
        <v>950416</v>
      </c>
      <c r="H1886" s="74" t="s">
        <v>5389</v>
      </c>
    </row>
    <row r="1887" spans="1:8" ht="18.75">
      <c r="A1887" s="70">
        <v>95</v>
      </c>
      <c r="B1887" s="70">
        <v>4</v>
      </c>
      <c r="C1887" s="70">
        <v>17</v>
      </c>
      <c r="D1887" s="71" t="s">
        <v>3468</v>
      </c>
      <c r="E1887" s="72" t="s">
        <v>829</v>
      </c>
      <c r="F1887" s="73" t="str">
        <f t="shared" si="166"/>
        <v>950417</v>
      </c>
      <c r="G1887" s="72" t="str">
        <f t="shared" si="167"/>
        <v>950417</v>
      </c>
      <c r="H1887" s="74" t="s">
        <v>5390</v>
      </c>
    </row>
    <row r="1888" spans="1:8" ht="18.75">
      <c r="A1888" s="70">
        <v>95</v>
      </c>
      <c r="B1888" s="70">
        <v>4</v>
      </c>
      <c r="C1888" s="70">
        <v>18</v>
      </c>
      <c r="D1888" s="71" t="s">
        <v>3469</v>
      </c>
      <c r="E1888" s="72" t="s">
        <v>829</v>
      </c>
      <c r="F1888" s="73" t="str">
        <f t="shared" si="166"/>
        <v>950418</v>
      </c>
      <c r="G1888" s="72" t="str">
        <f t="shared" si="167"/>
        <v>950418</v>
      </c>
      <c r="H1888" s="74" t="s">
        <v>5391</v>
      </c>
    </row>
    <row r="1889" spans="1:8" ht="18.75">
      <c r="A1889" s="70">
        <v>95</v>
      </c>
      <c r="B1889" s="70">
        <v>4</v>
      </c>
      <c r="C1889" s="70">
        <v>19</v>
      </c>
      <c r="D1889" s="71" t="s">
        <v>26</v>
      </c>
      <c r="E1889" s="72" t="s">
        <v>829</v>
      </c>
      <c r="F1889" s="73" t="str">
        <f t="shared" si="166"/>
        <v>950419</v>
      </c>
      <c r="G1889" s="72" t="str">
        <f t="shared" si="167"/>
        <v>950419</v>
      </c>
      <c r="H1889" s="74" t="s">
        <v>5392</v>
      </c>
    </row>
    <row r="1890" spans="1:8" ht="18.75">
      <c r="A1890" s="70">
        <v>95</v>
      </c>
      <c r="B1890" s="70">
        <v>4</v>
      </c>
      <c r="C1890" s="70">
        <v>20</v>
      </c>
      <c r="D1890" s="71" t="s">
        <v>27</v>
      </c>
      <c r="E1890" s="72" t="s">
        <v>829</v>
      </c>
      <c r="F1890" s="73" t="str">
        <f t="shared" si="166"/>
        <v>950420</v>
      </c>
      <c r="G1890" s="72" t="str">
        <f t="shared" si="167"/>
        <v>950420</v>
      </c>
      <c r="H1890" s="74" t="s">
        <v>5393</v>
      </c>
    </row>
    <row r="1891" spans="1:8" ht="18.75">
      <c r="A1891" s="70">
        <v>95</v>
      </c>
      <c r="B1891" s="70">
        <v>4</v>
      </c>
      <c r="C1891" s="70">
        <v>21</v>
      </c>
      <c r="D1891" s="71" t="s">
        <v>259</v>
      </c>
      <c r="E1891" s="72" t="s">
        <v>829</v>
      </c>
      <c r="F1891" s="73" t="str">
        <f t="shared" si="166"/>
        <v>950421</v>
      </c>
      <c r="G1891" s="72" t="str">
        <f t="shared" si="167"/>
        <v>950421</v>
      </c>
      <c r="H1891" s="74" t="s">
        <v>5394</v>
      </c>
    </row>
    <row r="1892" spans="1:8" ht="18.75">
      <c r="A1892" s="70">
        <v>95</v>
      </c>
      <c r="B1892" s="70">
        <v>4</v>
      </c>
      <c r="C1892" s="70">
        <v>22</v>
      </c>
      <c r="D1892" s="71" t="s">
        <v>286</v>
      </c>
      <c r="E1892" s="72" t="s">
        <v>829</v>
      </c>
      <c r="F1892" s="73" t="str">
        <f t="shared" si="166"/>
        <v>950422</v>
      </c>
      <c r="G1892" s="72" t="str">
        <f t="shared" si="167"/>
        <v>950422</v>
      </c>
      <c r="H1892" s="74" t="s">
        <v>5395</v>
      </c>
    </row>
    <row r="1893" spans="1:8" ht="18.75">
      <c r="A1893" s="70">
        <v>95</v>
      </c>
      <c r="B1893" s="70">
        <v>4</v>
      </c>
      <c r="C1893" s="70">
        <v>23</v>
      </c>
      <c r="D1893" s="71" t="s">
        <v>293</v>
      </c>
      <c r="E1893" s="72" t="s">
        <v>829</v>
      </c>
      <c r="F1893" s="73" t="str">
        <f t="shared" si="166"/>
        <v>950423</v>
      </c>
      <c r="G1893" s="72" t="str">
        <f t="shared" si="167"/>
        <v>950423</v>
      </c>
      <c r="H1893" s="74" t="s">
        <v>5396</v>
      </c>
    </row>
    <row r="1894" spans="1:8" ht="18.75">
      <c r="A1894" s="70">
        <v>95</v>
      </c>
      <c r="B1894" s="70">
        <v>4</v>
      </c>
      <c r="C1894" s="70">
        <v>53</v>
      </c>
      <c r="D1894" s="71" t="s">
        <v>3742</v>
      </c>
      <c r="E1894" s="72" t="s">
        <v>829</v>
      </c>
      <c r="F1894" s="73" t="str">
        <f t="shared" si="166"/>
        <v>950453</v>
      </c>
      <c r="G1894" s="72" t="str">
        <f t="shared" si="167"/>
        <v>950453</v>
      </c>
      <c r="H1894" s="74" t="s">
        <v>5397</v>
      </c>
    </row>
    <row r="1895" spans="1:8" ht="18.75">
      <c r="A1895" s="70">
        <v>95</v>
      </c>
      <c r="B1895" s="70">
        <v>4</v>
      </c>
      <c r="C1895" s="70">
        <v>24</v>
      </c>
      <c r="D1895" s="71" t="s">
        <v>300</v>
      </c>
      <c r="E1895" s="72" t="s">
        <v>829</v>
      </c>
      <c r="F1895" s="73" t="str">
        <f t="shared" si="166"/>
        <v>950424</v>
      </c>
      <c r="G1895" s="72" t="str">
        <f t="shared" si="167"/>
        <v>950424</v>
      </c>
      <c r="H1895" s="74" t="s">
        <v>5398</v>
      </c>
    </row>
    <row r="1896" spans="1:8" ht="18.75">
      <c r="A1896" s="70">
        <v>95</v>
      </c>
      <c r="B1896" s="70">
        <v>4</v>
      </c>
      <c r="C1896" s="70">
        <v>25</v>
      </c>
      <c r="D1896" s="71" t="s">
        <v>306</v>
      </c>
      <c r="E1896" s="72" t="s">
        <v>829</v>
      </c>
      <c r="F1896" s="73" t="str">
        <f t="shared" si="166"/>
        <v>950425</v>
      </c>
      <c r="G1896" s="72" t="str">
        <f t="shared" si="167"/>
        <v>950425</v>
      </c>
      <c r="H1896" s="74" t="s">
        <v>5399</v>
      </c>
    </row>
    <row r="1897" spans="1:8" ht="18.75">
      <c r="A1897" s="70">
        <v>95</v>
      </c>
      <c r="B1897" s="70">
        <v>4</v>
      </c>
      <c r="C1897" s="70">
        <v>26</v>
      </c>
      <c r="D1897" s="71" t="s">
        <v>307</v>
      </c>
      <c r="E1897" s="72" t="s">
        <v>829</v>
      </c>
      <c r="F1897" s="73" t="str">
        <f t="shared" si="166"/>
        <v>950426</v>
      </c>
      <c r="G1897" s="72" t="str">
        <f t="shared" si="167"/>
        <v>950426</v>
      </c>
      <c r="H1897" s="74" t="s">
        <v>5400</v>
      </c>
    </row>
    <row r="1898" spans="1:8" ht="18.75">
      <c r="A1898" s="70">
        <v>95</v>
      </c>
      <c r="B1898" s="70">
        <v>4</v>
      </c>
      <c r="C1898" s="70">
        <v>27</v>
      </c>
      <c r="D1898" s="71" t="s">
        <v>308</v>
      </c>
      <c r="E1898" s="72" t="s">
        <v>829</v>
      </c>
      <c r="F1898" s="73" t="str">
        <f t="shared" si="166"/>
        <v>950427</v>
      </c>
      <c r="G1898" s="72" t="str">
        <f t="shared" si="167"/>
        <v>950427</v>
      </c>
      <c r="H1898" s="74" t="s">
        <v>5401</v>
      </c>
    </row>
    <row r="1899" spans="1:8" ht="18.75">
      <c r="A1899" s="70">
        <v>95</v>
      </c>
      <c r="B1899" s="70">
        <v>4</v>
      </c>
      <c r="C1899" s="70">
        <v>28</v>
      </c>
      <c r="D1899" s="71" t="s">
        <v>3750</v>
      </c>
      <c r="E1899" s="72" t="s">
        <v>4049</v>
      </c>
      <c r="F1899" s="73" t="str">
        <f t="shared" si="166"/>
        <v>950428</v>
      </c>
      <c r="G1899" s="72" t="str">
        <f t="shared" si="167"/>
        <v>950428</v>
      </c>
      <c r="H1899" s="74" t="s">
        <v>5402</v>
      </c>
    </row>
    <row r="1900" spans="1:8" ht="18.75">
      <c r="A1900" s="70">
        <v>95</v>
      </c>
      <c r="B1900" s="70">
        <v>4</v>
      </c>
      <c r="C1900" s="70">
        <v>33</v>
      </c>
      <c r="D1900" s="71" t="s">
        <v>295</v>
      </c>
      <c r="E1900" s="72" t="s">
        <v>4049</v>
      </c>
      <c r="F1900" s="73" t="str">
        <f t="shared" si="166"/>
        <v>950433</v>
      </c>
      <c r="G1900" s="72" t="str">
        <f t="shared" si="167"/>
        <v>950433</v>
      </c>
      <c r="H1900" s="74" t="s">
        <v>5403</v>
      </c>
    </row>
    <row r="1901" spans="1:8" ht="18.75">
      <c r="A1901" s="70">
        <v>95</v>
      </c>
      <c r="B1901" s="70">
        <v>4</v>
      </c>
      <c r="C1901" s="70">
        <v>34</v>
      </c>
      <c r="D1901" s="71" t="s">
        <v>683</v>
      </c>
      <c r="E1901" s="72" t="s">
        <v>829</v>
      </c>
      <c r="F1901" s="73" t="str">
        <f t="shared" si="166"/>
        <v>950434</v>
      </c>
      <c r="G1901" s="72" t="str">
        <f t="shared" si="167"/>
        <v>950434</v>
      </c>
      <c r="H1901" s="74" t="s">
        <v>5404</v>
      </c>
    </row>
    <row r="1902" spans="1:8" ht="18.75">
      <c r="A1902" s="70">
        <v>95</v>
      </c>
      <c r="B1902" s="70">
        <v>4</v>
      </c>
      <c r="C1902" s="70">
        <v>35</v>
      </c>
      <c r="D1902" s="71" t="s">
        <v>3812</v>
      </c>
      <c r="E1902" s="72" t="s">
        <v>829</v>
      </c>
      <c r="F1902" s="73" t="str">
        <f t="shared" si="166"/>
        <v>950435</v>
      </c>
      <c r="G1902" s="72" t="str">
        <f t="shared" si="167"/>
        <v>950435</v>
      </c>
      <c r="H1902" s="74" t="s">
        <v>5405</v>
      </c>
    </row>
    <row r="1903" spans="1:8" ht="18.75">
      <c r="A1903" s="70">
        <v>95</v>
      </c>
      <c r="B1903" s="70">
        <v>4</v>
      </c>
      <c r="C1903" s="70">
        <v>36</v>
      </c>
      <c r="D1903" s="71" t="s">
        <v>3499</v>
      </c>
      <c r="E1903" s="72" t="s">
        <v>829</v>
      </c>
      <c r="F1903" s="73" t="str">
        <f t="shared" si="166"/>
        <v>950436</v>
      </c>
      <c r="G1903" s="72" t="str">
        <f t="shared" si="167"/>
        <v>950436</v>
      </c>
      <c r="H1903" s="74" t="s">
        <v>5406</v>
      </c>
    </row>
    <row r="1904" spans="1:8" ht="18.75">
      <c r="A1904" s="70">
        <v>95</v>
      </c>
      <c r="B1904" s="70">
        <v>4</v>
      </c>
      <c r="C1904" s="70">
        <v>37</v>
      </c>
      <c r="D1904" s="71" t="s">
        <v>3498</v>
      </c>
      <c r="E1904" s="72" t="s">
        <v>829</v>
      </c>
      <c r="F1904" s="73" t="str">
        <f t="shared" si="166"/>
        <v>950437</v>
      </c>
      <c r="G1904" s="72" t="str">
        <f t="shared" si="167"/>
        <v>950437</v>
      </c>
      <c r="H1904" s="74" t="s">
        <v>5407</v>
      </c>
    </row>
    <row r="1905" spans="1:8" ht="18.75">
      <c r="A1905" s="70">
        <v>95</v>
      </c>
      <c r="B1905" s="70">
        <v>4</v>
      </c>
      <c r="C1905" s="70">
        <v>38</v>
      </c>
      <c r="D1905" s="71" t="s">
        <v>3500</v>
      </c>
      <c r="E1905" s="72" t="s">
        <v>829</v>
      </c>
      <c r="F1905" s="73" t="str">
        <f t="shared" si="166"/>
        <v>950438</v>
      </c>
      <c r="G1905" s="72" t="str">
        <f t="shared" si="167"/>
        <v>950438</v>
      </c>
      <c r="H1905" s="74" t="s">
        <v>5408</v>
      </c>
    </row>
    <row r="1906" spans="1:8" ht="18.75">
      <c r="A1906" s="70">
        <v>95</v>
      </c>
      <c r="B1906" s="70">
        <v>4</v>
      </c>
      <c r="C1906" s="70">
        <v>39</v>
      </c>
      <c r="D1906" s="71" t="s">
        <v>3501</v>
      </c>
      <c r="E1906" s="72" t="s">
        <v>829</v>
      </c>
      <c r="F1906" s="73" t="str">
        <f t="shared" si="166"/>
        <v>950439</v>
      </c>
      <c r="G1906" s="72" t="str">
        <f t="shared" si="167"/>
        <v>950439</v>
      </c>
      <c r="H1906" s="74" t="s">
        <v>5409</v>
      </c>
    </row>
    <row r="1907" spans="1:8" ht="18.75">
      <c r="A1907" s="70">
        <v>95</v>
      </c>
      <c r="B1907" s="70">
        <v>4</v>
      </c>
      <c r="C1907" s="70">
        <v>40</v>
      </c>
      <c r="D1907" s="71" t="s">
        <v>3502</v>
      </c>
      <c r="E1907" s="72" t="s">
        <v>829</v>
      </c>
      <c r="F1907" s="73" t="str">
        <f t="shared" si="166"/>
        <v>950440</v>
      </c>
      <c r="G1907" s="72" t="str">
        <f t="shared" si="167"/>
        <v>950440</v>
      </c>
      <c r="H1907" s="74" t="s">
        <v>5410</v>
      </c>
    </row>
    <row r="1908" spans="1:8" ht="18.75">
      <c r="A1908" s="70">
        <v>95</v>
      </c>
      <c r="B1908" s="70">
        <v>4</v>
      </c>
      <c r="C1908" s="70">
        <v>41</v>
      </c>
      <c r="D1908" s="71" t="s">
        <v>3503</v>
      </c>
      <c r="E1908" s="72" t="s">
        <v>829</v>
      </c>
      <c r="F1908" s="73" t="str">
        <f t="shared" si="166"/>
        <v>950441</v>
      </c>
      <c r="G1908" s="72" t="str">
        <f t="shared" si="167"/>
        <v>950441</v>
      </c>
      <c r="H1908" s="74" t="s">
        <v>5411</v>
      </c>
    </row>
    <row r="1909" spans="1:8" ht="18.75">
      <c r="A1909" s="70">
        <v>95</v>
      </c>
      <c r="B1909" s="70">
        <v>4</v>
      </c>
      <c r="C1909" s="70">
        <v>42</v>
      </c>
      <c r="D1909" s="71" t="s">
        <v>3504</v>
      </c>
      <c r="E1909" s="72" t="s">
        <v>829</v>
      </c>
      <c r="F1909" s="73" t="str">
        <f t="shared" si="166"/>
        <v>950442</v>
      </c>
      <c r="G1909" s="72" t="str">
        <f t="shared" si="167"/>
        <v>950442</v>
      </c>
      <c r="H1909" s="74" t="s">
        <v>5412</v>
      </c>
    </row>
    <row r="1910" spans="1:8" ht="18.75">
      <c r="A1910" s="70">
        <v>95</v>
      </c>
      <c r="B1910" s="70">
        <v>4</v>
      </c>
      <c r="C1910" s="70">
        <v>43</v>
      </c>
      <c r="D1910" s="71" t="s">
        <v>3505</v>
      </c>
      <c r="E1910" s="72" t="s">
        <v>829</v>
      </c>
      <c r="F1910" s="73" t="str">
        <f t="shared" si="166"/>
        <v>950443</v>
      </c>
      <c r="G1910" s="72" t="str">
        <f t="shared" si="167"/>
        <v>950443</v>
      </c>
      <c r="H1910" s="74" t="s">
        <v>5413</v>
      </c>
    </row>
    <row r="1911" spans="1:8" ht="18.75">
      <c r="A1911" s="70">
        <v>95</v>
      </c>
      <c r="B1911" s="70">
        <v>4</v>
      </c>
      <c r="C1911" s="70">
        <v>44</v>
      </c>
      <c r="D1911" s="71" t="s">
        <v>3506</v>
      </c>
      <c r="E1911" s="72" t="s">
        <v>829</v>
      </c>
      <c r="F1911" s="73" t="str">
        <f t="shared" si="166"/>
        <v>950444</v>
      </c>
      <c r="G1911" s="72" t="str">
        <f t="shared" si="167"/>
        <v>950444</v>
      </c>
      <c r="H1911" s="74" t="s">
        <v>5414</v>
      </c>
    </row>
    <row r="1912" spans="1:8" ht="18.75">
      <c r="A1912" s="70">
        <v>95</v>
      </c>
      <c r="B1912" s="70">
        <v>4</v>
      </c>
      <c r="C1912" s="70">
        <v>45</v>
      </c>
      <c r="D1912" s="71" t="s">
        <v>3507</v>
      </c>
      <c r="E1912" s="72" t="s">
        <v>829</v>
      </c>
      <c r="F1912" s="73" t="str">
        <f t="shared" si="166"/>
        <v>950445</v>
      </c>
      <c r="G1912" s="72" t="str">
        <f t="shared" si="167"/>
        <v>950445</v>
      </c>
      <c r="H1912" s="74" t="s">
        <v>5415</v>
      </c>
    </row>
    <row r="1913" spans="1:8" ht="18.75">
      <c r="A1913" s="70">
        <v>95</v>
      </c>
      <c r="B1913" s="70">
        <v>4</v>
      </c>
      <c r="C1913" s="70">
        <v>46</v>
      </c>
      <c r="D1913" s="71" t="s">
        <v>3575</v>
      </c>
      <c r="E1913" s="72" t="s">
        <v>829</v>
      </c>
      <c r="F1913" s="73" t="str">
        <f t="shared" si="166"/>
        <v>950446</v>
      </c>
      <c r="G1913" s="72" t="str">
        <f t="shared" si="167"/>
        <v>950446</v>
      </c>
      <c r="H1913" s="74" t="s">
        <v>5416</v>
      </c>
    </row>
    <row r="1914" spans="1:8" ht="18.75">
      <c r="A1914" s="70">
        <v>95</v>
      </c>
      <c r="B1914" s="70">
        <v>4</v>
      </c>
      <c r="C1914" s="70">
        <v>47</v>
      </c>
      <c r="D1914" s="71" t="s">
        <v>3574</v>
      </c>
      <c r="E1914" s="72" t="s">
        <v>829</v>
      </c>
      <c r="F1914" s="73" t="str">
        <f t="shared" si="166"/>
        <v>950447</v>
      </c>
      <c r="G1914" s="72" t="str">
        <f t="shared" si="167"/>
        <v>950447</v>
      </c>
      <c r="H1914" s="74" t="s">
        <v>5417</v>
      </c>
    </row>
    <row r="1915" spans="1:8" ht="18.75">
      <c r="A1915" s="70">
        <v>95</v>
      </c>
      <c r="B1915" s="70">
        <v>4</v>
      </c>
      <c r="C1915" s="70">
        <v>51</v>
      </c>
      <c r="D1915" s="71" t="s">
        <v>3664</v>
      </c>
      <c r="E1915" s="72" t="s">
        <v>4049</v>
      </c>
      <c r="F1915" s="73" t="str">
        <f t="shared" si="166"/>
        <v>950451</v>
      </c>
      <c r="G1915" s="72" t="str">
        <f t="shared" si="167"/>
        <v>950451</v>
      </c>
      <c r="H1915" s="74" t="s">
        <v>5418</v>
      </c>
    </row>
    <row r="1916" spans="1:8" ht="18.75">
      <c r="A1916" s="70">
        <v>95</v>
      </c>
      <c r="B1916" s="70">
        <v>4</v>
      </c>
      <c r="C1916" s="70">
        <v>48</v>
      </c>
      <c r="D1916" s="71" t="s">
        <v>6055</v>
      </c>
      <c r="E1916" s="72" t="s">
        <v>829</v>
      </c>
      <c r="F1916" s="73" t="str">
        <f t="shared" si="166"/>
        <v>950448</v>
      </c>
      <c r="G1916" s="72" t="str">
        <f t="shared" si="167"/>
        <v>950448</v>
      </c>
      <c r="H1916" s="74" t="s">
        <v>5419</v>
      </c>
    </row>
    <row r="1917" spans="1:8" ht="18.75">
      <c r="A1917" s="70">
        <v>95</v>
      </c>
      <c r="B1917" s="70">
        <v>4</v>
      </c>
      <c r="C1917" s="70">
        <v>49</v>
      </c>
      <c r="D1917" s="71" t="s">
        <v>3582</v>
      </c>
      <c r="E1917" s="72" t="s">
        <v>829</v>
      </c>
      <c r="F1917" s="73" t="str">
        <f t="shared" si="166"/>
        <v>950449</v>
      </c>
      <c r="G1917" s="72" t="str">
        <f t="shared" si="167"/>
        <v>950449</v>
      </c>
      <c r="H1917" s="74" t="s">
        <v>5420</v>
      </c>
    </row>
    <row r="1918" spans="1:8" ht="18.75">
      <c r="A1918" s="70">
        <v>95</v>
      </c>
      <c r="B1918" s="70">
        <v>4</v>
      </c>
      <c r="C1918" s="70">
        <v>50</v>
      </c>
      <c r="D1918" s="71" t="s">
        <v>3475</v>
      </c>
      <c r="E1918" s="72" t="s">
        <v>829</v>
      </c>
      <c r="F1918" s="73" t="str">
        <f t="shared" si="166"/>
        <v>950450</v>
      </c>
      <c r="G1918" s="72" t="str">
        <f t="shared" si="167"/>
        <v>950450</v>
      </c>
      <c r="H1918" s="74" t="s">
        <v>5421</v>
      </c>
    </row>
    <row r="1919" spans="1:8" ht="18.75">
      <c r="A1919" s="70">
        <v>95</v>
      </c>
      <c r="B1919" s="70">
        <v>4</v>
      </c>
      <c r="C1919" s="70">
        <v>52</v>
      </c>
      <c r="D1919" s="71" t="s">
        <v>6056</v>
      </c>
      <c r="E1919" s="72" t="s">
        <v>829</v>
      </c>
      <c r="F1919" s="73" t="str">
        <f t="shared" si="166"/>
        <v>950452</v>
      </c>
      <c r="G1919" s="72" t="str">
        <f t="shared" si="167"/>
        <v>950452</v>
      </c>
      <c r="H1919" s="74" t="s">
        <v>5422</v>
      </c>
    </row>
    <row r="1920" spans="1:8" ht="18.75">
      <c r="A1920" s="70">
        <v>95</v>
      </c>
      <c r="B1920" s="70">
        <v>4</v>
      </c>
      <c r="C1920" s="70">
        <v>54</v>
      </c>
      <c r="D1920" s="71" t="s">
        <v>5680</v>
      </c>
      <c r="E1920" s="72" t="s">
        <v>829</v>
      </c>
      <c r="F1920" s="73" t="str">
        <f t="shared" si="166"/>
        <v>950454</v>
      </c>
      <c r="G1920" s="72" t="str">
        <f t="shared" si="167"/>
        <v>950454</v>
      </c>
      <c r="H1920" s="74" t="s">
        <v>5681</v>
      </c>
    </row>
    <row r="1921" spans="1:8" ht="18.75">
      <c r="A1921" s="70">
        <v>95</v>
      </c>
      <c r="B1921" s="70">
        <v>4</v>
      </c>
      <c r="C1921" s="70">
        <v>55</v>
      </c>
      <c r="D1921" s="71" t="s">
        <v>5682</v>
      </c>
      <c r="E1921" s="72" t="s">
        <v>829</v>
      </c>
      <c r="F1921" s="73" t="str">
        <f t="shared" si="166"/>
        <v>950455</v>
      </c>
      <c r="G1921" s="72" t="str">
        <f t="shared" si="167"/>
        <v>950455</v>
      </c>
      <c r="H1921" s="74" t="s">
        <v>5683</v>
      </c>
    </row>
    <row r="1922" spans="1:8" ht="18.75">
      <c r="A1922" s="70">
        <v>95</v>
      </c>
      <c r="B1922" s="70">
        <v>4</v>
      </c>
      <c r="C1922" s="70">
        <v>56</v>
      </c>
      <c r="D1922" s="71" t="s">
        <v>5684</v>
      </c>
      <c r="E1922" s="72" t="s">
        <v>829</v>
      </c>
      <c r="F1922" s="73" t="str">
        <f t="shared" si="166"/>
        <v>950456</v>
      </c>
      <c r="G1922" s="72" t="str">
        <f t="shared" si="167"/>
        <v>950456</v>
      </c>
      <c r="H1922" s="74" t="s">
        <v>5685</v>
      </c>
    </row>
    <row r="1923" spans="1:8" ht="18.75">
      <c r="A1923" s="70">
        <v>95</v>
      </c>
      <c r="B1923" s="70">
        <v>4</v>
      </c>
      <c r="C1923" s="70">
        <v>57</v>
      </c>
      <c r="D1923" s="71" t="s">
        <v>5686</v>
      </c>
      <c r="E1923" s="72" t="s">
        <v>829</v>
      </c>
      <c r="F1923" s="73" t="str">
        <f t="shared" si="166"/>
        <v>950457</v>
      </c>
      <c r="G1923" s="72" t="str">
        <f t="shared" si="167"/>
        <v>950457</v>
      </c>
      <c r="H1923" s="74" t="s">
        <v>5687</v>
      </c>
    </row>
    <row r="1924" spans="1:8" ht="18.75">
      <c r="A1924" s="70">
        <v>95</v>
      </c>
      <c r="B1924" s="70">
        <v>4</v>
      </c>
      <c r="C1924" s="70">
        <v>58</v>
      </c>
      <c r="D1924" s="71" t="s">
        <v>5916</v>
      </c>
      <c r="E1924" s="72" t="s">
        <v>829</v>
      </c>
      <c r="F1924" s="73" t="str">
        <f t="shared" si="166"/>
        <v>950458</v>
      </c>
      <c r="G1924" s="72" t="str">
        <f t="shared" si="167"/>
        <v>950458</v>
      </c>
      <c r="H1924" s="74" t="s">
        <v>5917</v>
      </c>
    </row>
    <row r="1925" spans="1:8" ht="18.75">
      <c r="A1925" s="70">
        <v>95</v>
      </c>
      <c r="B1925" s="70">
        <v>4</v>
      </c>
      <c r="C1925" s="70">
        <v>59</v>
      </c>
      <c r="D1925" s="71" t="s">
        <v>6057</v>
      </c>
      <c r="E1925" s="72" t="s">
        <v>829</v>
      </c>
      <c r="F1925" s="73" t="str">
        <f t="shared" si="166"/>
        <v>950459</v>
      </c>
      <c r="G1925" s="72" t="str">
        <f t="shared" si="167"/>
        <v>950459</v>
      </c>
      <c r="H1925" s="74" t="s">
        <v>6058</v>
      </c>
    </row>
    <row r="1926" spans="1:8" ht="18.75">
      <c r="A1926" s="62">
        <v>96</v>
      </c>
      <c r="B1926" s="62">
        <v>0</v>
      </c>
      <c r="C1926" s="62">
        <v>0</v>
      </c>
      <c r="D1926" s="81" t="s">
        <v>3554</v>
      </c>
      <c r="E1926" s="82"/>
      <c r="F1926" s="75"/>
      <c r="G1926" s="76"/>
      <c r="H1926" s="77"/>
    </row>
    <row r="1927" spans="1:8" ht="18.75">
      <c r="A1927" s="66">
        <v>96</v>
      </c>
      <c r="B1927" s="66">
        <v>5</v>
      </c>
      <c r="C1927" s="66">
        <v>0</v>
      </c>
      <c r="D1927" s="67" t="s">
        <v>3554</v>
      </c>
      <c r="E1927" s="68"/>
      <c r="F1927" s="78"/>
      <c r="G1927" s="79"/>
      <c r="H1927" s="80"/>
    </row>
    <row r="1928" spans="1:8" ht="18.75">
      <c r="A1928" s="70">
        <v>96</v>
      </c>
      <c r="B1928" s="70">
        <v>5</v>
      </c>
      <c r="C1928" s="70">
        <v>47</v>
      </c>
      <c r="D1928" s="71" t="s">
        <v>3552</v>
      </c>
      <c r="E1928" s="72" t="s">
        <v>4028</v>
      </c>
      <c r="F1928" s="73" t="str">
        <f>TEXT(A1928,"00")&amp;TEXT(B1928,"00")&amp;TEXT(C1928,"00")</f>
        <v>960547</v>
      </c>
      <c r="G1928" s="72" t="str">
        <f>TEXT(F1928,"000000")</f>
        <v>960547</v>
      </c>
      <c r="H1928" s="74" t="s">
        <v>5423</v>
      </c>
    </row>
    <row r="1929" spans="1:8" ht="18.75">
      <c r="A1929" s="70">
        <v>96</v>
      </c>
      <c r="B1929" s="70">
        <v>5</v>
      </c>
      <c r="C1929" s="70">
        <v>48</v>
      </c>
      <c r="D1929" s="71" t="s">
        <v>3553</v>
      </c>
      <c r="E1929" s="72" t="s">
        <v>4028</v>
      </c>
      <c r="F1929" s="73" t="str">
        <f>TEXT(A1929,"00")&amp;TEXT(B1929,"00")&amp;TEXT(C1929,"00")</f>
        <v>960548</v>
      </c>
      <c r="G1929" s="72" t="str">
        <f>TEXT(F1929,"000000")</f>
        <v>960548</v>
      </c>
      <c r="H1929" s="74" t="s">
        <v>5424</v>
      </c>
    </row>
    <row r="1930" spans="1:8" ht="18.75">
      <c r="A1930" s="70">
        <v>96</v>
      </c>
      <c r="B1930" s="70">
        <v>5</v>
      </c>
      <c r="C1930" s="70">
        <v>49</v>
      </c>
      <c r="D1930" s="71" t="s">
        <v>5688</v>
      </c>
      <c r="E1930" s="72" t="s">
        <v>4028</v>
      </c>
      <c r="F1930" s="73" t="str">
        <f>TEXT(A1930,"00")&amp;TEXT(B1930,"00")&amp;TEXT(C1930,"00")</f>
        <v>960549</v>
      </c>
      <c r="G1930" s="72" t="str">
        <f>TEXT(F1930,"000000")</f>
        <v>960549</v>
      </c>
      <c r="H1930" s="74" t="s">
        <v>5689</v>
      </c>
    </row>
    <row r="1931" spans="1:8" ht="18.75">
      <c r="A1931" s="70">
        <v>96</v>
      </c>
      <c r="B1931" s="70">
        <v>5</v>
      </c>
      <c r="C1931" s="70">
        <v>50</v>
      </c>
      <c r="D1931" s="71" t="s">
        <v>5770</v>
      </c>
      <c r="E1931" s="72" t="s">
        <v>4028</v>
      </c>
      <c r="F1931" s="73" t="str">
        <f>TEXT(A1931,"00")&amp;TEXT(B1931,"00")&amp;TEXT(C1931,"00")</f>
        <v>960550</v>
      </c>
      <c r="G1931" s="72" t="str">
        <f>TEXT(F1931,"000000")</f>
        <v>960550</v>
      </c>
      <c r="H1931" s="74" t="s">
        <v>5771</v>
      </c>
    </row>
    <row r="1932" spans="1:8" ht="18.75">
      <c r="A1932" s="62">
        <v>97</v>
      </c>
      <c r="B1932" s="62">
        <v>0</v>
      </c>
      <c r="C1932" s="62">
        <v>0</v>
      </c>
      <c r="D1932" s="81" t="s">
        <v>3676</v>
      </c>
      <c r="E1932" s="82"/>
      <c r="F1932" s="75"/>
      <c r="G1932" s="76"/>
      <c r="H1932" s="77"/>
    </row>
    <row r="1933" spans="1:8" ht="18.75">
      <c r="A1933" s="66">
        <v>97</v>
      </c>
      <c r="B1933" s="66">
        <v>6</v>
      </c>
      <c r="C1933" s="66">
        <v>0</v>
      </c>
      <c r="D1933" s="67" t="s">
        <v>3676</v>
      </c>
      <c r="E1933" s="68"/>
      <c r="F1933" s="78"/>
      <c r="G1933" s="79"/>
      <c r="H1933" s="80"/>
    </row>
    <row r="1934" spans="1:8" ht="18.75">
      <c r="A1934" s="70">
        <v>97</v>
      </c>
      <c r="B1934" s="70">
        <v>6</v>
      </c>
      <c r="C1934" s="70">
        <v>10</v>
      </c>
      <c r="D1934" s="71" t="s">
        <v>3677</v>
      </c>
      <c r="E1934" s="72" t="s">
        <v>829</v>
      </c>
      <c r="F1934" s="73" t="str">
        <f t="shared" ref="F1934:F1939" si="168">TEXT(A1934,"00")&amp;TEXT(B1934,"00")&amp;TEXT(C1934,"00")</f>
        <v>970610</v>
      </c>
      <c r="G1934" s="72" t="str">
        <f t="shared" ref="G1934:G1939" si="169">TEXT(F1934,"000000")</f>
        <v>970610</v>
      </c>
      <c r="H1934" s="74" t="s">
        <v>5425</v>
      </c>
    </row>
    <row r="1935" spans="1:8" ht="18.75">
      <c r="A1935" s="70">
        <v>97</v>
      </c>
      <c r="B1935" s="70">
        <v>6</v>
      </c>
      <c r="C1935" s="70">
        <v>11</v>
      </c>
      <c r="D1935" s="71" t="s">
        <v>3678</v>
      </c>
      <c r="E1935" s="72" t="s">
        <v>829</v>
      </c>
      <c r="F1935" s="73" t="str">
        <f t="shared" si="168"/>
        <v>970611</v>
      </c>
      <c r="G1935" s="72" t="str">
        <f t="shared" si="169"/>
        <v>970611</v>
      </c>
      <c r="H1935" s="74" t="s">
        <v>5426</v>
      </c>
    </row>
    <row r="1936" spans="1:8" ht="18.75">
      <c r="A1936" s="70">
        <v>97</v>
      </c>
      <c r="B1936" s="70">
        <v>6</v>
      </c>
      <c r="C1936" s="70">
        <v>12</v>
      </c>
      <c r="D1936" s="71" t="s">
        <v>3679</v>
      </c>
      <c r="E1936" s="72" t="s">
        <v>829</v>
      </c>
      <c r="F1936" s="73" t="str">
        <f t="shared" si="168"/>
        <v>970612</v>
      </c>
      <c r="G1936" s="72" t="str">
        <f t="shared" si="169"/>
        <v>970612</v>
      </c>
      <c r="H1936" s="74" t="s">
        <v>5427</v>
      </c>
    </row>
    <row r="1937" spans="1:8" ht="18.75">
      <c r="A1937" s="70">
        <v>97</v>
      </c>
      <c r="B1937" s="70">
        <v>6</v>
      </c>
      <c r="C1937" s="70">
        <v>13</v>
      </c>
      <c r="D1937" s="71" t="s">
        <v>3681</v>
      </c>
      <c r="E1937" s="72" t="s">
        <v>829</v>
      </c>
      <c r="F1937" s="73" t="str">
        <f t="shared" si="168"/>
        <v>970613</v>
      </c>
      <c r="G1937" s="72" t="str">
        <f t="shared" si="169"/>
        <v>970613</v>
      </c>
      <c r="H1937" s="74" t="s">
        <v>5428</v>
      </c>
    </row>
    <row r="1938" spans="1:8" ht="18.75">
      <c r="A1938" s="70">
        <v>97</v>
      </c>
      <c r="B1938" s="70">
        <v>6</v>
      </c>
      <c r="C1938" s="70">
        <v>14</v>
      </c>
      <c r="D1938" s="71" t="s">
        <v>3682</v>
      </c>
      <c r="E1938" s="72" t="s">
        <v>829</v>
      </c>
      <c r="F1938" s="73" t="str">
        <f t="shared" si="168"/>
        <v>970614</v>
      </c>
      <c r="G1938" s="72" t="str">
        <f t="shared" si="169"/>
        <v>970614</v>
      </c>
      <c r="H1938" s="74" t="s">
        <v>5429</v>
      </c>
    </row>
    <row r="1939" spans="1:8" ht="18.75">
      <c r="A1939" s="70">
        <v>97</v>
      </c>
      <c r="B1939" s="70">
        <v>6</v>
      </c>
      <c r="C1939" s="70">
        <v>15</v>
      </c>
      <c r="D1939" s="71" t="s">
        <v>5918</v>
      </c>
      <c r="E1939" s="72" t="s">
        <v>829</v>
      </c>
      <c r="F1939" s="73" t="str">
        <f t="shared" si="168"/>
        <v>970615</v>
      </c>
      <c r="G1939" s="72" t="str">
        <f t="shared" si="169"/>
        <v>970615</v>
      </c>
      <c r="H1939" s="74" t="s">
        <v>5919</v>
      </c>
    </row>
    <row r="1940" spans="1:8" ht="18.75">
      <c r="A1940" s="83">
        <v>98</v>
      </c>
      <c r="B1940" s="83">
        <v>0</v>
      </c>
      <c r="C1940" s="83">
        <v>0</v>
      </c>
      <c r="D1940" s="84" t="s">
        <v>5430</v>
      </c>
      <c r="E1940" s="85"/>
      <c r="F1940" s="75"/>
      <c r="G1940" s="76"/>
      <c r="H1940" s="77"/>
    </row>
    <row r="1941" spans="1:8" ht="18.75">
      <c r="A1941" s="86">
        <v>98</v>
      </c>
      <c r="B1941" s="86">
        <v>1</v>
      </c>
      <c r="C1941" s="86">
        <v>0</v>
      </c>
      <c r="D1941" s="87" t="s">
        <v>5431</v>
      </c>
      <c r="E1941" s="88"/>
      <c r="F1941" s="78"/>
      <c r="G1941" s="79"/>
      <c r="H1941" s="80"/>
    </row>
    <row r="1942" spans="1:8" ht="18.75">
      <c r="A1942" s="89">
        <v>98</v>
      </c>
      <c r="B1942" s="89">
        <v>1</v>
      </c>
      <c r="C1942" s="89">
        <v>1</v>
      </c>
      <c r="D1942" s="90" t="s">
        <v>5432</v>
      </c>
      <c r="E1942" s="72" t="s">
        <v>4045</v>
      </c>
      <c r="F1942" s="73" t="str">
        <f>TEXT(A1942,"00")&amp;TEXT(B1942,"00")&amp;TEXT(C1942,"00")</f>
        <v>980101</v>
      </c>
      <c r="G1942" s="72" t="str">
        <f>TEXT(F1942,"000000")</f>
        <v>980101</v>
      </c>
      <c r="H1942" s="74" t="s">
        <v>5433</v>
      </c>
    </row>
    <row r="1943" spans="1:8" ht="18.75">
      <c r="A1943" s="89">
        <v>98</v>
      </c>
      <c r="B1943" s="89">
        <v>1</v>
      </c>
      <c r="C1943" s="89">
        <v>2</v>
      </c>
      <c r="D1943" s="90" t="s">
        <v>6059</v>
      </c>
      <c r="E1943" s="72" t="s">
        <v>4045</v>
      </c>
      <c r="F1943" s="73" t="str">
        <f>TEXT(A1943,"00")&amp;TEXT(B1943,"00")&amp;TEXT(C1943,"00")</f>
        <v>980102</v>
      </c>
      <c r="G1943" s="72" t="str">
        <f>TEXT(F1943,"000000")</f>
        <v>980102</v>
      </c>
      <c r="H1943" s="74" t="s">
        <v>6060</v>
      </c>
    </row>
    <row r="1944" spans="1:8" ht="18.75">
      <c r="A1944" s="83">
        <v>99</v>
      </c>
      <c r="B1944" s="83">
        <v>0</v>
      </c>
      <c r="C1944" s="83">
        <v>0</v>
      </c>
      <c r="D1944" s="84" t="s">
        <v>5434</v>
      </c>
      <c r="E1944" s="85"/>
      <c r="F1944" s="75"/>
      <c r="G1944" s="76"/>
      <c r="H1944" s="77"/>
    </row>
    <row r="1945" spans="1:8" ht="18.75">
      <c r="A1945" s="86">
        <v>99</v>
      </c>
      <c r="B1945" s="86">
        <v>1</v>
      </c>
      <c r="C1945" s="86">
        <v>0</v>
      </c>
      <c r="D1945" s="87" t="s">
        <v>5434</v>
      </c>
      <c r="E1945" s="88"/>
      <c r="F1945" s="78"/>
      <c r="G1945" s="79"/>
      <c r="H1945" s="80"/>
    </row>
    <row r="1946" spans="1:8" ht="18.75">
      <c r="A1946" s="91">
        <v>99</v>
      </c>
      <c r="B1946" s="89">
        <v>1</v>
      </c>
      <c r="C1946" s="89">
        <v>1</v>
      </c>
      <c r="D1946" s="71" t="s">
        <v>5435</v>
      </c>
      <c r="E1946" s="72" t="s">
        <v>3642</v>
      </c>
      <c r="F1946" s="73" t="str">
        <f>TEXT(A1946,"00")&amp;TEXT(B1946,"00")&amp;TEXT(C1946,"00")</f>
        <v>990101</v>
      </c>
      <c r="G1946" s="72" t="str">
        <f>TEXT(F1946,"000000")</f>
        <v>990101</v>
      </c>
      <c r="H1946" s="74" t="s">
        <v>5690</v>
      </c>
    </row>
  </sheetData>
  <mergeCells count="2">
    <mergeCell ref="A2:C7"/>
    <mergeCell ref="D2:H7"/>
  </mergeCells>
  <phoneticPr fontId="1" type="noConversion"/>
  <conditionalFormatting sqref="F9:F1946">
    <cfRule type="duplicateValues" dxfId="4" priority="3"/>
  </conditionalFormatting>
  <conditionalFormatting sqref="F1394:F1412">
    <cfRule type="duplicateValues" dxfId="3" priority="2"/>
  </conditionalFormatting>
  <conditionalFormatting sqref="F1947:F1048576 F1 F8">
    <cfRule type="duplicateValues" dxfId="2" priority="18"/>
  </conditionalFormatting>
  <conditionalFormatting sqref="F1947:F1048576">
    <cfRule type="duplicateValues" dxfId="1" priority="19"/>
  </conditionalFormatting>
  <conditionalFormatting sqref="H9:H1946">
    <cfRule type="duplicateValues" dxfId="0" priority="1"/>
  </conditionalFormatting>
  <hyperlinks>
    <hyperlink ref="D1349" r:id="rId1" display="https://www.ferropolis.pe/products/adaptador-1-2-c-r-pvc-pavco" xr:uid="{8CC5741A-20C7-4921-9BF8-F214F713733E}"/>
  </hyperlinks>
  <pageMargins left="0.7" right="0.7" top="0.75" bottom="0.75" header="0.3" footer="0.3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3AE56C9-57AB-4BC6-9A78-F8E13653C17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MATERIAL</vt:lpstr>
      <vt:lpstr>diccionario_iupc_completo</vt:lpstr>
      <vt:lpstr>Materiales 3.0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JOAQUIN SEBASTIAN ENRIQUEZ ROMERO</cp:lastModifiedBy>
  <cp:lastPrinted>2026-04-23T18:25:03Z</cp:lastPrinted>
  <dcterms:created xsi:type="dcterms:W3CDTF">2026-02-08T17:23:32Z</dcterms:created>
  <dcterms:modified xsi:type="dcterms:W3CDTF">2026-07-18T01:57:51Z</dcterms:modified>
</cp:coreProperties>
</file>